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etorgft12474759-my.sharepoint.com/personal/etienne_desrochers_xnnov_com/Documents/Documents/GitHub/Nouveau dossier (2)/QuantumB/data_excel/"/>
    </mc:Choice>
  </mc:AlternateContent>
  <xr:revisionPtr revIDLastSave="297" documentId="13_ncr:1_{4F7577EF-279D-4E63-9BDC-A872FB6D3A16}" xr6:coauthVersionLast="47" xr6:coauthVersionMax="47" xr10:uidLastSave="{60609828-1B52-4874-8623-548E9C64220A}"/>
  <bookViews>
    <workbookView xWindow="3120" yWindow="3120" windowWidth="28800" windowHeight="15345" firstSheet="2" activeTab="2" xr2:uid="{DD8C0D1B-6655-4B47-A6B1-08F51E66D5A1}"/>
  </bookViews>
  <sheets>
    <sheet name="Selection" sheetId="4" r:id="rId1"/>
    <sheet name="Lists" sheetId="5" r:id="rId2"/>
    <sheet name="Tables" sheetId="6" r:id="rId3"/>
    <sheet name="Sheet1" sheetId="1" r:id="rId4"/>
    <sheet name="Sheet3" sheetId="3" r:id="rId5"/>
    <sheet name="Nomenclature" sheetId="8" r:id="rId6"/>
    <sheet name="Sheet4" sheetId="7" r:id="rId7"/>
    <sheet name="Sheet2" sheetId="2" state="hidden" r:id="rId8"/>
  </sheets>
  <externalReferences>
    <externalReference r:id="rId9"/>
  </externalReferences>
  <definedNames>
    <definedName name="_xleta.MOD" hidden="1" xlm="1">#NAME?</definedName>
    <definedName name="AirCondModels">Lists!$Q$2:$Q$5</definedName>
    <definedName name="Application">Lists!$L$2:$L$8</definedName>
    <definedName name="BPHX_Config">Lists!$P$2:$P$3</definedName>
    <definedName name="BPHX_Type">Lists!$O$2:$O$4</definedName>
    <definedName name="BPHX_Type\">Lists!$O$2:$O$4</definedName>
    <definedName name="Comm_type">Lists!$T$2:$T$5</definedName>
    <definedName name="CondOAT">Sheet2!$K$12</definedName>
    <definedName name="Connection">[1]Tables!$D$16:$D$18</definedName>
    <definedName name="Control_signal">Lists!$V$2:$V$12</definedName>
    <definedName name="Coolant">Lists!$M$2:$M$8</definedName>
    <definedName name="Country">Lists!$N$2:$N$8</definedName>
    <definedName name="CPSKDLIST">#REF!</definedName>
    <definedName name="_xlnm.Print_Titles" localSheetId="0">Selection!$1:$28</definedName>
    <definedName name="_xlnm.Print_Titles" localSheetId="3">Sheet1!$1:$27</definedName>
    <definedName name="IO_range">Lists!$U$2:$U$31</definedName>
    <definedName name="IO_Type">Lists!$Y$2:$Y$17</definedName>
    <definedName name="IO_unit">Lists!$S$2:$S$34</definedName>
    <definedName name="Ladder_Type">Lists!$Z$2:$Z$12</definedName>
    <definedName name="Option">Lists!$R$2:$R$9</definedName>
    <definedName name="Power">Lists!$D$2:$D$4</definedName>
    <definedName name="Refrigerant">Lists!$K$2:$K$8</definedName>
    <definedName name="Skid_Model_NO">Lists!$X$2:$X$16</definedName>
    <definedName name="Type">[1]Tables!$C$1:$C$3</definedName>
    <definedName name="Units">[1]Tables!$A$1:$A$39</definedName>
    <definedName name="YesNo">Lists!$J$2:$J$3</definedName>
    <definedName name="_xlnm.Print_Area" localSheetId="0">Selection!$A$1:$P$306</definedName>
    <definedName name="_xlnm.Print_Area" localSheetId="3">Sheet1!$A$1:$V$279</definedName>
    <definedName name="_xlnm.Print_Area" localSheetId="7">Sheet2!$A$1:$AE$141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6" l="1"/>
  <c r="Z67" i="6"/>
  <c r="Z69" i="6"/>
  <c r="Z68" i="6"/>
  <c r="Z66" i="6"/>
  <c r="Y69" i="6"/>
  <c r="Y68" i="6"/>
  <c r="Y67" i="6"/>
  <c r="Y66" i="6"/>
  <c r="X69" i="6"/>
  <c r="X68" i="6"/>
  <c r="W68" i="6"/>
  <c r="W69" i="6"/>
  <c r="V68" i="6"/>
  <c r="W67" i="6"/>
  <c r="W66" i="6"/>
  <c r="V69" i="6"/>
  <c r="V67" i="6"/>
  <c r="V66" i="6"/>
  <c r="Z65" i="6"/>
  <c r="Y65" i="6"/>
  <c r="W65" i="6"/>
  <c r="V65" i="6"/>
  <c r="F176" i="6" l="1"/>
  <c r="C176" i="6"/>
  <c r="F175" i="6"/>
  <c r="C175" i="6"/>
  <c r="C174" i="6"/>
  <c r="F173" i="6"/>
  <c r="C173" i="6"/>
  <c r="F172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G88" i="6" l="1"/>
  <c r="G89" i="6"/>
  <c r="G90" i="6"/>
  <c r="G91" i="6"/>
  <c r="G92" i="6"/>
  <c r="G93" i="6"/>
  <c r="G94" i="6"/>
  <c r="A94" i="6"/>
  <c r="A93" i="6"/>
  <c r="A92" i="6"/>
  <c r="D65" i="6"/>
  <c r="P65" i="6" s="1"/>
  <c r="Q65" i="6"/>
  <c r="D66" i="6"/>
  <c r="P66" i="6" s="1"/>
  <c r="Q66" i="6"/>
  <c r="D67" i="6"/>
  <c r="P67" i="6" s="1"/>
  <c r="Q67" i="6"/>
  <c r="D68" i="6"/>
  <c r="P68" i="6" s="1"/>
  <c r="Q68" i="6"/>
  <c r="A69" i="6"/>
  <c r="D69" i="6"/>
  <c r="P69" i="6" s="1"/>
  <c r="Q69" i="6"/>
  <c r="A70" i="6"/>
  <c r="D70" i="6"/>
  <c r="P70" i="6" s="1"/>
  <c r="Q70" i="6"/>
  <c r="A71" i="6"/>
  <c r="D71" i="6"/>
  <c r="P71" i="6" s="1"/>
  <c r="Q71" i="6"/>
  <c r="E72" i="6"/>
  <c r="Q72" i="6" s="1"/>
  <c r="E73" i="6"/>
  <c r="Q73" i="6" s="1"/>
  <c r="E74" i="6"/>
  <c r="E77" i="6" s="1"/>
  <c r="Q77" i="6" s="1"/>
  <c r="E75" i="6"/>
  <c r="Q75" i="6" s="1"/>
  <c r="A76" i="6"/>
  <c r="A77" i="6"/>
  <c r="A78" i="6"/>
  <c r="D79" i="6"/>
  <c r="P79" i="6" s="1"/>
  <c r="E79" i="6"/>
  <c r="Q79" i="6" s="1"/>
  <c r="D80" i="6"/>
  <c r="P80" i="6" s="1"/>
  <c r="E80" i="6"/>
  <c r="E83" i="6" s="1"/>
  <c r="Q83" i="6" s="1"/>
  <c r="D81" i="6"/>
  <c r="P81" i="6" s="1"/>
  <c r="E81" i="6"/>
  <c r="Q81" i="6" s="1"/>
  <c r="D82" i="6"/>
  <c r="P82" i="6" s="1"/>
  <c r="E82" i="6"/>
  <c r="Q82" i="6" s="1"/>
  <c r="A83" i="6"/>
  <c r="D83" i="6"/>
  <c r="P83" i="6" s="1"/>
  <c r="A84" i="6"/>
  <c r="D84" i="6"/>
  <c r="P84" i="6" s="1"/>
  <c r="A85" i="6"/>
  <c r="D85" i="6"/>
  <c r="P85" i="6" s="1"/>
  <c r="P56" i="6"/>
  <c r="P55" i="6"/>
  <c r="P54" i="6"/>
  <c r="P53" i="6"/>
  <c r="P52" i="6"/>
  <c r="P51" i="6"/>
  <c r="U51" i="6" s="1"/>
  <c r="AQ12" i="8"/>
  <c r="AL1" i="8"/>
  <c r="U1" i="8"/>
  <c r="D1" i="8"/>
  <c r="U52" i="6" l="1"/>
  <c r="U55" i="6"/>
  <c r="Q80" i="6"/>
  <c r="E78" i="6"/>
  <c r="Q78" i="6" s="1"/>
  <c r="E76" i="6"/>
  <c r="Q76" i="6" s="1"/>
  <c r="U53" i="6"/>
  <c r="E84" i="6"/>
  <c r="Q84" i="6" s="1"/>
  <c r="Q74" i="6"/>
  <c r="E85" i="6"/>
  <c r="Q85" i="6" s="1"/>
  <c r="U54" i="6"/>
  <c r="U56" i="6"/>
  <c r="D25" i="7" l="1"/>
  <c r="E25" i="7"/>
  <c r="D26" i="7"/>
  <c r="E26" i="7"/>
  <c r="D27" i="7"/>
  <c r="E27" i="7"/>
  <c r="D28" i="7"/>
  <c r="E28" i="7"/>
  <c r="D29" i="7"/>
  <c r="E29" i="7"/>
  <c r="D30" i="7"/>
  <c r="E30" i="7"/>
  <c r="E24" i="7"/>
  <c r="D24" i="7"/>
  <c r="A25" i="7"/>
  <c r="B25" i="7"/>
  <c r="A26" i="7"/>
  <c r="B26" i="7"/>
  <c r="A27" i="7"/>
  <c r="B27" i="7"/>
  <c r="A28" i="7"/>
  <c r="B28" i="7"/>
  <c r="A29" i="7"/>
  <c r="B29" i="7"/>
  <c r="A30" i="7"/>
  <c r="B30" i="7"/>
  <c r="B24" i="7"/>
  <c r="A24" i="7"/>
  <c r="D15" i="7"/>
  <c r="E15" i="7"/>
  <c r="D16" i="7"/>
  <c r="E16" i="7"/>
  <c r="D17" i="7"/>
  <c r="E17" i="7"/>
  <c r="D18" i="7"/>
  <c r="E18" i="7"/>
  <c r="D19" i="7"/>
  <c r="E19" i="7"/>
  <c r="D20" i="7"/>
  <c r="E20" i="7"/>
  <c r="E14" i="7"/>
  <c r="D14" i="7"/>
  <c r="A15" i="7"/>
  <c r="A16" i="7"/>
  <c r="A17" i="7"/>
  <c r="B15" i="7"/>
  <c r="B16" i="7"/>
  <c r="B17" i="7"/>
  <c r="B18" i="7"/>
  <c r="B14" i="7"/>
  <c r="P42" i="6"/>
  <c r="U42" i="6" s="1"/>
  <c r="P43" i="6"/>
  <c r="P44" i="6"/>
  <c r="P45" i="6"/>
  <c r="P46" i="6"/>
  <c r="P47" i="6"/>
  <c r="U44" i="6" l="1"/>
  <c r="U47" i="6"/>
  <c r="U43" i="6"/>
  <c r="U45" i="6"/>
  <c r="U46" i="6"/>
  <c r="B57" i="6"/>
  <c r="B56" i="6"/>
  <c r="B37" i="6"/>
  <c r="B36" i="6"/>
  <c r="B55" i="6"/>
  <c r="B35" i="6"/>
  <c r="B60" i="6"/>
  <c r="B59" i="6"/>
  <c r="B58" i="6"/>
  <c r="B40" i="6"/>
  <c r="B39" i="6"/>
  <c r="B38" i="6"/>
  <c r="E60" i="6"/>
  <c r="E59" i="6"/>
  <c r="E40" i="6"/>
  <c r="E39" i="6"/>
  <c r="E37" i="6"/>
  <c r="E36" i="6"/>
  <c r="E57" i="6"/>
  <c r="E56" i="6"/>
  <c r="V17" i="6" l="1"/>
  <c r="V16" i="6"/>
  <c r="V15" i="6"/>
  <c r="V14" i="6"/>
  <c r="V13" i="6"/>
  <c r="V12" i="6"/>
  <c r="H17" i="6"/>
  <c r="E16" i="6"/>
  <c r="H16" i="6"/>
  <c r="E15" i="6"/>
  <c r="H15" i="6"/>
  <c r="E14" i="6"/>
  <c r="H14" i="6"/>
  <c r="E13" i="6"/>
  <c r="H13" i="6"/>
  <c r="E12" i="6"/>
  <c r="H12" i="6"/>
  <c r="V3" i="6" l="1"/>
  <c r="V4" i="6"/>
  <c r="V5" i="6"/>
  <c r="V6" i="6"/>
  <c r="V7" i="6"/>
  <c r="V8" i="6"/>
  <c r="V9" i="6"/>
  <c r="V10" i="6"/>
  <c r="V11" i="6"/>
  <c r="U28" i="6"/>
  <c r="V28" i="6" s="1"/>
  <c r="U27" i="6"/>
  <c r="V27" i="6" s="1"/>
  <c r="U26" i="6"/>
  <c r="V26" i="6" s="1"/>
  <c r="U25" i="6"/>
  <c r="V25" i="6" s="1"/>
  <c r="U24" i="6"/>
  <c r="V24" i="6" s="1"/>
  <c r="U23" i="6"/>
  <c r="V23" i="6" s="1"/>
  <c r="U22" i="6"/>
  <c r="V22" i="6" s="1"/>
  <c r="U21" i="6"/>
  <c r="V21" i="6" s="1"/>
  <c r="AC69" i="4" l="1"/>
  <c r="AB60" i="4" a="1"/>
  <c r="AB56" i="4" a="1"/>
  <c r="AB68" i="4" a="1"/>
  <c r="AB59" i="4" a="1"/>
  <c r="AB52" i="4" a="1"/>
  <c r="AB54" i="4" a="1"/>
  <c r="AB62" i="4" a="1"/>
  <c r="AB64" i="4" a="1"/>
  <c r="AB66" i="4" a="1"/>
  <c r="AB57" i="4" a="1"/>
  <c r="AB55" i="4" a="1"/>
  <c r="AB50" i="4" a="1"/>
  <c r="AB48" i="4" a="1"/>
  <c r="AB49" i="4" a="1"/>
  <c r="F58" i="4" a="1"/>
  <c r="AB65" i="4" a="1"/>
  <c r="AB53" i="4" a="1"/>
  <c r="AB51" i="4" a="1"/>
  <c r="AB46" i="4" a="1"/>
  <c r="Q40" i="4" a="1"/>
  <c r="AB45" i="4" a="1"/>
  <c r="AB58" i="4" a="1"/>
  <c r="AB47" i="4" a="1"/>
  <c r="AB67" i="4" a="1"/>
  <c r="AB61" i="4" a="1"/>
  <c r="AB63" i="4" a="1"/>
  <c r="Q40" i="4" l="1"/>
  <c r="F58" i="4"/>
  <c r="AB68" i="4"/>
  <c r="AC68" i="4" s="1"/>
  <c r="AB67" i="4"/>
  <c r="AC67" i="4" s="1"/>
  <c r="AB47" i="4"/>
  <c r="AC47" i="4" s="1"/>
  <c r="AB51" i="4"/>
  <c r="AC51" i="4" s="1"/>
  <c r="AB50" i="4"/>
  <c r="AC50" i="4" s="1"/>
  <c r="AB66" i="4"/>
  <c r="AC66" i="4" s="1"/>
  <c r="AB63" i="4"/>
  <c r="AC63" i="4" s="1"/>
  <c r="AB57" i="4"/>
  <c r="AC57" i="4" s="1"/>
  <c r="AB62" i="4"/>
  <c r="AC62" i="4" s="1"/>
  <c r="AB56" i="4"/>
  <c r="AC56" i="4" s="1"/>
  <c r="AB61" i="4"/>
  <c r="AC61" i="4" s="1"/>
  <c r="AB55" i="4"/>
  <c r="AC55" i="4" s="1"/>
  <c r="AB49" i="4"/>
  <c r="AC49" i="4" s="1"/>
  <c r="AB60" i="4"/>
  <c r="AC60" i="4" s="1"/>
  <c r="AB54" i="4"/>
  <c r="AC54" i="4" s="1"/>
  <c r="AB48" i="4"/>
  <c r="AC48" i="4" s="1"/>
  <c r="AB65" i="4"/>
  <c r="AC65" i="4" s="1"/>
  <c r="AB59" i="4"/>
  <c r="AC59" i="4" s="1"/>
  <c r="AB53" i="4"/>
  <c r="AC53" i="4" s="1"/>
  <c r="AB64" i="4"/>
  <c r="AC64" i="4" s="1"/>
  <c r="AB58" i="4"/>
  <c r="AC58" i="4" s="1"/>
  <c r="AB52" i="4"/>
  <c r="AC52" i="4" s="1"/>
  <c r="AB46" i="4"/>
  <c r="AC46" i="4" s="1"/>
  <c r="AB45" i="4"/>
  <c r="AC45" i="4" s="1"/>
  <c r="G39" i="4" l="1"/>
  <c r="I39" i="4"/>
  <c r="R38" i="4"/>
  <c r="F38" i="4"/>
  <c r="H38" i="4"/>
  <c r="M8" i="4"/>
  <c r="M22" i="6"/>
  <c r="M23" i="6"/>
  <c r="M24" i="6"/>
  <c r="M25" i="6"/>
  <c r="M26" i="6"/>
  <c r="M27" i="6"/>
  <c r="M21" i="6"/>
  <c r="B54" i="6"/>
  <c r="B34" i="6"/>
  <c r="B53" i="6"/>
  <c r="B33" i="6"/>
  <c r="B49" i="6"/>
  <c r="B29" i="6"/>
  <c r="B48" i="6"/>
  <c r="B28" i="6"/>
  <c r="B47" i="6"/>
  <c r="B27" i="6"/>
  <c r="B41" i="6"/>
  <c r="B21" i="6"/>
  <c r="B43" i="6"/>
  <c r="B23" i="6"/>
  <c r="B42" i="6"/>
  <c r="B22" i="6"/>
  <c r="B44" i="6"/>
  <c r="B24" i="6"/>
  <c r="B46" i="6"/>
  <c r="B26" i="6"/>
  <c r="B45" i="6"/>
  <c r="B25" i="6"/>
  <c r="B52" i="6"/>
  <c r="B32" i="6"/>
  <c r="B51" i="6"/>
  <c r="B31" i="6"/>
  <c r="B50" i="6"/>
  <c r="B30" i="6"/>
  <c r="F59" i="4" a="1"/>
  <c r="F59" i="4" l="1"/>
  <c r="H39" i="4"/>
  <c r="G40" i="4" a="1"/>
  <c r="G40" i="4" s="1"/>
  <c r="F39" i="4"/>
  <c r="F45" i="4" s="1"/>
  <c r="G41" i="4"/>
  <c r="H11" i="6"/>
  <c r="E11" i="6"/>
  <c r="H10" i="6"/>
  <c r="E10" i="6"/>
  <c r="H9" i="6"/>
  <c r="E9" i="6"/>
  <c r="H8" i="6"/>
  <c r="E8" i="6"/>
  <c r="H7" i="6"/>
  <c r="E7" i="6"/>
  <c r="H6" i="6"/>
  <c r="E6" i="6"/>
  <c r="H5" i="6"/>
  <c r="E5" i="6"/>
  <c r="H4" i="6"/>
  <c r="E4" i="6"/>
  <c r="H3" i="6"/>
  <c r="E3" i="6"/>
  <c r="D138" i="6" l="1"/>
  <c r="E138" i="6" s="1"/>
  <c r="D135" i="6"/>
  <c r="E135" i="6" s="1"/>
  <c r="D136" i="6"/>
  <c r="E136" i="6" s="1"/>
  <c r="D137" i="6"/>
  <c r="E137" i="6" s="1"/>
  <c r="F150" i="6"/>
  <c r="F138" i="6"/>
  <c r="F131" i="6"/>
  <c r="D142" i="6"/>
  <c r="E142" i="6" s="1"/>
  <c r="D132" i="6"/>
  <c r="E132" i="6" s="1"/>
  <c r="F130" i="6"/>
  <c r="D141" i="6"/>
  <c r="E141" i="6" s="1"/>
  <c r="F129" i="6"/>
  <c r="F149" i="6"/>
  <c r="F148" i="6"/>
  <c r="F137" i="6"/>
  <c r="D140" i="6"/>
  <c r="E140" i="6" s="1"/>
  <c r="F147" i="6"/>
  <c r="F136" i="6"/>
  <c r="F128" i="6"/>
  <c r="D139" i="6"/>
  <c r="E139" i="6" s="1"/>
  <c r="D131" i="6"/>
  <c r="E131" i="6" s="1"/>
  <c r="D134" i="6"/>
  <c r="E134" i="6" s="1"/>
  <c r="D133" i="6"/>
  <c r="E133" i="6" s="1"/>
  <c r="F146" i="6"/>
  <c r="D150" i="6"/>
  <c r="E150" i="6" s="1"/>
  <c r="D130" i="6"/>
  <c r="E130" i="6" s="1"/>
  <c r="F135" i="6"/>
  <c r="D129" i="6"/>
  <c r="E129" i="6" s="1"/>
  <c r="F145" i="6"/>
  <c r="D149" i="6"/>
  <c r="E149" i="6" s="1"/>
  <c r="D143" i="6"/>
  <c r="E143" i="6" s="1"/>
  <c r="F144" i="6"/>
  <c r="D148" i="6"/>
  <c r="E148" i="6" s="1"/>
  <c r="D128" i="6"/>
  <c r="E128" i="6" s="1"/>
  <c r="F139" i="6"/>
  <c r="F143" i="6"/>
  <c r="F134" i="6"/>
  <c r="D147" i="6"/>
  <c r="E147" i="6" s="1"/>
  <c r="F140" i="6"/>
  <c r="F142" i="6"/>
  <c r="F133" i="6"/>
  <c r="D146" i="6"/>
  <c r="E146" i="6" s="1"/>
  <c r="F141" i="6"/>
  <c r="F132" i="6"/>
  <c r="D145" i="6"/>
  <c r="E145" i="6" s="1"/>
  <c r="D144" i="6"/>
  <c r="E144" i="6" s="1"/>
  <c r="D109" i="6"/>
  <c r="E109" i="6" s="1"/>
  <c r="F109" i="6"/>
  <c r="D104" i="6"/>
  <c r="E104" i="6" s="1"/>
  <c r="F104" i="6"/>
  <c r="D100" i="6"/>
  <c r="E100" i="6" s="1"/>
  <c r="F100" i="6"/>
  <c r="D105" i="6"/>
  <c r="E105" i="6" s="1"/>
  <c r="F105" i="6"/>
  <c r="H40" i="4" a="1"/>
  <c r="H40" i="4" s="1"/>
  <c r="F41" i="4"/>
  <c r="F44" i="4"/>
  <c r="H42" i="4"/>
  <c r="F42" i="4"/>
  <c r="F40" i="4" a="1"/>
  <c r="F40" i="4" s="1"/>
  <c r="H41" i="4"/>
  <c r="H44" i="4"/>
  <c r="F43" i="4"/>
  <c r="H45" i="4"/>
  <c r="H43" i="4"/>
  <c r="F99" i="6"/>
  <c r="F111" i="6"/>
  <c r="F123" i="6"/>
  <c r="D106" i="6"/>
  <c r="E106" i="6" s="1"/>
  <c r="D118" i="6"/>
  <c r="E118" i="6" s="1"/>
  <c r="D122" i="6"/>
  <c r="E122" i="6" s="1"/>
  <c r="D101" i="6"/>
  <c r="E101" i="6" s="1"/>
  <c r="D125" i="6"/>
  <c r="E125" i="6" s="1"/>
  <c r="D115" i="6"/>
  <c r="E115" i="6" s="1"/>
  <c r="F112" i="6"/>
  <c r="F124" i="6"/>
  <c r="D107" i="6"/>
  <c r="E107" i="6" s="1"/>
  <c r="D119" i="6"/>
  <c r="E119" i="6" s="1"/>
  <c r="D110" i="6"/>
  <c r="E110" i="6" s="1"/>
  <c r="F116" i="6"/>
  <c r="D111" i="6"/>
  <c r="E111" i="6" s="1"/>
  <c r="D112" i="6"/>
  <c r="E112" i="6" s="1"/>
  <c r="D114" i="6"/>
  <c r="E114" i="6" s="1"/>
  <c r="F101" i="6"/>
  <c r="F113" i="6"/>
  <c r="F125" i="6"/>
  <c r="D108" i="6"/>
  <c r="E108" i="6" s="1"/>
  <c r="D120" i="6"/>
  <c r="E120" i="6" s="1"/>
  <c r="F127" i="6"/>
  <c r="D99" i="6"/>
  <c r="E99" i="6" s="1"/>
  <c r="D123" i="6"/>
  <c r="E123" i="6" s="1"/>
  <c r="D102" i="6"/>
  <c r="E102" i="6" s="1"/>
  <c r="F102" i="6"/>
  <c r="F114" i="6"/>
  <c r="F126" i="6"/>
  <c r="D121" i="6"/>
  <c r="E121" i="6" s="1"/>
  <c r="F115" i="6"/>
  <c r="F117" i="6"/>
  <c r="D124" i="6"/>
  <c r="E124" i="6" s="1"/>
  <c r="D127" i="6"/>
  <c r="E127" i="6" s="1"/>
  <c r="F103" i="6"/>
  <c r="F118" i="6"/>
  <c r="D113" i="6"/>
  <c r="E113" i="6" s="1"/>
  <c r="D126" i="6"/>
  <c r="E126" i="6" s="1"/>
  <c r="F106" i="6"/>
  <c r="D103" i="6"/>
  <c r="E103" i="6" s="1"/>
  <c r="F107" i="6"/>
  <c r="F108" i="6"/>
  <c r="F121" i="6"/>
  <c r="D116" i="6"/>
  <c r="E116" i="6" s="1"/>
  <c r="F122" i="6"/>
  <c r="D117" i="6"/>
  <c r="E117" i="6" s="1"/>
  <c r="F119" i="6"/>
  <c r="F120" i="6"/>
  <c r="F110" i="6"/>
  <c r="P63" i="4" l="1"/>
  <c r="N61" i="4"/>
  <c r="N59" i="4"/>
  <c r="N60" i="4" s="1"/>
  <c r="P60" i="4" s="1"/>
  <c r="J84" i="4"/>
  <c r="L63" i="4"/>
  <c r="J61" i="4"/>
  <c r="J59" i="4"/>
  <c r="J60" i="4" s="1"/>
  <c r="L60" i="4" s="1"/>
  <c r="Y79" i="4"/>
  <c r="Z79" i="4" s="1"/>
  <c r="Y78" i="4"/>
  <c r="Z78" i="4" s="1"/>
  <c r="V95" i="4"/>
  <c r="V98" i="4" s="1"/>
  <c r="V94" i="4"/>
  <c r="U95" i="4"/>
  <c r="U98" i="4" s="1"/>
  <c r="U94" i="4"/>
  <c r="S95" i="4"/>
  <c r="S98" i="4" s="1"/>
  <c r="S94" i="4"/>
  <c r="V81" i="4"/>
  <c r="V80" i="4"/>
  <c r="U81" i="4"/>
  <c r="S81" i="4"/>
  <c r="S80" i="4"/>
  <c r="S84" i="4" s="1"/>
  <c r="U80" i="4"/>
  <c r="J81" i="4"/>
  <c r="J82" i="4" s="1"/>
  <c r="L82" i="4" s="1"/>
  <c r="J83" i="4"/>
  <c r="F83" i="4"/>
  <c r="F81" i="4"/>
  <c r="H280" i="4"/>
  <c r="H279" i="4"/>
  <c r="H278" i="4"/>
  <c r="H277" i="4"/>
  <c r="H276" i="4"/>
  <c r="H275" i="4"/>
  <c r="H274" i="4"/>
  <c r="H273" i="4"/>
  <c r="H269" i="4"/>
  <c r="F270" i="4" s="1"/>
  <c r="F267" i="4"/>
  <c r="H267" i="4" s="1"/>
  <c r="H266" i="4"/>
  <c r="H262" i="4"/>
  <c r="H261" i="4"/>
  <c r="H260" i="4"/>
  <c r="H259" i="4"/>
  <c r="H258" i="4"/>
  <c r="H257" i="4"/>
  <c r="H256" i="4"/>
  <c r="H255" i="4"/>
  <c r="F248" i="4"/>
  <c r="H247" i="4"/>
  <c r="H242" i="4"/>
  <c r="H241" i="4"/>
  <c r="H240" i="4"/>
  <c r="H239" i="4"/>
  <c r="H238" i="4"/>
  <c r="H237" i="4"/>
  <c r="F231" i="4"/>
  <c r="F235" i="4" s="1"/>
  <c r="H230" i="4"/>
  <c r="H227" i="4"/>
  <c r="H226" i="4"/>
  <c r="H225" i="4"/>
  <c r="H224" i="4"/>
  <c r="H223" i="4"/>
  <c r="H222" i="4"/>
  <c r="H221" i="4"/>
  <c r="H220" i="4"/>
  <c r="H216" i="4"/>
  <c r="F213" i="4"/>
  <c r="H213" i="4" s="1"/>
  <c r="H212" i="4"/>
  <c r="H208" i="4"/>
  <c r="H207" i="4"/>
  <c r="H206" i="4"/>
  <c r="H205" i="4"/>
  <c r="H204" i="4"/>
  <c r="H203" i="4"/>
  <c r="H202" i="4"/>
  <c r="H201" i="4"/>
  <c r="F194" i="4"/>
  <c r="H193" i="4"/>
  <c r="H171" i="4"/>
  <c r="H170" i="4"/>
  <c r="H167" i="4"/>
  <c r="H166" i="4"/>
  <c r="H165" i="4"/>
  <c r="H164" i="4"/>
  <c r="F163" i="4"/>
  <c r="H163" i="4" s="1"/>
  <c r="H162" i="4"/>
  <c r="F156" i="4"/>
  <c r="F154" i="4"/>
  <c r="H153" i="4"/>
  <c r="H152" i="4"/>
  <c r="M147" i="4"/>
  <c r="H147" i="4"/>
  <c r="M146" i="4"/>
  <c r="H146" i="4"/>
  <c r="M143" i="4"/>
  <c r="H143" i="4"/>
  <c r="M142" i="4"/>
  <c r="H142" i="4"/>
  <c r="M141" i="4"/>
  <c r="H141" i="4"/>
  <c r="M140" i="4"/>
  <c r="H140" i="4"/>
  <c r="K139" i="4"/>
  <c r="M139" i="4" s="1"/>
  <c r="F139" i="4"/>
  <c r="H139" i="4" s="1"/>
  <c r="M138" i="4"/>
  <c r="H138" i="4"/>
  <c r="K132" i="4"/>
  <c r="F132" i="4"/>
  <c r="K130" i="4"/>
  <c r="F130" i="4"/>
  <c r="M129" i="4"/>
  <c r="H129" i="4"/>
  <c r="M128" i="4"/>
  <c r="H128" i="4"/>
  <c r="H122" i="4"/>
  <c r="H121" i="4"/>
  <c r="H118" i="4"/>
  <c r="H117" i="4"/>
  <c r="H116" i="4"/>
  <c r="H115" i="4"/>
  <c r="F114" i="4"/>
  <c r="H114" i="4" s="1"/>
  <c r="H113" i="4"/>
  <c r="F107" i="4"/>
  <c r="F105" i="4"/>
  <c r="H104" i="4"/>
  <c r="H103" i="4"/>
  <c r="H98" i="4"/>
  <c r="H97" i="4"/>
  <c r="P94" i="4"/>
  <c r="L94" i="4"/>
  <c r="H94" i="4"/>
  <c r="P93" i="4"/>
  <c r="L93" i="4"/>
  <c r="H93" i="4"/>
  <c r="P92" i="4"/>
  <c r="L92" i="4"/>
  <c r="H92" i="4"/>
  <c r="P91" i="4"/>
  <c r="L91" i="4"/>
  <c r="H91" i="4"/>
  <c r="N90" i="4"/>
  <c r="P90" i="4" s="1"/>
  <c r="J90" i="4"/>
  <c r="L90" i="4" s="1"/>
  <c r="F90" i="4"/>
  <c r="H90" i="4" s="1"/>
  <c r="P89" i="4"/>
  <c r="L89" i="4"/>
  <c r="H89" i="4"/>
  <c r="N87" i="4"/>
  <c r="P85" i="4"/>
  <c r="N82" i="4"/>
  <c r="P82" i="4" s="1"/>
  <c r="P81" i="4"/>
  <c r="P80" i="4"/>
  <c r="L80" i="4"/>
  <c r="H80" i="4"/>
  <c r="P79" i="4"/>
  <c r="L79" i="4"/>
  <c r="H79" i="4"/>
  <c r="P72" i="4"/>
  <c r="L72" i="4"/>
  <c r="H72" i="4"/>
  <c r="P71" i="4"/>
  <c r="L71" i="4"/>
  <c r="H71" i="4"/>
  <c r="P68" i="4"/>
  <c r="L68" i="4"/>
  <c r="P67" i="4"/>
  <c r="L67" i="4"/>
  <c r="H63" i="4"/>
  <c r="F60" i="4"/>
  <c r="H60" i="4" s="1"/>
  <c r="H59" i="4"/>
  <c r="P58" i="4"/>
  <c r="L58" i="4"/>
  <c r="H58" i="4"/>
  <c r="P57" i="4"/>
  <c r="L57" i="4"/>
  <c r="H57" i="4"/>
  <c r="X6" i="4"/>
  <c r="W8" i="4" s="1"/>
  <c r="K10" i="3"/>
  <c r="K5" i="3"/>
  <c r="K6" i="3"/>
  <c r="K7" i="3"/>
  <c r="K8" i="3"/>
  <c r="K9" i="3"/>
  <c r="X66" i="1"/>
  <c r="O8" i="1"/>
  <c r="T58" i="1"/>
  <c r="P58" i="1"/>
  <c r="J57" i="1"/>
  <c r="J38" i="1"/>
  <c r="L36" i="1"/>
  <c r="J37" i="1" s="1"/>
  <c r="T31" i="1"/>
  <c r="T30" i="1"/>
  <c r="P31" i="1"/>
  <c r="P30" i="1"/>
  <c r="L31" i="1"/>
  <c r="L30" i="1"/>
  <c r="N38" i="1"/>
  <c r="F35" i="1"/>
  <c r="P36" i="1"/>
  <c r="N36" i="1" s="1"/>
  <c r="N33" i="1"/>
  <c r="P33" i="1" s="1"/>
  <c r="P32" i="1"/>
  <c r="T45" i="1"/>
  <c r="T44" i="1"/>
  <c r="T41" i="1"/>
  <c r="T40" i="1"/>
  <c r="T36" i="1"/>
  <c r="R38" i="1"/>
  <c r="R33" i="1"/>
  <c r="T33" i="1" s="1"/>
  <c r="T32" i="1"/>
  <c r="P45" i="1"/>
  <c r="P44" i="1"/>
  <c r="P41" i="1"/>
  <c r="P40" i="1"/>
  <c r="L45" i="1"/>
  <c r="L44" i="1"/>
  <c r="L41" i="1"/>
  <c r="L40" i="1"/>
  <c r="J33" i="1"/>
  <c r="L33" i="1" s="1"/>
  <c r="L32" i="1"/>
  <c r="H36" i="1"/>
  <c r="T67" i="1"/>
  <c r="T66" i="1"/>
  <c r="T65" i="1"/>
  <c r="T64" i="1"/>
  <c r="R63" i="1"/>
  <c r="T63" i="1" s="1"/>
  <c r="T62" i="1"/>
  <c r="T53" i="1"/>
  <c r="T52" i="1"/>
  <c r="P67" i="1"/>
  <c r="P66" i="1"/>
  <c r="P65" i="1"/>
  <c r="P64" i="1"/>
  <c r="N63" i="1"/>
  <c r="P63" i="1" s="1"/>
  <c r="P62" i="1"/>
  <c r="P53" i="1"/>
  <c r="P52" i="1"/>
  <c r="L67" i="1"/>
  <c r="L66" i="1"/>
  <c r="L65" i="1"/>
  <c r="L64" i="1"/>
  <c r="J63" i="1"/>
  <c r="L63" i="1" s="1"/>
  <c r="L62" i="1"/>
  <c r="L53" i="1"/>
  <c r="L52" i="1"/>
  <c r="M120" i="1"/>
  <c r="M119" i="1"/>
  <c r="M116" i="1"/>
  <c r="M115" i="1"/>
  <c r="M114" i="1"/>
  <c r="M113" i="1"/>
  <c r="K112" i="1"/>
  <c r="M112" i="1" s="1"/>
  <c r="M111" i="1"/>
  <c r="K105" i="1"/>
  <c r="K103" i="1"/>
  <c r="M102" i="1"/>
  <c r="M101" i="1"/>
  <c r="H144" i="1"/>
  <c r="H143" i="1"/>
  <c r="H140" i="1"/>
  <c r="H139" i="1"/>
  <c r="H138" i="1"/>
  <c r="H137" i="1"/>
  <c r="F136" i="1"/>
  <c r="H136" i="1" s="1"/>
  <c r="H135" i="1"/>
  <c r="F129" i="1"/>
  <c r="F127" i="1"/>
  <c r="H126" i="1"/>
  <c r="H125" i="1"/>
  <c r="H120" i="1"/>
  <c r="H119" i="1"/>
  <c r="H116" i="1"/>
  <c r="H115" i="1"/>
  <c r="H114" i="1"/>
  <c r="H113" i="1"/>
  <c r="F112" i="1"/>
  <c r="H112" i="1" s="1"/>
  <c r="H111" i="1"/>
  <c r="F105" i="1"/>
  <c r="F103" i="1"/>
  <c r="H102" i="1"/>
  <c r="H101" i="1"/>
  <c r="H95" i="1"/>
  <c r="H94" i="1"/>
  <c r="H91" i="1"/>
  <c r="H90" i="1"/>
  <c r="H89" i="1"/>
  <c r="H88" i="1"/>
  <c r="F87" i="1"/>
  <c r="H87" i="1" s="1"/>
  <c r="H86" i="1"/>
  <c r="F80" i="1"/>
  <c r="F78" i="1"/>
  <c r="H77" i="1"/>
  <c r="H76" i="1"/>
  <c r="H53" i="1"/>
  <c r="H52" i="1"/>
  <c r="H31" i="1"/>
  <c r="H30" i="1"/>
  <c r="F63" i="1"/>
  <c r="F62" i="4" l="1"/>
  <c r="F157" i="4" s="1"/>
  <c r="U97" i="4"/>
  <c r="V305" i="4"/>
  <c r="J65" i="4"/>
  <c r="J64" i="4"/>
  <c r="H231" i="4"/>
  <c r="V97" i="4"/>
  <c r="S97" i="4"/>
  <c r="H233" i="4"/>
  <c r="F234" i="4" s="1"/>
  <c r="F269" i="4"/>
  <c r="F108" i="4"/>
  <c r="V83" i="4"/>
  <c r="S83" i="4"/>
  <c r="S305" i="4"/>
  <c r="U305" i="4"/>
  <c r="F196" i="4"/>
  <c r="N84" i="4"/>
  <c r="N86" i="4" s="1"/>
  <c r="F215" i="4"/>
  <c r="F217" i="4" s="1"/>
  <c r="F65" i="4"/>
  <c r="P59" i="4"/>
  <c r="N65" i="4"/>
  <c r="F84" i="4"/>
  <c r="F250" i="4"/>
  <c r="F133" i="4"/>
  <c r="L59" i="4"/>
  <c r="N64" i="4"/>
  <c r="N63" i="4"/>
  <c r="F64" i="4"/>
  <c r="F63" i="4"/>
  <c r="U83" i="4"/>
  <c r="L85" i="4"/>
  <c r="J87" i="4"/>
  <c r="L81" i="4"/>
  <c r="H85" i="4"/>
  <c r="F87" i="4"/>
  <c r="F82" i="4"/>
  <c r="H82" i="4" s="1"/>
  <c r="H81" i="4"/>
  <c r="F253" i="4"/>
  <c r="H248" i="4"/>
  <c r="H251" i="4"/>
  <c r="F216" i="4"/>
  <c r="H194" i="4"/>
  <c r="H197" i="4"/>
  <c r="F199" i="4"/>
  <c r="F160" i="4"/>
  <c r="H158" i="4"/>
  <c r="F155" i="4"/>
  <c r="H155" i="4" s="1"/>
  <c r="H154" i="4"/>
  <c r="M134" i="4"/>
  <c r="K136" i="4"/>
  <c r="H134" i="4"/>
  <c r="F136" i="4"/>
  <c r="M130" i="4"/>
  <c r="K131" i="4"/>
  <c r="M131" i="4" s="1"/>
  <c r="H130" i="4"/>
  <c r="F131" i="4"/>
  <c r="H131" i="4" s="1"/>
  <c r="H109" i="4"/>
  <c r="F111" i="4"/>
  <c r="H105" i="4"/>
  <c r="F106" i="4"/>
  <c r="H106" i="4" s="1"/>
  <c r="N57" i="1"/>
  <c r="N37" i="1"/>
  <c r="N39" i="1" s="1"/>
  <c r="R36" i="1"/>
  <c r="R37" i="1"/>
  <c r="R39" i="1" s="1"/>
  <c r="J36" i="1"/>
  <c r="J39" i="1"/>
  <c r="F38" i="1"/>
  <c r="F57" i="1"/>
  <c r="K106" i="1"/>
  <c r="F130" i="1"/>
  <c r="F106" i="1"/>
  <c r="F81" i="1"/>
  <c r="R57" i="1"/>
  <c r="T54" i="1"/>
  <c r="R60" i="1"/>
  <c r="R55" i="1"/>
  <c r="T55" i="1" s="1"/>
  <c r="P54" i="1"/>
  <c r="N60" i="1"/>
  <c r="N55" i="1"/>
  <c r="P55" i="1" s="1"/>
  <c r="J60" i="1"/>
  <c r="L55" i="1"/>
  <c r="L58" i="1"/>
  <c r="L54" i="1"/>
  <c r="K109" i="1"/>
  <c r="M107" i="1"/>
  <c r="M103" i="1"/>
  <c r="K104" i="1"/>
  <c r="M104" i="1" s="1"/>
  <c r="F133" i="1"/>
  <c r="H131" i="1"/>
  <c r="F128" i="1"/>
  <c r="H128" i="1" s="1"/>
  <c r="H127" i="1"/>
  <c r="F104" i="1"/>
  <c r="H104" i="1" s="1"/>
  <c r="H103" i="1"/>
  <c r="H107" i="1"/>
  <c r="F109" i="1"/>
  <c r="H78" i="1"/>
  <c r="H82" i="1"/>
  <c r="F84" i="1"/>
  <c r="F79" i="1"/>
  <c r="H79" i="1" s="1"/>
  <c r="F60" i="1"/>
  <c r="AD6" i="1"/>
  <c r="AC8" i="1" s="1"/>
  <c r="H71" i="1"/>
  <c r="H70" i="1"/>
  <c r="H67" i="1"/>
  <c r="H66" i="1"/>
  <c r="H65" i="1"/>
  <c r="H64" i="1"/>
  <c r="H63" i="1"/>
  <c r="H62" i="1"/>
  <c r="H58" i="1"/>
  <c r="F59" i="1" s="1"/>
  <c r="F55" i="1"/>
  <c r="H55" i="1" s="1"/>
  <c r="H54" i="1"/>
  <c r="H45" i="1"/>
  <c r="H44" i="1"/>
  <c r="K133" i="4" l="1"/>
  <c r="K135" i="4" s="1"/>
  <c r="F233" i="4"/>
  <c r="J66" i="4"/>
  <c r="N66" i="4"/>
  <c r="Q63" i="4"/>
  <c r="Q67" i="4" s="1"/>
  <c r="R62" i="4"/>
  <c r="F86" i="4"/>
  <c r="J63" i="4"/>
  <c r="J85" i="4"/>
  <c r="J86" i="4"/>
  <c r="F85" i="4"/>
  <c r="F251" i="4"/>
  <c r="F252" i="4"/>
  <c r="F271" i="4" s="1"/>
  <c r="F198" i="4"/>
  <c r="F218" i="4" s="1"/>
  <c r="F197" i="4"/>
  <c r="F159" i="4"/>
  <c r="F158" i="4"/>
  <c r="K134" i="4"/>
  <c r="F134" i="4"/>
  <c r="F135" i="4"/>
  <c r="F110" i="4"/>
  <c r="F109" i="4"/>
  <c r="R59" i="1"/>
  <c r="N59" i="1"/>
  <c r="J58" i="1"/>
  <c r="X59" i="1" s="1"/>
  <c r="J59" i="1"/>
  <c r="K107" i="1"/>
  <c r="K108" i="1"/>
  <c r="F132" i="1"/>
  <c r="F131" i="1"/>
  <c r="F108" i="1"/>
  <c r="F107" i="1"/>
  <c r="F83" i="1"/>
  <c r="F82" i="1"/>
  <c r="F58" i="1"/>
  <c r="Y58" i="1" s="1"/>
  <c r="F33" i="1"/>
  <c r="F223" i="1"/>
  <c r="F188" i="1"/>
  <c r="F169" i="1"/>
  <c r="H200" i="1"/>
  <c r="H199" i="1"/>
  <c r="H166" i="1"/>
  <c r="H253" i="1"/>
  <c r="H252" i="1"/>
  <c r="H235" i="1"/>
  <c r="H234" i="1"/>
  <c r="H181" i="1"/>
  <c r="H180" i="1"/>
  <c r="H251" i="1"/>
  <c r="H250" i="1"/>
  <c r="H249" i="1"/>
  <c r="H248" i="1"/>
  <c r="H247" i="1"/>
  <c r="H246" i="1"/>
  <c r="H242" i="1"/>
  <c r="F243" i="1" s="1"/>
  <c r="F240" i="1"/>
  <c r="H240" i="1" s="1"/>
  <c r="H239" i="1"/>
  <c r="H233" i="1"/>
  <c r="H232" i="1"/>
  <c r="H231" i="1"/>
  <c r="H230" i="1"/>
  <c r="H229" i="1"/>
  <c r="H228" i="1"/>
  <c r="F221" i="1"/>
  <c r="H221" i="1" s="1"/>
  <c r="H220" i="1"/>
  <c r="H215" i="1"/>
  <c r="H214" i="1"/>
  <c r="H213" i="1"/>
  <c r="H212" i="1"/>
  <c r="H211" i="1"/>
  <c r="H210" i="1"/>
  <c r="F204" i="1"/>
  <c r="F208" i="1" s="1"/>
  <c r="H203" i="1"/>
  <c r="H198" i="1"/>
  <c r="H197" i="1"/>
  <c r="H196" i="1"/>
  <c r="H195" i="1"/>
  <c r="H194" i="1"/>
  <c r="H193" i="1"/>
  <c r="H189" i="1"/>
  <c r="F186" i="1"/>
  <c r="H186" i="1" s="1"/>
  <c r="H185" i="1"/>
  <c r="F190" i="1" l="1"/>
  <c r="F242" i="1"/>
  <c r="H224" i="1"/>
  <c r="F225" i="1" s="1"/>
  <c r="F226" i="1"/>
  <c r="F167" i="1"/>
  <c r="H167" i="1" s="1"/>
  <c r="H204" i="1"/>
  <c r="H206" i="1"/>
  <c r="F189" i="1"/>
  <c r="F36" i="1" l="1"/>
  <c r="W37" i="1" s="1"/>
  <c r="W41" i="1" s="1"/>
  <c r="F37" i="1"/>
  <c r="F224" i="1"/>
  <c r="H170" i="1"/>
  <c r="F171" i="1" s="1"/>
  <c r="F191" i="1" s="1"/>
  <c r="F172" i="1"/>
  <c r="F244" i="1"/>
  <c r="F207" i="1"/>
  <c r="F206" i="1"/>
  <c r="F170" i="1" l="1"/>
  <c r="H178" i="1"/>
  <c r="H177" i="1"/>
  <c r="H179" i="1"/>
  <c r="H175" i="1"/>
  <c r="H176" i="1"/>
  <c r="H174" i="1"/>
  <c r="H33" i="1"/>
  <c r="H32" i="1"/>
  <c r="A105" i="2" l="1"/>
  <c r="A95" i="2"/>
  <c r="AK94" i="2" a="1"/>
  <c r="AK94" i="2" s="1"/>
  <c r="AK93" i="2" a="1"/>
  <c r="AK93" i="2" s="1"/>
  <c r="Y89" i="2"/>
  <c r="U89" i="2"/>
  <c r="Q89" i="2"/>
  <c r="M89" i="2"/>
  <c r="I89" i="2"/>
  <c r="E89" i="2"/>
  <c r="AM87" i="2"/>
  <c r="AQ87" i="2" s="1"/>
  <c r="Y87" i="2"/>
  <c r="U87" i="2"/>
  <c r="Q87" i="2"/>
  <c r="M87" i="2"/>
  <c r="I87" i="2"/>
  <c r="Y85" i="2"/>
  <c r="U85" i="2"/>
  <c r="Q85" i="2"/>
  <c r="M85" i="2"/>
  <c r="I85" i="2"/>
  <c r="AM83" i="2" a="1"/>
  <c r="AM83" i="2" s="1"/>
  <c r="AO83" i="2" s="1"/>
  <c r="Y81" i="2"/>
  <c r="U81" i="2"/>
  <c r="Q81" i="2"/>
  <c r="M81" i="2"/>
  <c r="I81" i="2"/>
  <c r="A77" i="2"/>
  <c r="A76" i="2"/>
  <c r="AK75" i="2" a="1"/>
  <c r="AK75" i="2" s="1"/>
  <c r="AK73" i="2" a="1"/>
  <c r="AK73" i="2" s="1"/>
  <c r="M67" i="2"/>
  <c r="A40" i="2"/>
  <c r="AI35" i="2"/>
  <c r="Y66" i="2"/>
  <c r="I66" i="2"/>
  <c r="C23" i="2"/>
  <c r="V16" i="2"/>
  <c r="E10" i="2"/>
  <c r="I68" i="2" l="1"/>
  <c r="E66" i="2"/>
  <c r="AC53" i="2"/>
  <c r="R55" i="2"/>
  <c r="Y67" i="2"/>
  <c r="Y72" i="2"/>
  <c r="AA91" i="2"/>
  <c r="AC52" i="2"/>
  <c r="M66" i="2"/>
  <c r="M55" i="2"/>
  <c r="E55" i="2"/>
  <c r="Q66" i="2"/>
  <c r="U66" i="2"/>
  <c r="U93" i="2" a="1"/>
  <c r="U93" i="2" s="1"/>
  <c r="Y70" i="2"/>
  <c r="AC56" i="2"/>
  <c r="U67" i="2"/>
  <c r="M97" i="2" a="1"/>
  <c r="M97" i="2" s="1"/>
  <c r="M93" i="2" l="1" a="1"/>
  <c r="M93" i="2" s="1"/>
  <c r="Y93" i="2" a="1"/>
  <c r="Y93" i="2" s="1"/>
  <c r="AC49" i="2"/>
  <c r="U55" i="2"/>
  <c r="Y95" i="2" a="1"/>
  <c r="Y95" i="2" s="1"/>
  <c r="Y55" i="2"/>
  <c r="Q68" i="2"/>
  <c r="Y71" i="2"/>
  <c r="U68" i="2"/>
  <c r="Y96" i="2"/>
  <c r="Q67" i="2"/>
  <c r="Q95" i="2" a="1"/>
  <c r="Q95" i="2" s="1"/>
  <c r="Q93" i="2" a="1"/>
  <c r="Q93" i="2" s="1"/>
  <c r="Q97" i="2" a="1"/>
  <c r="Q97" i="2" s="1"/>
  <c r="M68" i="2"/>
  <c r="Q70" i="2"/>
  <c r="E68" i="2"/>
  <c r="Y68" i="2"/>
  <c r="I55" i="2"/>
  <c r="AC55" i="2" s="1"/>
  <c r="I95" i="2" a="1"/>
  <c r="I95" i="2" s="1"/>
  <c r="I93" i="2" a="1"/>
  <c r="I93" i="2" s="1"/>
  <c r="I97" i="2" a="1"/>
  <c r="I97" i="2" s="1"/>
  <c r="I67" i="2"/>
  <c r="M95" i="2" a="1"/>
  <c r="M95" i="2" s="1"/>
  <c r="Y97" i="2" a="1"/>
  <c r="Y97" i="2" s="1"/>
  <c r="E95" i="2" a="1"/>
  <c r="E95" i="2" s="1"/>
  <c r="E93" i="2" a="1"/>
  <c r="E93" i="2" s="1"/>
  <c r="E97" i="2" a="1"/>
  <c r="E97" i="2" s="1"/>
  <c r="E67" i="2"/>
  <c r="AC50" i="2"/>
  <c r="AC51" i="2"/>
  <c r="AC47" i="2"/>
  <c r="AC48" i="2"/>
  <c r="U95" i="2" a="1"/>
  <c r="U95" i="2" s="1"/>
  <c r="U98" i="2" s="1"/>
  <c r="U97" i="2" a="1"/>
  <c r="U97" i="2" s="1"/>
  <c r="AC54" i="2"/>
  <c r="Y103" i="2" l="1"/>
  <c r="Y98" i="2"/>
  <c r="E70" i="2"/>
  <c r="Y104" i="2"/>
  <c r="U103" i="2"/>
  <c r="E94" i="2"/>
  <c r="E101" i="2"/>
  <c r="AG93" i="2"/>
  <c r="E98" i="2"/>
  <c r="AC93" i="2"/>
  <c r="AM91" i="2" s="1"/>
  <c r="AC103" i="2"/>
  <c r="E103" i="2"/>
  <c r="I98" i="2"/>
  <c r="I103" i="2"/>
  <c r="I94" i="2"/>
  <c r="U70" i="2"/>
  <c r="AC97" i="2"/>
  <c r="M71" i="2"/>
  <c r="M96" i="2"/>
  <c r="M104" i="2" s="1"/>
  <c r="AC95" i="2"/>
  <c r="U94" i="2"/>
  <c r="Q98" i="2"/>
  <c r="Q103" i="2"/>
  <c r="Q94" i="2"/>
  <c r="I72" i="2"/>
  <c r="K91" i="2"/>
  <c r="M70" i="2"/>
  <c r="M94" i="2"/>
  <c r="E71" i="2"/>
  <c r="E96" i="2"/>
  <c r="E104" i="2" s="1"/>
  <c r="AC71" i="2"/>
  <c r="M103" i="2"/>
  <c r="M98" i="2"/>
  <c r="I71" i="2"/>
  <c r="I96" i="2"/>
  <c r="I104" i="2" s="1"/>
  <c r="G91" i="2"/>
  <c r="E72" i="2"/>
  <c r="Y94" i="2"/>
  <c r="U72" i="2"/>
  <c r="W91" i="2"/>
  <c r="Q71" i="2"/>
  <c r="Q96" i="2"/>
  <c r="Q104" i="2" s="1"/>
  <c r="I70" i="2"/>
  <c r="U71" i="2"/>
  <c r="U96" i="2"/>
  <c r="U104" i="2" s="1"/>
  <c r="U83" i="2" a="1"/>
  <c r="Y83" i="2" a="1"/>
  <c r="U83" i="2" l="1"/>
  <c r="Y83" i="2"/>
  <c r="AC98" i="2"/>
  <c r="Q72" i="2"/>
  <c r="S91" i="2"/>
  <c r="AC94" i="2"/>
  <c r="M72" i="2"/>
  <c r="O91" i="2"/>
  <c r="AC96" i="2"/>
  <c r="AI95" i="2"/>
  <c r="AC104" i="2"/>
  <c r="I83" i="2" a="1"/>
  <c r="Q83" i="2" a="1"/>
  <c r="M83" i="2" a="1"/>
  <c r="E83" i="2" a="1"/>
  <c r="AI83" i="2" a="1"/>
  <c r="M83" i="2" l="1"/>
  <c r="Q83" i="2"/>
  <c r="E83" i="2"/>
  <c r="I83" i="2"/>
  <c r="AI83" i="2"/>
  <c r="E102" i="2"/>
  <c r="E10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<sst xmlns="http://schemas.openxmlformats.org/spreadsheetml/2006/main" count="3928" uniqueCount="932">
  <si>
    <t xml:space="preserve">                      XNNOV Renewable Solutions</t>
  </si>
  <si>
    <t>Project Data</t>
  </si>
  <si>
    <t>Project Name :</t>
  </si>
  <si>
    <t>Date :</t>
  </si>
  <si>
    <t>Company name :</t>
  </si>
  <si>
    <t>Prepared for :</t>
  </si>
  <si>
    <t>Prepared By :</t>
  </si>
  <si>
    <t>Nicolas Aouad</t>
  </si>
  <si>
    <t>Compressor RLA</t>
  </si>
  <si>
    <t>Submital # :</t>
  </si>
  <si>
    <t>Country :</t>
  </si>
  <si>
    <t>Canada</t>
  </si>
  <si>
    <t>MOP Calculation</t>
  </si>
  <si>
    <t>Reference City :</t>
  </si>
  <si>
    <t>City :</t>
  </si>
  <si>
    <t>Design % :</t>
  </si>
  <si>
    <t>Altitude :</t>
  </si>
  <si>
    <t>OA DB :</t>
  </si>
  <si>
    <t>OA WB :</t>
  </si>
  <si>
    <t>Unit Overview</t>
  </si>
  <si>
    <t>Application :</t>
  </si>
  <si>
    <t>AWHP-4P</t>
  </si>
  <si>
    <t>Capacity :</t>
  </si>
  <si>
    <t>Compressor Type : PSG800</t>
  </si>
  <si>
    <t>Power :</t>
  </si>
  <si>
    <t>575-3-60</t>
  </si>
  <si>
    <t>Coolant :</t>
  </si>
  <si>
    <t>PG</t>
  </si>
  <si>
    <t>Percent :</t>
  </si>
  <si>
    <t>Compressor Type :</t>
  </si>
  <si>
    <t>Scroll</t>
  </si>
  <si>
    <t>Model # :</t>
  </si>
  <si>
    <t>Quantity :</t>
  </si>
  <si>
    <t>Condenser Type :</t>
  </si>
  <si>
    <t>Brazed Plate - Dual Circuit</t>
  </si>
  <si>
    <t>AH44SV200C5FB1E6B100M</t>
  </si>
  <si>
    <t>Evaporator Type :</t>
  </si>
  <si>
    <t>Refrigerant :</t>
  </si>
  <si>
    <t>GWP :</t>
  </si>
  <si>
    <t>ASHRAE Class :</t>
  </si>
  <si>
    <t>Unit Model # :</t>
  </si>
  <si>
    <t>Circuit Qty :</t>
  </si>
  <si>
    <t>Unit Weight :</t>
  </si>
  <si>
    <t>Dim. WxLxH :</t>
  </si>
  <si>
    <t>Unit MCA :</t>
  </si>
  <si>
    <t>Unit MOP :</t>
  </si>
  <si>
    <t>Unit FLA :</t>
  </si>
  <si>
    <t>Cooling / Simultaneous Performance</t>
  </si>
  <si>
    <t>Circuit 1</t>
  </si>
  <si>
    <t>Circuit 2</t>
  </si>
  <si>
    <t>Circuit Model # :</t>
  </si>
  <si>
    <t>Compressor Model :</t>
  </si>
  <si>
    <t>Compressor Qty :</t>
  </si>
  <si>
    <t>Condenser Model :</t>
  </si>
  <si>
    <t>Condenser Qty :</t>
  </si>
  <si>
    <t>Evaporator Model :</t>
  </si>
  <si>
    <t>Evaporator Qty :</t>
  </si>
  <si>
    <t>Cooling OAT 95°F</t>
  </si>
  <si>
    <t>Simultaneous 1</t>
  </si>
  <si>
    <t>Simultaneous 2</t>
  </si>
  <si>
    <t>Compressor Speed :</t>
  </si>
  <si>
    <t>SST :</t>
  </si>
  <si>
    <t>SDT :</t>
  </si>
  <si>
    <t>SST</t>
  </si>
  <si>
    <t>Cooling Capacity :</t>
  </si>
  <si>
    <t>Comp Cooling Capacity :</t>
  </si>
  <si>
    <t>SDT</t>
  </si>
  <si>
    <t>Compressor Power :</t>
  </si>
  <si>
    <t>Cond Fans Power :</t>
  </si>
  <si>
    <t>Heating Capacity :</t>
  </si>
  <si>
    <t xml:space="preserve"> Heating COP :</t>
  </si>
  <si>
    <t>Cooling COP :</t>
  </si>
  <si>
    <t>Simultaneous COP :</t>
  </si>
  <si>
    <t>HW Inlet Temp. :</t>
  </si>
  <si>
    <t>HW Outlet Temp. :</t>
  </si>
  <si>
    <t>HW Flow :</t>
  </si>
  <si>
    <t>HW PD  :</t>
  </si>
  <si>
    <t>CW Inlet Temp. :</t>
  </si>
  <si>
    <t>CW Outlet Temp. :</t>
  </si>
  <si>
    <t>CW Flow :</t>
  </si>
  <si>
    <t>CW PD  :</t>
  </si>
  <si>
    <t>www.xnnov.com</t>
  </si>
  <si>
    <t>Heating Performance</t>
  </si>
  <si>
    <t>YAW1341E-7X9</t>
  </si>
  <si>
    <t>YAI174K1E-TFE</t>
  </si>
  <si>
    <t>Variable</t>
  </si>
  <si>
    <t>Fixe</t>
  </si>
  <si>
    <t>Mass Flow :</t>
  </si>
  <si>
    <t>Discharge Temperature :</t>
  </si>
  <si>
    <t>Condenser Out Temp. :</t>
  </si>
  <si>
    <t>Total Superheat :</t>
  </si>
  <si>
    <t>Total Subcooling :</t>
  </si>
  <si>
    <t>Selection Performance - 3</t>
  </si>
  <si>
    <t>Heating OAT 47°F</t>
  </si>
  <si>
    <t>Selection Performance - 4</t>
  </si>
  <si>
    <t>Heating OAT 17°F</t>
  </si>
  <si>
    <t>Selection Performance - 5</t>
  </si>
  <si>
    <t>Heating OAT 10°F</t>
  </si>
  <si>
    <t>A47°F - W105°F</t>
  </si>
  <si>
    <t>Gas Cooler Pressure :</t>
  </si>
  <si>
    <t>Hot Water Flow :</t>
  </si>
  <si>
    <t>Hot Water PD  :</t>
  </si>
  <si>
    <t>A17°F - W120°F</t>
  </si>
  <si>
    <t>A 47°F - W120°F</t>
  </si>
  <si>
    <t>A 17°F - W105°F</t>
  </si>
  <si>
    <t>A 95°F - W120°F</t>
  </si>
  <si>
    <t>compressor_type</t>
  </si>
  <si>
    <t>capacity_control</t>
  </si>
  <si>
    <t>phase</t>
  </si>
  <si>
    <t>Power</t>
  </si>
  <si>
    <t>coil_type</t>
  </si>
  <si>
    <t>fan_type</t>
  </si>
  <si>
    <t>exchanger_type</t>
  </si>
  <si>
    <t>product_type</t>
  </si>
  <si>
    <t>output_comp</t>
  </si>
  <si>
    <t>yes_no</t>
  </si>
  <si>
    <t>refrigerant</t>
  </si>
  <si>
    <t>Application</t>
  </si>
  <si>
    <t>Coolant</t>
  </si>
  <si>
    <t>Country</t>
  </si>
  <si>
    <t>BPHX Type</t>
  </si>
  <si>
    <t>BPHX Congig</t>
  </si>
  <si>
    <t>Air Condenser model</t>
  </si>
  <si>
    <t>Option</t>
  </si>
  <si>
    <t>IO_unit</t>
  </si>
  <si>
    <t>Comm_type</t>
  </si>
  <si>
    <t>IO_range</t>
  </si>
  <si>
    <t>Control_signal</t>
  </si>
  <si>
    <t>DWG_Template</t>
  </si>
  <si>
    <t>Skid_Model_NO</t>
  </si>
  <si>
    <t>IO_Type</t>
  </si>
  <si>
    <t>Ladder_Type</t>
  </si>
  <si>
    <t>On-Off</t>
  </si>
  <si>
    <t>1~</t>
  </si>
  <si>
    <t>208-3-60</t>
  </si>
  <si>
    <t>Microchannel</t>
  </si>
  <si>
    <t>EC axial</t>
  </si>
  <si>
    <t>BPHX</t>
  </si>
  <si>
    <t>Condensing Unit</t>
  </si>
  <si>
    <t>Capacity</t>
  </si>
  <si>
    <t>Yes</t>
  </si>
  <si>
    <t>R454B</t>
  </si>
  <si>
    <t>CU</t>
  </si>
  <si>
    <t>Water</t>
  </si>
  <si>
    <t>Evaporator</t>
  </si>
  <si>
    <t>Simple</t>
  </si>
  <si>
    <t>ASHP18</t>
  </si>
  <si>
    <t>Hot gas reheat</t>
  </si>
  <si>
    <t>°F</t>
  </si>
  <si>
    <t>Direct</t>
  </si>
  <si>
    <t>0-100%</t>
  </si>
  <si>
    <t>0-10V</t>
  </si>
  <si>
    <t>VFD-COPELAND</t>
  </si>
  <si>
    <t>CSV4M13</t>
  </si>
  <si>
    <t>Status</t>
  </si>
  <si>
    <t>24V_Pressure_Switch</t>
  </si>
  <si>
    <t>Reciprocating</t>
  </si>
  <si>
    <t>Digital Scroll</t>
  </si>
  <si>
    <t>3~</t>
  </si>
  <si>
    <t>460-3-60</t>
  </si>
  <si>
    <t>Fin-and-tube</t>
  </si>
  <si>
    <t>AC axial</t>
  </si>
  <si>
    <t>Shell-and-tube</t>
  </si>
  <si>
    <t>Chiller</t>
  </si>
  <si>
    <t>No</t>
  </si>
  <si>
    <t>R513A</t>
  </si>
  <si>
    <t>ASHP-CU</t>
  </si>
  <si>
    <t>USA</t>
  </si>
  <si>
    <t xml:space="preserve">Condenser </t>
  </si>
  <si>
    <t>Dual</t>
  </si>
  <si>
    <t>ASHP26</t>
  </si>
  <si>
    <t>Low-ambient valve</t>
  </si>
  <si>
    <t>°C</t>
  </si>
  <si>
    <t>BACnet IP</t>
  </si>
  <si>
    <t>2-10V</t>
  </si>
  <si>
    <t>VFD-MITSUBISHI</t>
  </si>
  <si>
    <t>CSV4M15</t>
  </si>
  <si>
    <t>18V</t>
  </si>
  <si>
    <t>High_Pressure_Switch</t>
  </si>
  <si>
    <t>Screw</t>
  </si>
  <si>
    <t>Inverter</t>
  </si>
  <si>
    <t>2 Pipes AWHP</t>
  </si>
  <si>
    <t>Current</t>
  </si>
  <si>
    <t>R1234ze</t>
  </si>
  <si>
    <t>WSHP-CU</t>
  </si>
  <si>
    <t>EG</t>
  </si>
  <si>
    <t>Heat Pump</t>
  </si>
  <si>
    <t>ASHP35</t>
  </si>
  <si>
    <t>Energy recovery</t>
  </si>
  <si>
    <t>PSI</t>
  </si>
  <si>
    <t>BACnet MS/TP</t>
  </si>
  <si>
    <t>0-5V</t>
  </si>
  <si>
    <t>VFD-SCHNEIDER</t>
  </si>
  <si>
    <t>CSV4M17</t>
  </si>
  <si>
    <t>NC</t>
  </si>
  <si>
    <t>Oil_Valve_Copeland</t>
  </si>
  <si>
    <t>Rotary</t>
  </si>
  <si>
    <t>4 Pipes AWHP</t>
  </si>
  <si>
    <t>Refrigerant Flow</t>
  </si>
  <si>
    <t>R515B</t>
  </si>
  <si>
    <t>AWHP-2P</t>
  </si>
  <si>
    <t>ASHP55</t>
  </si>
  <si>
    <t xml:space="preserve">Cooling </t>
  </si>
  <si>
    <t>PSIG</t>
  </si>
  <si>
    <t>ModBus</t>
  </si>
  <si>
    <t xml:space="preserve"> -40 - 300°F</t>
  </si>
  <si>
    <t>4-20mA</t>
  </si>
  <si>
    <t>1-FAN-EBM</t>
  </si>
  <si>
    <t>CSV4M26</t>
  </si>
  <si>
    <t>R744</t>
  </si>
  <si>
    <t>Heating</t>
  </si>
  <si>
    <t>"W.G.</t>
  </si>
  <si>
    <t xml:space="preserve"> 0 - 100°F</t>
  </si>
  <si>
    <t>ON/OFF</t>
  </si>
  <si>
    <t>2-FAN-EBM</t>
  </si>
  <si>
    <t>CSV4M30</t>
  </si>
  <si>
    <t>Dry_Contact</t>
  </si>
  <si>
    <t>Relay_Status</t>
  </si>
  <si>
    <t>R32</t>
  </si>
  <si>
    <t>WSBoiler</t>
  </si>
  <si>
    <t>Vapor injection</t>
  </si>
  <si>
    <t>kW</t>
  </si>
  <si>
    <t>10K T1</t>
  </si>
  <si>
    <t>3-FAN-EBM</t>
  </si>
  <si>
    <t>CSV4M35</t>
  </si>
  <si>
    <t>Status_Box</t>
  </si>
  <si>
    <t>Contact_Enable</t>
  </si>
  <si>
    <t>R290</t>
  </si>
  <si>
    <t>ASBoiler</t>
  </si>
  <si>
    <t>Amps</t>
  </si>
  <si>
    <t xml:space="preserve"> -40 - 158°F</t>
  </si>
  <si>
    <t>10K T2</t>
  </si>
  <si>
    <t>1-FAN-FT</t>
  </si>
  <si>
    <t>CSV4M40</t>
  </si>
  <si>
    <t>Enable</t>
  </si>
  <si>
    <t>Gas_sensor_Danfoss</t>
  </si>
  <si>
    <t>%</t>
  </si>
  <si>
    <t xml:space="preserve"> -40 - 185°C</t>
  </si>
  <si>
    <t>10K T3</t>
  </si>
  <si>
    <t>2-FAN-FT</t>
  </si>
  <si>
    <t>CSV4M45</t>
  </si>
  <si>
    <t>Modulation</t>
  </si>
  <si>
    <t>Oil_Sensor_mitsubishi</t>
  </si>
  <si>
    <t>CFM</t>
  </si>
  <si>
    <t xml:space="preserve"> -18 - 38°C</t>
  </si>
  <si>
    <t>PT100</t>
  </si>
  <si>
    <t>2-FAN-ZA</t>
  </si>
  <si>
    <t>CSV4M50</t>
  </si>
  <si>
    <t>Modulation_Int</t>
  </si>
  <si>
    <t>Solenoid_Valve</t>
  </si>
  <si>
    <t>BTU/hr</t>
  </si>
  <si>
    <t xml:space="preserve"> -40 - 149°C</t>
  </si>
  <si>
    <t>PT1000</t>
  </si>
  <si>
    <t>HIGH_PRESSURE_SWITCH</t>
  </si>
  <si>
    <t>CSV4C13</t>
  </si>
  <si>
    <t>Relay</t>
  </si>
  <si>
    <t>%rh</t>
  </si>
  <si>
    <t xml:space="preserve"> -40 - 70°C</t>
  </si>
  <si>
    <t>LOW_PRESSURE_SWITCH</t>
  </si>
  <si>
    <t>CSV4C17</t>
  </si>
  <si>
    <t>Cp_Enable</t>
  </si>
  <si>
    <t>m/s</t>
  </si>
  <si>
    <t>0-700 PSIG</t>
  </si>
  <si>
    <t>OIL_VALVE_COPELAND</t>
  </si>
  <si>
    <t>CSV4C26</t>
  </si>
  <si>
    <t>Dry_Enable</t>
  </si>
  <si>
    <t>Pa</t>
  </si>
  <si>
    <t>0-300 PSIG</t>
  </si>
  <si>
    <t>PRESSURE_SWITCH</t>
  </si>
  <si>
    <t>CSV4C35</t>
  </si>
  <si>
    <t>Dry_P_Switch</t>
  </si>
  <si>
    <t>Hz</t>
  </si>
  <si>
    <t xml:space="preserve">0-5 "W.C. </t>
  </si>
  <si>
    <t>RELAIS_Status</t>
  </si>
  <si>
    <t>CSV4C40</t>
  </si>
  <si>
    <t>Vdc</t>
  </si>
  <si>
    <t>0-2 "W.C.</t>
  </si>
  <si>
    <t>SOLENOID_VALVE</t>
  </si>
  <si>
    <t>CSV4C50</t>
  </si>
  <si>
    <t>ppm</t>
  </si>
  <si>
    <t>0-10 "W.C.</t>
  </si>
  <si>
    <t>CONTACT_ENABLE</t>
  </si>
  <si>
    <t>sec</t>
  </si>
  <si>
    <t>0-1 "W.C.</t>
  </si>
  <si>
    <t>GAS_SENSOR_DANFOSS</t>
  </si>
  <si>
    <t>min</t>
  </si>
  <si>
    <t>20 - 120°F</t>
  </si>
  <si>
    <t>OIL_SENSOR_MITSUBISHI</t>
  </si>
  <si>
    <t>Btu/lb</t>
  </si>
  <si>
    <t>0-15 m/s</t>
  </si>
  <si>
    <t>OIL_SENSOR_COPELAND</t>
  </si>
  <si>
    <t>0-500 Pa</t>
  </si>
  <si>
    <t>Ena/Dis</t>
  </si>
  <si>
    <t>0-1250 Pa</t>
  </si>
  <si>
    <t>OFF/ON</t>
  </si>
  <si>
    <t>0-2500 Pa</t>
  </si>
  <si>
    <t>STOP/START</t>
  </si>
  <si>
    <t>OK/FAULT</t>
  </si>
  <si>
    <t>UNOCC/OCC</t>
  </si>
  <si>
    <t>0-2000 ppm</t>
  </si>
  <si>
    <t>LOCAL/REMOTE</t>
  </si>
  <si>
    <t>0-48 Bar</t>
  </si>
  <si>
    <t>COOLING/HEATING</t>
  </si>
  <si>
    <t>0-20 Bar</t>
  </si>
  <si>
    <t>CLOSE/OPEN</t>
  </si>
  <si>
    <t>0-500 PSIG</t>
  </si>
  <si>
    <t>NOT RESET/RESET</t>
  </si>
  <si>
    <t>0-200 PSIG</t>
  </si>
  <si>
    <t>FAULT/OK</t>
  </si>
  <si>
    <t>4830ppm</t>
  </si>
  <si>
    <t>OK/FROST</t>
  </si>
  <si>
    <t>Bar</t>
  </si>
  <si>
    <t>PPM</t>
  </si>
  <si>
    <t>Nominal Capacity</t>
  </si>
  <si>
    <t>Compressor Manufacturer</t>
  </si>
  <si>
    <t>Control</t>
  </si>
  <si>
    <t>Refrigerant</t>
  </si>
  <si>
    <t>Compressor Skid Model Number</t>
  </si>
  <si>
    <t>Compressor 1 Qty</t>
  </si>
  <si>
    <t>Compressor 2 Qty</t>
  </si>
  <si>
    <t>Minimum Capacity</t>
  </si>
  <si>
    <t>Compressor Model 200V</t>
  </si>
  <si>
    <t>Compressor Model 400V</t>
  </si>
  <si>
    <t>Compressor Model 600V</t>
  </si>
  <si>
    <t>Compressor Qty</t>
  </si>
  <si>
    <t>Condenser Airflow</t>
  </si>
  <si>
    <t>Suction Line Dia</t>
  </si>
  <si>
    <t>Discharge Line Dia</t>
  </si>
  <si>
    <t xml:space="preserve"> Liquide Line Dia</t>
  </si>
  <si>
    <t>Cooling Air Condenser Model</t>
  </si>
  <si>
    <t>HP  Air Condenser Model</t>
  </si>
  <si>
    <t>Cooling Water Condenser Model</t>
  </si>
  <si>
    <t>HP  Ater Condenser Model</t>
  </si>
  <si>
    <t>Water Evaporator</t>
  </si>
  <si>
    <t>Condenser Fan Qty</t>
  </si>
  <si>
    <t>Mitsubishi</t>
  </si>
  <si>
    <t>VS</t>
  </si>
  <si>
    <t>ARK66FAAMT</t>
  </si>
  <si>
    <t>ARK66FAEMT</t>
  </si>
  <si>
    <t>ARK78FAAMT</t>
  </si>
  <si>
    <t>ARK78FAEMT</t>
  </si>
  <si>
    <t>ARK87FAAMT</t>
  </si>
  <si>
    <t>ARK87FAEMT</t>
  </si>
  <si>
    <t>DFX400x130</t>
  </si>
  <si>
    <t>Copeland</t>
  </si>
  <si>
    <t>YAW0661E-5X9-ECH</t>
  </si>
  <si>
    <t>YAW0661E-7X9-ECH</t>
  </si>
  <si>
    <t>YAW0961E-5X9-ECH</t>
  </si>
  <si>
    <t>YAW0961E-7X9-ECH</t>
  </si>
  <si>
    <t>Compressor</t>
  </si>
  <si>
    <t>Power Input</t>
  </si>
  <si>
    <t>RLA</t>
  </si>
  <si>
    <t>RLA Conditions</t>
  </si>
  <si>
    <t>Type</t>
  </si>
  <si>
    <t>Composition</t>
  </si>
  <si>
    <t>ASHRAE Safety Class</t>
  </si>
  <si>
    <t>GWP₁₀₀</t>
  </si>
  <si>
    <t>vs. R-410A (GWP 2,088)</t>
  </si>
  <si>
    <t>Manufacturer</t>
  </si>
  <si>
    <t>Model #</t>
  </si>
  <si>
    <t>Part #</t>
  </si>
  <si>
    <t>Flow</t>
  </si>
  <si>
    <t>Dia In</t>
  </si>
  <si>
    <t>Dia Out</t>
  </si>
  <si>
    <t>Max Cap</t>
  </si>
  <si>
    <t>Min Cap</t>
  </si>
  <si>
    <t>Notes</t>
  </si>
  <si>
    <t>ARK52FAAMT</t>
  </si>
  <si>
    <t>208/3/60</t>
  </si>
  <si>
    <t>130,65</t>
  </si>
  <si>
    <t xml:space="preserve">Natural     </t>
  </si>
  <si>
    <t xml:space="preserve">  CO₂    </t>
  </si>
  <si>
    <t>A1</t>
  </si>
  <si>
    <t>Copleand</t>
  </si>
  <si>
    <t>EX4-I21</t>
  </si>
  <si>
    <t>800 615</t>
  </si>
  <si>
    <t>Uni-flow</t>
  </si>
  <si>
    <t>Vapor Inject.</t>
  </si>
  <si>
    <t>ARK52FABMT</t>
  </si>
  <si>
    <t>575/3/60</t>
  </si>
  <si>
    <t xml:space="preserve">R290 </t>
  </si>
  <si>
    <t>Propane</t>
  </si>
  <si>
    <t>A3</t>
  </si>
  <si>
    <t>EX4-U31</t>
  </si>
  <si>
    <t xml:space="preserve">800 617 </t>
  </si>
  <si>
    <t>Bi-Flow</t>
  </si>
  <si>
    <t>480/3/60</t>
  </si>
  <si>
    <t>HFO</t>
  </si>
  <si>
    <t>Single-component</t>
  </si>
  <si>
    <t>A2L</t>
  </si>
  <si>
    <t>EX5-U21</t>
  </si>
  <si>
    <t xml:space="preserve">800 618 </t>
  </si>
  <si>
    <t>HFC/HFO blend</t>
  </si>
  <si>
    <t>R-32 / R-1234yf</t>
  </si>
  <si>
    <t>EX5-U31</t>
  </si>
  <si>
    <t>800 619</t>
  </si>
  <si>
    <t>Cond18T 35T</t>
  </si>
  <si>
    <t>HFO/HFC blend</t>
  </si>
  <si>
    <t>R-1234ze(E) / R-227ea</t>
  </si>
  <si>
    <t>EX6-I21</t>
  </si>
  <si>
    <t xml:space="preserve">800 620 </t>
  </si>
  <si>
    <t>R-1234yf / R-134a</t>
  </si>
  <si>
    <t>EX6-I31</t>
  </si>
  <si>
    <t>800 622</t>
  </si>
  <si>
    <t>Cond 55T</t>
  </si>
  <si>
    <t>HFC</t>
  </si>
  <si>
    <t>EX7-I21</t>
  </si>
  <si>
    <t>800 624</t>
  </si>
  <si>
    <t>EX7-U31</t>
  </si>
  <si>
    <t>800 626</t>
  </si>
  <si>
    <t>Danfoss</t>
  </si>
  <si>
    <t>ETS-12C-12</t>
  </si>
  <si>
    <t>ETS-12C-16</t>
  </si>
  <si>
    <t>ETS-12C-22</t>
  </si>
  <si>
    <t>Cond 35T - 55T</t>
  </si>
  <si>
    <t>ETS-24C-12</t>
  </si>
  <si>
    <t>ARK100FAEMT</t>
  </si>
  <si>
    <t>ETS-24C-16</t>
  </si>
  <si>
    <t>ETS-24C-22</t>
  </si>
  <si>
    <t>Ball Valve</t>
  </si>
  <si>
    <t>125,60</t>
  </si>
  <si>
    <t>Size</t>
  </si>
  <si>
    <t>Name</t>
  </si>
  <si>
    <t>Danfos</t>
  </si>
  <si>
    <t>Sporlan</t>
  </si>
  <si>
    <t>CB Supplies</t>
  </si>
  <si>
    <t>description</t>
  </si>
  <si>
    <t>eer</t>
  </si>
  <si>
    <t>ere</t>
  </si>
  <si>
    <t>VFD</t>
  </si>
  <si>
    <t>Check Valve</t>
  </si>
  <si>
    <t>EEV</t>
  </si>
  <si>
    <t>Pressure releif valve</t>
  </si>
  <si>
    <t>Suction accumulator</t>
  </si>
  <si>
    <t>Receiver</t>
  </si>
  <si>
    <t>Application Type</t>
  </si>
  <si>
    <t>Configuration</t>
  </si>
  <si>
    <t>Evaporator Capacity</t>
  </si>
  <si>
    <t>Condenser Capacity</t>
  </si>
  <si>
    <t>Ent Liquid Temp</t>
  </si>
  <si>
    <t>SH</t>
  </si>
  <si>
    <t>Ent Gas Temp</t>
  </si>
  <si>
    <t>SC</t>
  </si>
  <si>
    <t>EWT</t>
  </si>
  <si>
    <t>LWT</t>
  </si>
  <si>
    <t>Evap Capacity (TR)</t>
  </si>
  <si>
    <t>Cond  Capacity (kW)</t>
  </si>
  <si>
    <t>BMS input table</t>
  </si>
  <si>
    <t>Circuit input table</t>
  </si>
  <si>
    <t>Global input table</t>
  </si>
  <si>
    <t>Circuit output table</t>
  </si>
  <si>
    <t>Global output table</t>
  </si>
  <si>
    <t>N/A</t>
  </si>
  <si>
    <t>-</t>
  </si>
  <si>
    <t>AWHP Capacity</t>
  </si>
  <si>
    <t># Circuit</t>
  </si>
  <si>
    <t># Compressor</t>
  </si>
  <si>
    <t>Mitsubishi Compressor model</t>
  </si>
  <si>
    <t>Copeland Compressor model</t>
  </si>
  <si>
    <t>Air Condenser Model</t>
  </si>
  <si>
    <t>Air Condenser Qty</t>
  </si>
  <si>
    <t>Swep Condenser Model #</t>
  </si>
  <si>
    <t>Swep Evaporator Model #</t>
  </si>
  <si>
    <t>SWEP HP Model #</t>
  </si>
  <si>
    <t>Alfa Laval Condenser Model #</t>
  </si>
  <si>
    <t>Alfa Laval Evaporator Model #</t>
  </si>
  <si>
    <t>Alfa Laval HP Model #</t>
  </si>
  <si>
    <t>Danfoss Condenser Model #</t>
  </si>
  <si>
    <t>Danfoss Evaporator Model #</t>
  </si>
  <si>
    <t>Danfoss HP Model #</t>
  </si>
  <si>
    <t>ARK87</t>
  </si>
  <si>
    <t>YAW0961E</t>
  </si>
  <si>
    <t>ARK66</t>
  </si>
  <si>
    <t>YAW0661E</t>
  </si>
  <si>
    <t>DB400x186</t>
  </si>
  <si>
    <t>DS500x270</t>
  </si>
  <si>
    <t>DFX650x166</t>
  </si>
  <si>
    <t>DB500x290</t>
  </si>
  <si>
    <t>DFX650x274</t>
  </si>
  <si>
    <t>Circuit Qty</t>
  </si>
  <si>
    <t>Compressors Qty</t>
  </si>
  <si>
    <t>Tur Down Ratio</t>
  </si>
  <si>
    <t>C1 Compressor Skid</t>
  </si>
  <si>
    <t>C2 Compressor Skid2</t>
  </si>
  <si>
    <t>C3 Compressor Skid</t>
  </si>
  <si>
    <t>C4 Compressor Skid</t>
  </si>
  <si>
    <t>C5 Compressor Skid</t>
  </si>
  <si>
    <t>C6 Compressor Skid</t>
  </si>
  <si>
    <t>VFD Copeland</t>
  </si>
  <si>
    <t>VFD Schneider</t>
  </si>
  <si>
    <t>VFD Mitsubishi</t>
  </si>
  <si>
    <t>ATV630D18M3</t>
  </si>
  <si>
    <t>ATV630D18S6</t>
  </si>
  <si>
    <t>ATV630D18N4</t>
  </si>
  <si>
    <t>ATV630D22M3</t>
  </si>
  <si>
    <t>ATV630D22S6</t>
  </si>
  <si>
    <t>ATV630D22N4</t>
  </si>
  <si>
    <t>FR-F860-00450</t>
  </si>
  <si>
    <t>ATV630D30S6</t>
  </si>
  <si>
    <t>ATV630D30N4</t>
  </si>
  <si>
    <t>EVM-322048</t>
  </si>
  <si>
    <t>EVM-344023</t>
  </si>
  <si>
    <t>EVM-355018</t>
  </si>
  <si>
    <t>EVM-344031</t>
  </si>
  <si>
    <t>EVM-355034</t>
  </si>
  <si>
    <t xml:space="preserve">CU </t>
  </si>
  <si>
    <t>BMS INPUT</t>
  </si>
  <si>
    <t>Description</t>
  </si>
  <si>
    <t>Label</t>
  </si>
  <si>
    <t xml:space="preserve">Signal </t>
  </si>
  <si>
    <t>IO # S-1000</t>
  </si>
  <si>
    <t>IO # C-600</t>
  </si>
  <si>
    <t>Comm type</t>
  </si>
  <si>
    <t>UNIT</t>
  </si>
  <si>
    <t>RANGE</t>
  </si>
  <si>
    <t>OPTION</t>
  </si>
  <si>
    <t>IO_type</t>
  </si>
  <si>
    <t>Ladder_type</t>
  </si>
  <si>
    <t>Cooling Enable</t>
  </si>
  <si>
    <t>Cool_En</t>
  </si>
  <si>
    <t>DI101</t>
  </si>
  <si>
    <t>Binary</t>
  </si>
  <si>
    <t>Hardware Input 102</t>
  </si>
  <si>
    <t>DI102</t>
  </si>
  <si>
    <t>Heating Enable</t>
  </si>
  <si>
    <t>Heat_En</t>
  </si>
  <si>
    <t>Condensing Unit Demand</t>
  </si>
  <si>
    <t>CU_Dem</t>
  </si>
  <si>
    <t>AI103</t>
  </si>
  <si>
    <t>Analog</t>
  </si>
  <si>
    <t>Hot Gas Reheat Demand</t>
  </si>
  <si>
    <t>HGR_Dem</t>
  </si>
  <si>
    <t>AI104</t>
  </si>
  <si>
    <t>Heat recovery demand</t>
  </si>
  <si>
    <t>HR_Dem</t>
  </si>
  <si>
    <t>Hardware Input 104</t>
  </si>
  <si>
    <t>Outdoor Air Temperature</t>
  </si>
  <si>
    <t>OAT</t>
  </si>
  <si>
    <t>AI105</t>
  </si>
  <si>
    <t xml:space="preserve">Gas sensor </t>
  </si>
  <si>
    <t>Gas_Sns</t>
  </si>
  <si>
    <t>DI106</t>
  </si>
  <si>
    <t>Hardware Input 106</t>
  </si>
  <si>
    <t>Supply Fan Pressure Switch</t>
  </si>
  <si>
    <t xml:space="preserve">SFan_PSw </t>
  </si>
  <si>
    <t>DI107</t>
  </si>
  <si>
    <t>Hot Water Flow Switch</t>
  </si>
  <si>
    <t>HW_FSw</t>
  </si>
  <si>
    <t>Hardware Input 108</t>
  </si>
  <si>
    <t>DI108</t>
  </si>
  <si>
    <t>Chilled Water Flow Switch</t>
  </si>
  <si>
    <t>CW_FSw</t>
  </si>
  <si>
    <t>CIRCUIT INPUT</t>
  </si>
  <si>
    <t>Compressor #-A status</t>
  </si>
  <si>
    <t>Cp_Sts#-A</t>
  </si>
  <si>
    <t>DIX01</t>
  </si>
  <si>
    <t>Compressor #-B status</t>
  </si>
  <si>
    <t>Cp_Sts#-B</t>
  </si>
  <si>
    <t>DIX02</t>
  </si>
  <si>
    <t>Compressor #-C status</t>
  </si>
  <si>
    <t>Cp_Sts#-C</t>
  </si>
  <si>
    <t>DIX03</t>
  </si>
  <si>
    <t>Condenser #-A status</t>
  </si>
  <si>
    <t>Cd_Sts#-A</t>
  </si>
  <si>
    <t>AIX04</t>
  </si>
  <si>
    <t>Condenser #-B status</t>
  </si>
  <si>
    <t>Cd_Sts#-B</t>
  </si>
  <si>
    <t>AIX05</t>
  </si>
  <si>
    <t>Condenser #-C status</t>
  </si>
  <si>
    <t>Cd_Sts#-C</t>
  </si>
  <si>
    <t>AIX06</t>
  </si>
  <si>
    <t>Circuit # Low Pressure Switch</t>
  </si>
  <si>
    <t>LP_Sw#</t>
  </si>
  <si>
    <t>DIX07</t>
  </si>
  <si>
    <t>Circuit # High Pressure Switch</t>
  </si>
  <si>
    <t>HP_Sw#</t>
  </si>
  <si>
    <t>DIX08</t>
  </si>
  <si>
    <t xml:space="preserve">Circuit # Suction pressure </t>
  </si>
  <si>
    <t>Suc_P#</t>
  </si>
  <si>
    <t>AIX01</t>
  </si>
  <si>
    <t xml:space="preserve">Circuit # Discharge Pressure </t>
  </si>
  <si>
    <t>Dis_P#</t>
  </si>
  <si>
    <t>AIX02</t>
  </si>
  <si>
    <t xml:space="preserve">Circuit # Liquid Pressure </t>
  </si>
  <si>
    <t>Liq_P#</t>
  </si>
  <si>
    <t>AIX03</t>
  </si>
  <si>
    <t xml:space="preserve">Circuit # Suction Temperature </t>
  </si>
  <si>
    <t>Suc_T#</t>
  </si>
  <si>
    <t xml:space="preserve">Circuit # Discharge Temperature </t>
  </si>
  <si>
    <t>Dis_T#</t>
  </si>
  <si>
    <t xml:space="preserve">Circuit # Liquid Temperature </t>
  </si>
  <si>
    <t>Liq_T#</t>
  </si>
  <si>
    <t xml:space="preserve">Circuit # Low oil level </t>
  </si>
  <si>
    <t>LOL#</t>
  </si>
  <si>
    <t>AIX07</t>
  </si>
  <si>
    <t>Hardware Input X08</t>
  </si>
  <si>
    <t>AIX08</t>
  </si>
  <si>
    <t>GLOBAL INPUT</t>
  </si>
  <si>
    <t xml:space="preserve">Chilled water supply temperature </t>
  </si>
  <si>
    <t>CW_STemp</t>
  </si>
  <si>
    <t xml:space="preserve">Chilled water Return temperature </t>
  </si>
  <si>
    <t>CW_RTemp</t>
  </si>
  <si>
    <t xml:space="preserve">Hot water supply temperature </t>
  </si>
  <si>
    <t>HW_STemp</t>
  </si>
  <si>
    <t>Hardware Input X03</t>
  </si>
  <si>
    <t xml:space="preserve">Hot water Return temperature </t>
  </si>
  <si>
    <t>HW_RTemp</t>
  </si>
  <si>
    <t>Hardware Input X04</t>
  </si>
  <si>
    <t>Chilled Water Supply valve Feedback</t>
  </si>
  <si>
    <t>CW_SV_Fdk</t>
  </si>
  <si>
    <t>Chilled Water Return valve Feedback</t>
  </si>
  <si>
    <t>CW_RV_Fdk</t>
  </si>
  <si>
    <t>Hardware Input X06</t>
  </si>
  <si>
    <t>Hot Water Supply valve FeedBack</t>
  </si>
  <si>
    <t>HW_SV_Fdk</t>
  </si>
  <si>
    <t>Hardware Input X07</t>
  </si>
  <si>
    <t>Hot Water Return valve FeedBack</t>
  </si>
  <si>
    <t>HW_RV_Fdk</t>
  </si>
  <si>
    <t>Heat Recovery Water Supply valve Feedback</t>
  </si>
  <si>
    <t>HRW_SV_Fdk</t>
  </si>
  <si>
    <t>Heat Recovery Water Return valve Feedback</t>
  </si>
  <si>
    <t>HRW_RV_Fdk</t>
  </si>
  <si>
    <t>CIRCUIT OUTPUT</t>
  </si>
  <si>
    <t>Compressor #-A Enable</t>
  </si>
  <si>
    <t>Cp_En#-A</t>
  </si>
  <si>
    <t>DOX01</t>
  </si>
  <si>
    <t>Compressor #-A Modulation</t>
  </si>
  <si>
    <t>Cp_Mod#-A</t>
  </si>
  <si>
    <t>AOX02</t>
  </si>
  <si>
    <t>Compressor #-B Enable</t>
  </si>
  <si>
    <t>Cp_En#-B</t>
  </si>
  <si>
    <t>DOX03</t>
  </si>
  <si>
    <t>Compressor #-B Modulation</t>
  </si>
  <si>
    <t>Cp_Mod#-B</t>
  </si>
  <si>
    <t>AOX04</t>
  </si>
  <si>
    <t>Compressor #-C Enable</t>
  </si>
  <si>
    <t>Cp_En#-C</t>
  </si>
  <si>
    <t>DOX05</t>
  </si>
  <si>
    <t>Compressor #-C Modulation</t>
  </si>
  <si>
    <t>Cp_Mod#-C</t>
  </si>
  <si>
    <t>AOX06</t>
  </si>
  <si>
    <t>Condenser fan # Enable</t>
  </si>
  <si>
    <t>Cd-F_En#</t>
  </si>
  <si>
    <t>Condenser fan # Modulation</t>
  </si>
  <si>
    <t>Cd-F_Mod#</t>
  </si>
  <si>
    <t>Circuit # Cooling Electric Expansion Valve Enable</t>
  </si>
  <si>
    <t>EEV-C_En1</t>
  </si>
  <si>
    <t>Hardware Output X04</t>
  </si>
  <si>
    <t>DOX04</t>
  </si>
  <si>
    <t>Circuit 1 Heating Electric Expansion Valve Enable</t>
  </si>
  <si>
    <t>EEV-H_En1</t>
  </si>
  <si>
    <t>Circuit # Electric Expansion Valve Enable Vapor Injection</t>
  </si>
  <si>
    <t>EEV-VI_En1</t>
  </si>
  <si>
    <t>Hardware Output X06</t>
  </si>
  <si>
    <t>DOX06</t>
  </si>
  <si>
    <t>Circuit 1 Reversing Valve</t>
  </si>
  <si>
    <t>Rev-Vlv_En1</t>
  </si>
  <si>
    <t>Circuit # Reheat Valve</t>
  </si>
  <si>
    <t>Rht-Vlv_Mod1</t>
  </si>
  <si>
    <t>AOX01</t>
  </si>
  <si>
    <t>Circuit # Oil Solenoide Valve</t>
  </si>
  <si>
    <t>Oil_Vlv_En1</t>
  </si>
  <si>
    <t>DOX02</t>
  </si>
  <si>
    <t>Circuit # Crankcase Heater</t>
  </si>
  <si>
    <t>CCH_En1</t>
  </si>
  <si>
    <t>Low Ambient Valve #-A</t>
  </si>
  <si>
    <t>LA_Mod#-A</t>
  </si>
  <si>
    <t>Low Ambient Valve #-B</t>
  </si>
  <si>
    <t>LA_Mod#-B</t>
  </si>
  <si>
    <t>AOX05</t>
  </si>
  <si>
    <t>Hardware output X06</t>
  </si>
  <si>
    <t>GLOBAL OUTPUT</t>
  </si>
  <si>
    <t>Gas Sensor Alarm</t>
  </si>
  <si>
    <t>Gas_Alm</t>
  </si>
  <si>
    <t>DO306</t>
  </si>
  <si>
    <t>Chilled Water Supply valve</t>
  </si>
  <si>
    <t>CW_SVlv</t>
  </si>
  <si>
    <t>Chilled Water Return valve</t>
  </si>
  <si>
    <t>CW_RVlv</t>
  </si>
  <si>
    <t>Hot Water Supply valve</t>
  </si>
  <si>
    <t>HW_SVlv</t>
  </si>
  <si>
    <t>AOX03</t>
  </si>
  <si>
    <t>Hot Water Return valve</t>
  </si>
  <si>
    <t>HW_RVlv</t>
  </si>
  <si>
    <t>Heat Recovery Water Supply valve</t>
  </si>
  <si>
    <t>HRW_SVlv</t>
  </si>
  <si>
    <t>Heat Recovery Water Return valve</t>
  </si>
  <si>
    <t>HRW_RVlv</t>
  </si>
  <si>
    <t>Industrie Bernard</t>
  </si>
  <si>
    <t>Request # :</t>
  </si>
  <si>
    <t>S2025-1159-1</t>
  </si>
  <si>
    <t>Prepared For :</t>
  </si>
  <si>
    <t>Cedric de Luca</t>
  </si>
  <si>
    <t># of units :</t>
  </si>
  <si>
    <t>Installation :</t>
  </si>
  <si>
    <t>Outdoor</t>
  </si>
  <si>
    <t>MCA :</t>
  </si>
  <si>
    <t>MOP :</t>
  </si>
  <si>
    <t>Fixed Speed</t>
  </si>
  <si>
    <t>Comp. Qty :</t>
  </si>
  <si>
    <t>Weight :</t>
  </si>
  <si>
    <t>Model Number :</t>
  </si>
  <si>
    <t>AH44SV100M5FB1E6B100M</t>
  </si>
  <si>
    <t>Circuit Quantity :</t>
  </si>
  <si>
    <t>Refrigerant Type :</t>
  </si>
  <si>
    <t>Variable Speed</t>
  </si>
  <si>
    <t>Compressor Quantity :</t>
  </si>
  <si>
    <t>PG40%</t>
  </si>
  <si>
    <t>Refrigerant GWP :</t>
  </si>
  <si>
    <t>Condenser Fans Quantity :</t>
  </si>
  <si>
    <t>Unit Nominal Capacity :</t>
  </si>
  <si>
    <t>100 Tons</t>
  </si>
  <si>
    <t>Condenser Fan Power :</t>
  </si>
  <si>
    <t>Simultaneous 3</t>
  </si>
  <si>
    <t>IMPERIAL</t>
  </si>
  <si>
    <t>MODE</t>
  </si>
  <si>
    <t>Fluid</t>
  </si>
  <si>
    <t>Outside Air</t>
  </si>
  <si>
    <t>Leaving Water temperature</t>
  </si>
  <si>
    <t>Cooling capacity</t>
  </si>
  <si>
    <t>Heating capacity</t>
  </si>
  <si>
    <t>Input</t>
  </si>
  <si>
    <t>COP</t>
  </si>
  <si>
    <t>(°F)</t>
  </si>
  <si>
    <t>(BTU/Hr)</t>
  </si>
  <si>
    <t>(BTU/hr) PG40%</t>
  </si>
  <si>
    <t>power</t>
  </si>
  <si>
    <t>power PG40%</t>
  </si>
  <si>
    <t>(kW)</t>
  </si>
  <si>
    <t>n.a.</t>
  </si>
  <si>
    <t>(BTU/hr)</t>
  </si>
  <si>
    <t>Simultaneous</t>
  </si>
  <si>
    <t>Compressor Skid</t>
  </si>
  <si>
    <t xml:space="preserve">Heat Exchanger </t>
  </si>
  <si>
    <t>CTRL</t>
  </si>
  <si>
    <t>W</t>
  </si>
  <si>
    <t>H</t>
  </si>
  <si>
    <t>M</t>
  </si>
  <si>
    <t>D</t>
  </si>
  <si>
    <t>B</t>
  </si>
  <si>
    <t>Controls Options</t>
  </si>
  <si>
    <t>A</t>
  </si>
  <si>
    <t>Air Cooled / Source</t>
  </si>
  <si>
    <t>BACnet MSTP</t>
  </si>
  <si>
    <t>Water Source</t>
  </si>
  <si>
    <t>I</t>
  </si>
  <si>
    <t>2 Pipes</t>
  </si>
  <si>
    <t>Electric Expansion Valve Qty</t>
  </si>
  <si>
    <t>4 Pipes</t>
  </si>
  <si>
    <t>EEV Qty</t>
  </si>
  <si>
    <t>6 pipes</t>
  </si>
  <si>
    <t>Water Valve Type</t>
  </si>
  <si>
    <t>No Valve</t>
  </si>
  <si>
    <t xml:space="preserve">R32 </t>
  </si>
  <si>
    <t>2 Ways Valve</t>
  </si>
  <si>
    <t>R454b</t>
  </si>
  <si>
    <t>3 Ways Valve</t>
  </si>
  <si>
    <t>Low Temp Cooling Option</t>
  </si>
  <si>
    <t>Normal Cooling</t>
  </si>
  <si>
    <t>Compressor Type</t>
  </si>
  <si>
    <t>Low Temp Cooling</t>
  </si>
  <si>
    <t>S</t>
  </si>
  <si>
    <t>Semi Hermetic</t>
  </si>
  <si>
    <t>Evaporator Qty / Unit</t>
  </si>
  <si>
    <t>C</t>
  </si>
  <si>
    <t>Centrifugal</t>
  </si>
  <si>
    <t>Compressor Controls</t>
  </si>
  <si>
    <t>V</t>
  </si>
  <si>
    <t>Evaporator Type</t>
  </si>
  <si>
    <t>F</t>
  </si>
  <si>
    <t>Brazed Plate Heat Exchanger</t>
  </si>
  <si>
    <t xml:space="preserve">Mixed </t>
  </si>
  <si>
    <t>Shell and Tube</t>
  </si>
  <si>
    <t>Nominal Heating Capacity</t>
  </si>
  <si>
    <t>015</t>
  </si>
  <si>
    <t>45 to 1200 kW</t>
  </si>
  <si>
    <t>Dorin</t>
  </si>
  <si>
    <t>Condenser Fan Motor Type</t>
  </si>
  <si>
    <t>Power Options</t>
  </si>
  <si>
    <t>AC</t>
  </si>
  <si>
    <t>230V/ 3/ 60</t>
  </si>
  <si>
    <t>EC</t>
  </si>
  <si>
    <t>E</t>
  </si>
  <si>
    <t>460V/ 3/ 60</t>
  </si>
  <si>
    <t>575V/ 3/ 60</t>
  </si>
  <si>
    <t>Condenser Qty</t>
  </si>
  <si>
    <t>1 Condenser</t>
  </si>
  <si>
    <t>2 Condenser</t>
  </si>
  <si>
    <t>3 Condenser</t>
  </si>
  <si>
    <t>Condenser Coil / Gas Cooler Type</t>
  </si>
  <si>
    <t>Finned tube Copper</t>
  </si>
  <si>
    <t>T</t>
  </si>
  <si>
    <t xml:space="preserve">Coated Microchannel </t>
  </si>
  <si>
    <t>Coated Finned tube Copper</t>
  </si>
  <si>
    <t>Envelope</t>
  </si>
  <si>
    <t>ARK</t>
  </si>
  <si>
    <t>ET</t>
  </si>
  <si>
    <t>CT</t>
  </si>
  <si>
    <t>Cooling CU</t>
  </si>
  <si>
    <t>Heating CU</t>
  </si>
  <si>
    <t>SAT</t>
  </si>
  <si>
    <t>Cooling Water</t>
  </si>
  <si>
    <t>Heating Water</t>
  </si>
  <si>
    <t>SWT</t>
  </si>
  <si>
    <r>
      <t xml:space="preserve">AI Renewale Solutions
</t>
    </r>
    <r>
      <rPr>
        <i/>
        <sz val="10"/>
        <color theme="9"/>
        <rFont val="Arial Nova"/>
        <family val="2"/>
      </rPr>
      <t>Making a Sustainable Future a Reality</t>
    </r>
  </si>
  <si>
    <t>Refrigeration Selection Tool</t>
  </si>
  <si>
    <t xml:space="preserve">Project  name </t>
  </si>
  <si>
    <t xml:space="preserve">Submittal  # </t>
  </si>
  <si>
    <t xml:space="preserve">Project  # </t>
  </si>
  <si>
    <t>10073-01</t>
  </si>
  <si>
    <t xml:space="preserve">Date </t>
  </si>
  <si>
    <t>Unit  Type</t>
  </si>
  <si>
    <t>RTU</t>
  </si>
  <si>
    <t>Unit  #</t>
  </si>
  <si>
    <t xml:space="preserve">Prepared By </t>
  </si>
  <si>
    <t>B.H.</t>
  </si>
  <si>
    <t>NA</t>
  </si>
  <si>
    <t xml:space="preserve">Prepared For </t>
  </si>
  <si>
    <t>TRS</t>
  </si>
  <si>
    <t xml:space="preserve">Country </t>
  </si>
  <si>
    <t xml:space="preserve">Design % </t>
  </si>
  <si>
    <t>North_Carolina</t>
  </si>
  <si>
    <t>Ref. City :</t>
  </si>
  <si>
    <t>RALEIGH/RALEIGH-DUR</t>
  </si>
  <si>
    <t xml:space="preserve">OA Db </t>
  </si>
  <si>
    <t xml:space="preserve">OA Wb </t>
  </si>
  <si>
    <t xml:space="preserve">Altitude </t>
  </si>
  <si>
    <t>Condenser OAT</t>
  </si>
  <si>
    <t xml:space="preserve">Power </t>
  </si>
  <si>
    <t>Condensing Unit Selection</t>
  </si>
  <si>
    <t xml:space="preserve">C. U. Type </t>
  </si>
  <si>
    <t>Air_Cooled</t>
  </si>
  <si>
    <t xml:space="preserve">Application </t>
  </si>
  <si>
    <t>Cooling only</t>
  </si>
  <si>
    <t xml:space="preserve">Cond. Type </t>
  </si>
  <si>
    <t>USD Conv Rate</t>
  </si>
  <si>
    <t xml:space="preserve">HGR Circuit Qty </t>
  </si>
  <si>
    <t xml:space="preserve">LT Cooling </t>
  </si>
  <si>
    <t xml:space="preserve">Refrigerant </t>
  </si>
  <si>
    <t>R410a</t>
  </si>
  <si>
    <t xml:space="preserve">Coil/Circuit </t>
  </si>
  <si>
    <t>Comp. Skid Location</t>
  </si>
  <si>
    <t>Out.</t>
  </si>
  <si>
    <t>EUR Conv Rate</t>
  </si>
  <si>
    <t>Condenser Fan Type</t>
  </si>
  <si>
    <t>ECM</t>
  </si>
  <si>
    <t>Condenser Fan Manufacturer</t>
  </si>
  <si>
    <t>Ziehl Abegg</t>
  </si>
  <si>
    <t>Control Power</t>
  </si>
  <si>
    <t/>
  </si>
  <si>
    <t>Supply fan Power</t>
  </si>
  <si>
    <t>Exhaust fan Power</t>
  </si>
  <si>
    <t>Electric Heater</t>
  </si>
  <si>
    <t>Other Load</t>
  </si>
  <si>
    <t xml:space="preserve">Comp. Type </t>
  </si>
  <si>
    <t>Mutiple</t>
  </si>
  <si>
    <t xml:space="preserve">Circuit Qty </t>
  </si>
  <si>
    <t>Turn Down Ratio</t>
  </si>
  <si>
    <t>120:1</t>
  </si>
  <si>
    <t xml:space="preserve">CU Model # </t>
  </si>
  <si>
    <t xml:space="preserve">  C4016M400</t>
  </si>
  <si>
    <t>ZPV041CE</t>
  </si>
  <si>
    <t>BoM &amp; Cost Summary</t>
  </si>
  <si>
    <t>-7E9-2502</t>
  </si>
  <si>
    <t>Circuit 3</t>
  </si>
  <si>
    <t>Circuit 4</t>
  </si>
  <si>
    <t>Circuit 5</t>
  </si>
  <si>
    <t>Circuit 6</t>
  </si>
  <si>
    <t>Summary</t>
  </si>
  <si>
    <t xml:space="preserve">Compressor Skid Model </t>
  </si>
  <si>
    <t>CP4I07</t>
  </si>
  <si>
    <t>CP4F08</t>
  </si>
  <si>
    <t>Compressor 1  Model</t>
  </si>
  <si>
    <t>ZPV041CE-7E9-2502</t>
  </si>
  <si>
    <t>Compressor 2 Model</t>
  </si>
  <si>
    <t>Compressors RLA / Circuit (Amps)</t>
  </si>
  <si>
    <t>Condenser Skid Model</t>
  </si>
  <si>
    <t>MC1-8</t>
  </si>
  <si>
    <t>Condenser Coil Qty</t>
  </si>
  <si>
    <t>Condenser Coil Model</t>
  </si>
  <si>
    <t>SW1948-16T</t>
  </si>
  <si>
    <t>Condenser Fan Model</t>
  </si>
  <si>
    <t>ZN071-ZIL.GL.V7P4</t>
  </si>
  <si>
    <t>Fan Airflow</t>
  </si>
  <si>
    <t>Condenser Fan Power</t>
  </si>
  <si>
    <t>Condenser Fan FLA</t>
  </si>
  <si>
    <t>Condenser Fans Total FLA</t>
  </si>
  <si>
    <t>Refrigeration Labor</t>
  </si>
  <si>
    <t>Control Labor</t>
  </si>
  <si>
    <t>Assembly Labor</t>
  </si>
  <si>
    <t>Test Refrigeration Labor</t>
  </si>
  <si>
    <t>Test Control Labor</t>
  </si>
  <si>
    <t>Component USD</t>
  </si>
  <si>
    <t>Component CAD</t>
  </si>
  <si>
    <t>Component EUR</t>
  </si>
  <si>
    <t>Total Component  USD</t>
  </si>
  <si>
    <t>Weight</t>
  </si>
  <si>
    <t>Electric Expansion Valve Kit</t>
  </si>
  <si>
    <t>Hot Gas Heat Rejection Kit</t>
  </si>
  <si>
    <t>Heat Pump Kit</t>
  </si>
  <si>
    <t>Low Cooling Kit</t>
  </si>
  <si>
    <t>Heat Pump Summary</t>
  </si>
  <si>
    <t xml:space="preserve">Circuit 1 </t>
  </si>
  <si>
    <t xml:space="preserve">Circuit 2 </t>
  </si>
  <si>
    <t xml:space="preserve">Circuit 3 </t>
  </si>
  <si>
    <t xml:space="preserve">Circuit 4 </t>
  </si>
  <si>
    <t xml:space="preserve">Circuit 5 </t>
  </si>
  <si>
    <t xml:space="preserve">Circuit 6 </t>
  </si>
  <si>
    <t>Compressor Skid Model</t>
  </si>
  <si>
    <t>Compressor 1 (Qty) Mod</t>
  </si>
  <si>
    <t>Compressor 2 (Qty) Mod</t>
  </si>
  <si>
    <t xml:space="preserve">() </t>
  </si>
  <si>
    <t>Compressors (QTY) RLA  Amps</t>
  </si>
  <si>
    <t xml:space="preserve">(1) </t>
  </si>
  <si>
    <t>Condenser (Qty) Mod</t>
  </si>
  <si>
    <t>Condenser Fan (Qty) Mod</t>
  </si>
  <si>
    <t>Condenser Skid Total AirFlow</t>
  </si>
  <si>
    <t>Condensing Unit FLA</t>
  </si>
  <si>
    <t>Condensing unit MCA</t>
  </si>
  <si>
    <t>Condensing unit MOP</t>
  </si>
  <si>
    <t>Lead Compressor speed</t>
  </si>
  <si>
    <t>ZP154KCE-TED-455</t>
  </si>
  <si>
    <t>Cond. Air Flow (CFM)</t>
  </si>
  <si>
    <t>Refrigeration Capacity</t>
  </si>
  <si>
    <t>Ref capacity %</t>
  </si>
  <si>
    <t>Refrigerant M. Flow</t>
  </si>
  <si>
    <t>Total Heat Rejection</t>
  </si>
  <si>
    <t>Compressor EER @AHRI</t>
  </si>
  <si>
    <t>Condensing Unit EER @AHRI</t>
  </si>
  <si>
    <t>Compressors actual EER</t>
  </si>
  <si>
    <t>Condensing Unit Actual EER</t>
  </si>
  <si>
    <t>Condenser Skid D. (L x W x 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</si>
</sst>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64" formatCode="0.0"/>
    <numFmt numFmtId="165" formatCode="0&quot; T&quot;"/>
    <numFmt numFmtId="166" formatCode="0.0&quot; in&quot;"/>
    <numFmt numFmtId="167" formatCode="0.0%"/>
    <numFmt numFmtId="168" formatCode="0.0&quot; °F&quot;"/>
    <numFmt numFmtId="169" formatCode="0&quot; ft&quot;"/>
    <numFmt numFmtId="170" formatCode="0&quot; °F&quot;"/>
    <numFmt numFmtId="171" formatCode="0&quot; W&quot;"/>
    <numFmt numFmtId="172" formatCode="0.0&quot; HR&quot;"/>
    <numFmt numFmtId="173" formatCode="0&quot; CFM&quot;"/>
    <numFmt numFmtId="174" formatCode="0.00&quot; Amp&quot;"/>
    <numFmt numFmtId="175" formatCode="0.0&quot; Amp&quot;"/>
    <numFmt numFmtId="176" formatCode="[$USD]\ #,##0"/>
    <numFmt numFmtId="177" formatCode="[$CAD]\ #,##0"/>
    <numFmt numFmtId="178" formatCode="[$EUR]\ #,##0"/>
    <numFmt numFmtId="179" formatCode="0.0&quot; lbs&quot;"/>
    <numFmt numFmtId="180" formatCode="0&quot; Amp&quot;"/>
    <numFmt numFmtId="181" formatCode="0.0&quot;°F&quot;"/>
    <numFmt numFmtId="182" formatCode="0&quot; BTU/Hr&quot;"/>
    <numFmt numFmtId="183" formatCode="0&quot; MBH&quot;"/>
    <numFmt numFmtId="184" formatCode="0&quot; lb/Hr&quot;"/>
    <numFmt numFmtId="185" formatCode="0.00&quot; BTU/W.Hr&quot;"/>
    <numFmt numFmtId="186" formatCode="0.0&quot; BTU/W.Hr&quot;"/>
    <numFmt numFmtId="187" formatCode="0.0&quot; Tons&quot;"/>
    <numFmt numFmtId="188" formatCode="0.0&quot; MBH&quot;"/>
    <numFmt numFmtId="189" formatCode="0.0&quot; kW&quot;"/>
    <numFmt numFmtId="190" formatCode="0&quot; lb/h&quot;"/>
    <numFmt numFmtId="191" formatCode="0&quot; PSI&quot;"/>
    <numFmt numFmtId="192" formatCode="0.0&quot; GPM&quot;"/>
    <numFmt numFmtId="193" formatCode="&quot;(&quot;0.0&quot; °C)&quot;"/>
    <numFmt numFmtId="194" formatCode="&quot;(&quot;0.0&quot; Ton)&quot;"/>
    <numFmt numFmtId="195" formatCode="&quot;(&quot;0&quot; Bar)&quot;"/>
    <numFmt numFmtId="196" formatCode="&quot;(&quot;0.0&quot; kW)&quot;"/>
    <numFmt numFmtId="197" formatCode="&quot;(&quot;0&quot; bar)&quot;"/>
    <numFmt numFmtId="198" formatCode="&quot;(&quot;0.0&quot; K)&quot;"/>
    <numFmt numFmtId="199" formatCode="0.0&quot; PSI&quot;"/>
    <numFmt numFmtId="200" formatCode="0.00&quot; PSI&quot;"/>
    <numFmt numFmtId="201" formatCode="0&quot; lb&quot;"/>
    <numFmt numFmtId="202" formatCode="&quot;OAT &quot;0&quot;°F&quot;"/>
    <numFmt numFmtId="203" formatCode="0.0&quot; TR&quot;"/>
    <numFmt numFmtId="204" formatCode="0.0\ &quot;A&quot;"/>
    <numFmt numFmtId="205" formatCode="0.0&quot; T&quot;"/>
    <numFmt numFmtId="206" formatCode="#\ ?/8"/>
    <numFmt numFmtId="207" formatCode="#\ ?/2"/>
    <numFmt numFmtId="208" formatCode="#\ ?/4"/>
    <numFmt numFmtId="209" formatCode="0&quot; TR&quot;"/>
  </numFmts>
  <fonts count="6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theme="4" tint="-0.499984740745262"/>
      <name val="Aptos Narrow"/>
      <family val="2"/>
      <scheme val="minor"/>
    </font>
    <font>
      <b/>
      <i/>
      <sz val="14"/>
      <color theme="4" tint="-0.499984740745262"/>
      <name val="Aptos Narrow"/>
      <family val="2"/>
      <scheme val="minor"/>
    </font>
    <font>
      <b/>
      <sz val="10"/>
      <color theme="4" tint="-0.499984740745262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1"/>
      <color theme="4" tint="-0.499984740745262"/>
      <name val="Aptos Narrow"/>
      <family val="2"/>
      <scheme val="minor"/>
    </font>
    <font>
      <b/>
      <i/>
      <sz val="16"/>
      <color theme="4" tint="-0.499984740745262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theme="4" tint="-0.499984740745262"/>
      <name val="Aptos Narrow"/>
      <family val="2"/>
      <scheme val="minor"/>
    </font>
    <font>
      <sz val="10"/>
      <color rgb="FF00206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sz val="8"/>
      <color theme="4" tint="-0.499984740745262"/>
      <name val="Aptos Narrow"/>
      <family val="2"/>
      <scheme val="minor"/>
    </font>
    <font>
      <sz val="9"/>
      <color theme="4" tint="-0.499984740745262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0"/>
      <color rgb="FF00206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8"/>
      <color theme="4" tint="-0.499984740745262"/>
      <name val="Aptos Narrow"/>
      <family val="2"/>
      <scheme val="minor"/>
    </font>
    <font>
      <b/>
      <i/>
      <sz val="11"/>
      <color theme="4" tint="-0.499984740745262"/>
      <name val="Aptos Narrow"/>
      <family val="2"/>
      <scheme val="minor"/>
    </font>
    <font>
      <b/>
      <sz val="11"/>
      <color theme="4" tint="-0.499984740745262"/>
      <name val="Aptos Narrow"/>
      <family val="2"/>
      <scheme val="minor"/>
    </font>
    <font>
      <i/>
      <sz val="11"/>
      <color theme="4" tint="-0.499984740745262"/>
      <name val="Aptos Narrow"/>
      <family val="2"/>
      <scheme val="minor"/>
    </font>
    <font>
      <sz val="10"/>
      <color theme="0"/>
      <name val="Aptos Narrow"/>
      <family val="2"/>
      <scheme val="minor"/>
    </font>
    <font>
      <i/>
      <sz val="16"/>
      <color theme="9"/>
      <name val="Arial Nova"/>
      <family val="2"/>
    </font>
    <font>
      <i/>
      <sz val="10"/>
      <color theme="9"/>
      <name val="Arial Nova"/>
      <family val="2"/>
    </font>
    <font>
      <b/>
      <sz val="18"/>
      <color theme="9"/>
      <name val="Aptos Narrow"/>
      <family val="2"/>
      <scheme val="minor"/>
    </font>
    <font>
      <b/>
      <i/>
      <sz val="14"/>
      <color theme="9"/>
      <name val="Aptos Narrow"/>
      <family val="2"/>
      <scheme val="minor"/>
    </font>
    <font>
      <sz val="11"/>
      <color theme="1"/>
      <name val="Calibri"/>
      <family val="2"/>
    </font>
    <font>
      <sz val="11"/>
      <color theme="3"/>
      <name val="Calibri"/>
      <family val="2"/>
    </font>
    <font>
      <b/>
      <sz val="11"/>
      <color theme="3"/>
      <name val="Calibri"/>
      <family val="2"/>
    </font>
    <font>
      <sz val="10"/>
      <color theme="3"/>
      <name val="Calibri"/>
      <family val="2"/>
    </font>
    <font>
      <b/>
      <sz val="10"/>
      <color theme="3"/>
      <name val="Calibri"/>
      <family val="2"/>
    </font>
    <font>
      <sz val="16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2060"/>
      <name val="Calibri"/>
      <family val="2"/>
    </font>
    <font>
      <u/>
      <sz val="11"/>
      <color theme="10"/>
      <name val="Aptos Narrow"/>
      <family val="2"/>
      <scheme val="minor"/>
    </font>
    <font>
      <sz val="16"/>
      <color theme="1"/>
      <name val="Corbel"/>
      <family val="2"/>
    </font>
    <font>
      <sz val="10"/>
      <color rgb="FF002060"/>
      <name val="Calibri"/>
      <family val="2"/>
    </font>
    <font>
      <b/>
      <u/>
      <sz val="12"/>
      <color rgb="FF000000"/>
      <name val="Aptos Narrow"/>
      <family val="2"/>
    </font>
    <font>
      <sz val="12"/>
      <color rgb="FF242424"/>
      <name val="Aptos"/>
      <family val="2"/>
    </font>
    <font>
      <sz val="12"/>
      <color rgb="FF242424"/>
      <name val="Aptos Display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sz val="8"/>
      <name val="Aptos Narrow"/>
      <family val="2"/>
      <scheme val="minor"/>
    </font>
    <font>
      <sz val="16"/>
      <color theme="3"/>
      <name val="Corbel"/>
      <family val="2"/>
    </font>
    <font>
      <b/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3"/>
      <color theme="1"/>
      <name val="Aptos Narrow"/>
      <family val="2"/>
      <scheme val="minor"/>
    </font>
    <font>
      <b/>
      <sz val="13"/>
      <color rgb="FF00B050"/>
      <name val="Aptos Narrow"/>
      <family val="2"/>
      <scheme val="minor"/>
    </font>
    <font>
      <b/>
      <sz val="13"/>
      <color rgb="FF0070C0"/>
      <name val="Aptos Narrow"/>
      <family val="2"/>
      <scheme val="minor"/>
    </font>
    <font>
      <b/>
      <sz val="13"/>
      <color rgb="FF7030A0"/>
      <name val="Aptos Narrow"/>
      <family val="2"/>
      <scheme val="minor"/>
    </font>
    <font>
      <sz val="13"/>
      <color rgb="FF00B050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name val="Calibri"/>
      <family val="2"/>
    </font>
    <font>
      <sz val="13"/>
      <name val="Calibri"/>
      <family val="2"/>
    </font>
    <font>
      <b/>
      <sz val="13"/>
      <color theme="4" tint="-0.499984740745262"/>
      <name val="Aptos Narrow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9C5700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1AD2D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2E75B6"/>
      </patternFill>
    </fill>
    <fill>
      <patternFill patternType="solid">
        <fgColor rgb="FFD4FCFA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EB9C"/>
      </patternFill>
    </fill>
  </fills>
  <borders count="46">
    <border>
      <left/>
      <right/>
      <top/>
      <bottom/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/>
      <bottom/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/>
      <bottom/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theme="4" tint="-0.499984740745262"/>
      </bottom>
      <diagonal/>
    </border>
    <border>
      <left style="thin">
        <color theme="4" tint="-0.499984740745262"/>
      </left>
      <right/>
      <top/>
      <bottom style="double">
        <color theme="4" tint="-0.499984740745262"/>
      </bottom>
      <diagonal/>
    </border>
    <border>
      <left/>
      <right style="thick">
        <color rgb="FF002060"/>
      </right>
      <top/>
      <bottom/>
      <diagonal/>
    </border>
    <border>
      <left style="thick">
        <color rgb="FF002060"/>
      </left>
      <right/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/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thin">
        <color rgb="FFBBBBBB"/>
      </left>
      <right style="thin">
        <color rgb="FFBBBBBB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54" fillId="0" borderId="0"/>
    <xf numFmtId="0" fontId="59" fillId="21" borderId="0" applyNumberFormat="0" applyBorder="0" applyAlignment="0" applyProtection="0"/>
  </cellStyleXfs>
  <cellXfs count="519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vertical="center"/>
    </xf>
    <xf numFmtId="0" fontId="4" fillId="2" borderId="6" xfId="0" applyFont="1" applyFill="1" applyBorder="1" applyAlignment="1">
      <alignment horizontal="right" vertical="center"/>
    </xf>
    <xf numFmtId="0" fontId="0" fillId="2" borderId="0" xfId="0" applyFill="1" applyAlignment="1">
      <alignment horizontal="right"/>
    </xf>
    <xf numFmtId="0" fontId="4" fillId="2" borderId="6" xfId="0" applyFont="1" applyFill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6" fillId="2" borderId="0" xfId="0" applyFont="1" applyFill="1"/>
    <xf numFmtId="166" fontId="5" fillId="2" borderId="0" xfId="0" applyNumberFormat="1" applyFont="1" applyFill="1" applyAlignment="1">
      <alignment horizontal="left" vertical="center"/>
    </xf>
    <xf numFmtId="0" fontId="4" fillId="2" borderId="0" xfId="0" applyFont="1" applyFill="1" applyAlignment="1">
      <alignment horizontal="right" vertical="center" indent="1"/>
    </xf>
    <xf numFmtId="167" fontId="5" fillId="2" borderId="0" xfId="1" applyNumberFormat="1" applyFont="1" applyFill="1" applyBorder="1" applyAlignment="1">
      <alignment horizontal="left" vertical="center"/>
    </xf>
    <xf numFmtId="167" fontId="5" fillId="6" borderId="2" xfId="1" applyNumberFormat="1" applyFont="1" applyFill="1" applyBorder="1" applyAlignment="1">
      <alignment horizontal="left" vertical="center"/>
    </xf>
    <xf numFmtId="166" fontId="5" fillId="2" borderId="0" xfId="0" applyNumberFormat="1" applyFont="1" applyFill="1" applyAlignment="1">
      <alignment vertical="center"/>
    </xf>
    <xf numFmtId="168" fontId="5" fillId="2" borderId="0" xfId="0" applyNumberFormat="1" applyFont="1" applyFill="1"/>
    <xf numFmtId="169" fontId="5" fillId="2" borderId="0" xfId="0" applyNumberFormat="1" applyFont="1" applyFill="1" applyAlignment="1">
      <alignment horizontal="left" vertical="center"/>
    </xf>
    <xf numFmtId="170" fontId="5" fillId="6" borderId="2" xfId="1" applyNumberFormat="1" applyFont="1" applyFill="1" applyBorder="1" applyAlignment="1">
      <alignment horizontal="left" vertical="center"/>
    </xf>
    <xf numFmtId="0" fontId="7" fillId="3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2" borderId="3" xfId="0" applyFont="1" applyFill="1" applyBorder="1" applyAlignment="1">
      <alignment vertical="center"/>
    </xf>
    <xf numFmtId="0" fontId="5" fillId="6" borderId="2" xfId="0" applyFont="1" applyFill="1" applyBorder="1" applyAlignment="1">
      <alignment horizontal="center" vertical="center"/>
    </xf>
    <xf numFmtId="0" fontId="4" fillId="3" borderId="11" xfId="0" applyFont="1" applyFill="1" applyBorder="1"/>
    <xf numFmtId="0" fontId="4" fillId="3" borderId="13" xfId="0" applyFont="1" applyFill="1" applyBorder="1"/>
    <xf numFmtId="0" fontId="4" fillId="3" borderId="14" xfId="0" applyFont="1" applyFill="1" applyBorder="1" applyAlignment="1">
      <alignment vertical="center"/>
    </xf>
    <xf numFmtId="0" fontId="0" fillId="3" borderId="0" xfId="0" applyFill="1" applyAlignment="1">
      <alignment horizontal="center"/>
    </xf>
    <xf numFmtId="0" fontId="4" fillId="3" borderId="15" xfId="0" applyFont="1" applyFill="1" applyBorder="1" applyAlignment="1">
      <alignment vertical="center"/>
    </xf>
    <xf numFmtId="0" fontId="9" fillId="2" borderId="0" xfId="0" applyFont="1" applyFill="1" applyAlignment="1">
      <alignment horizontal="right" vertical="center"/>
    </xf>
    <xf numFmtId="0" fontId="4" fillId="3" borderId="16" xfId="0" applyFont="1" applyFill="1" applyBorder="1" applyAlignment="1">
      <alignment vertical="center"/>
    </xf>
    <xf numFmtId="2" fontId="4" fillId="3" borderId="18" xfId="0" applyNumberFormat="1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49" fontId="10" fillId="2" borderId="0" xfId="0" applyNumberFormat="1" applyFont="1" applyFill="1" applyAlignment="1">
      <alignment horizontal="center"/>
    </xf>
    <xf numFmtId="0" fontId="4" fillId="3" borderId="0" xfId="0" applyFont="1" applyFill="1"/>
    <xf numFmtId="1" fontId="5" fillId="2" borderId="0" xfId="0" applyNumberFormat="1" applyFont="1" applyFill="1" applyAlignment="1">
      <alignment vertical="center"/>
    </xf>
    <xf numFmtId="1" fontId="5" fillId="2" borderId="0" xfId="0" applyNumberFormat="1" applyFont="1" applyFill="1" applyAlignment="1">
      <alignment horizontal="center" vertical="center"/>
    </xf>
    <xf numFmtId="1" fontId="5" fillId="2" borderId="0" xfId="0" applyNumberFormat="1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172" fontId="5" fillId="2" borderId="0" xfId="0" applyNumberFormat="1" applyFont="1" applyFill="1" applyAlignment="1">
      <alignment vertical="center"/>
    </xf>
    <xf numFmtId="0" fontId="5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vertical="center"/>
    </xf>
    <xf numFmtId="0" fontId="5" fillId="8" borderId="0" xfId="0" applyFont="1" applyFill="1" applyAlignment="1">
      <alignment vertical="center"/>
    </xf>
    <xf numFmtId="172" fontId="5" fillId="8" borderId="0" xfId="0" applyNumberFormat="1" applyFont="1" applyFill="1" applyAlignment="1">
      <alignment vertical="center"/>
    </xf>
    <xf numFmtId="0" fontId="12" fillId="8" borderId="0" xfId="0" applyFont="1" applyFill="1" applyAlignment="1">
      <alignment horizontal="center" vertical="center"/>
    </xf>
    <xf numFmtId="0" fontId="14" fillId="8" borderId="0" xfId="0" applyFont="1" applyFill="1" applyAlignment="1">
      <alignment vertical="center"/>
    </xf>
    <xf numFmtId="172" fontId="12" fillId="8" borderId="0" xfId="0" applyNumberFormat="1" applyFont="1" applyFill="1" applyAlignment="1">
      <alignment vertical="center"/>
    </xf>
    <xf numFmtId="0" fontId="9" fillId="2" borderId="0" xfId="0" applyFont="1" applyFill="1" applyAlignment="1">
      <alignment vertical="center"/>
    </xf>
    <xf numFmtId="171" fontId="5" fillId="2" borderId="0" xfId="0" applyNumberFormat="1" applyFont="1" applyFill="1" applyAlignment="1">
      <alignment horizontal="center" vertical="center"/>
    </xf>
    <xf numFmtId="171" fontId="8" fillId="2" borderId="0" xfId="0" applyNumberFormat="1" applyFont="1" applyFill="1" applyAlignment="1">
      <alignment vertical="center"/>
    </xf>
    <xf numFmtId="171" fontId="0" fillId="2" borderId="0" xfId="0" applyNumberFormat="1" applyFill="1"/>
    <xf numFmtId="171" fontId="5" fillId="2" borderId="0" xfId="0" applyNumberFormat="1" applyFont="1" applyFill="1" applyAlignment="1">
      <alignment vertical="center"/>
    </xf>
    <xf numFmtId="175" fontId="8" fillId="2" borderId="0" xfId="0" applyNumberFormat="1" applyFont="1" applyFill="1" applyAlignment="1">
      <alignment vertical="center"/>
    </xf>
    <xf numFmtId="175" fontId="5" fillId="2" borderId="0" xfId="0" applyNumberFormat="1" applyFont="1" applyFill="1" applyAlignment="1">
      <alignment horizontal="center" vertical="center"/>
    </xf>
    <xf numFmtId="172" fontId="10" fillId="9" borderId="0" xfId="0" applyNumberFormat="1" applyFont="1" applyFill="1" applyAlignment="1">
      <alignment horizontal="right" vertical="center"/>
    </xf>
    <xf numFmtId="0" fontId="10" fillId="9" borderId="0" xfId="0" applyFont="1" applyFill="1" applyAlignment="1">
      <alignment horizontal="right" vertical="center"/>
    </xf>
    <xf numFmtId="0" fontId="10" fillId="9" borderId="0" xfId="0" applyFont="1" applyFill="1" applyAlignment="1">
      <alignment vertical="center"/>
    </xf>
    <xf numFmtId="0" fontId="15" fillId="9" borderId="0" xfId="0" applyFont="1" applyFill="1" applyAlignment="1">
      <alignment horizontal="right" vertical="center"/>
    </xf>
    <xf numFmtId="0" fontId="10" fillId="9" borderId="0" xfId="0" applyFont="1" applyFill="1" applyAlignment="1">
      <alignment horizontal="right"/>
    </xf>
    <xf numFmtId="0" fontId="10" fillId="9" borderId="0" xfId="0" applyFont="1" applyFill="1"/>
    <xf numFmtId="176" fontId="10" fillId="9" borderId="0" xfId="0" applyNumberFormat="1" applyFont="1" applyFill="1" applyAlignment="1">
      <alignment horizontal="right" vertical="center"/>
    </xf>
    <xf numFmtId="176" fontId="10" fillId="9" borderId="0" xfId="0" applyNumberFormat="1" applyFont="1" applyFill="1" applyAlignment="1">
      <alignment vertical="center"/>
    </xf>
    <xf numFmtId="177" fontId="10" fillId="9" borderId="0" xfId="0" applyNumberFormat="1" applyFont="1" applyFill="1" applyAlignment="1">
      <alignment horizontal="right" vertical="center"/>
    </xf>
    <xf numFmtId="177" fontId="10" fillId="9" borderId="0" xfId="0" applyNumberFormat="1" applyFont="1" applyFill="1" applyAlignment="1">
      <alignment vertical="center"/>
    </xf>
    <xf numFmtId="178" fontId="10" fillId="9" borderId="0" xfId="0" applyNumberFormat="1" applyFont="1" applyFill="1" applyAlignment="1">
      <alignment horizontal="right" vertical="center"/>
    </xf>
    <xf numFmtId="178" fontId="10" fillId="9" borderId="0" xfId="0" applyNumberFormat="1" applyFont="1" applyFill="1" applyAlignment="1">
      <alignment vertical="center"/>
    </xf>
    <xf numFmtId="179" fontId="10" fillId="9" borderId="0" xfId="0" applyNumberFormat="1" applyFont="1" applyFill="1" applyAlignment="1">
      <alignment horizontal="right" vertical="center"/>
    </xf>
    <xf numFmtId="179" fontId="15" fillId="9" borderId="0" xfId="0" applyNumberFormat="1" applyFont="1" applyFill="1" applyAlignment="1">
      <alignment horizontal="right" vertical="center"/>
    </xf>
    <xf numFmtId="179" fontId="10" fillId="9" borderId="0" xfId="0" applyNumberFormat="1" applyFont="1" applyFill="1" applyAlignment="1">
      <alignment horizontal="right"/>
    </xf>
    <xf numFmtId="179" fontId="10" fillId="9" borderId="0" xfId="0" applyNumberFormat="1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6" fillId="2" borderId="0" xfId="0" applyFont="1" applyFill="1"/>
    <xf numFmtId="172" fontId="13" fillId="2" borderId="0" xfId="0" applyNumberFormat="1" applyFont="1" applyFill="1" applyAlignment="1">
      <alignment vertical="center"/>
    </xf>
    <xf numFmtId="0" fontId="13" fillId="2" borderId="0" xfId="0" applyFont="1" applyFill="1" applyAlignment="1">
      <alignment horizontal="center" vertical="top"/>
    </xf>
    <xf numFmtId="0" fontId="16" fillId="2" borderId="0" xfId="0" applyFont="1" applyFill="1" applyAlignment="1">
      <alignment vertical="top"/>
    </xf>
    <xf numFmtId="180" fontId="5" fillId="2" borderId="0" xfId="0" applyNumberFormat="1" applyFont="1" applyFill="1" applyAlignment="1">
      <alignment horizontal="center" vertical="center"/>
    </xf>
    <xf numFmtId="175" fontId="0" fillId="2" borderId="0" xfId="0" applyNumberFormat="1" applyFill="1"/>
    <xf numFmtId="175" fontId="4" fillId="2" borderId="0" xfId="0" applyNumberFormat="1" applyFont="1" applyFill="1" applyAlignment="1">
      <alignment horizontal="center" vertical="center"/>
    </xf>
    <xf numFmtId="0" fontId="4" fillId="3" borderId="19" xfId="0" applyFont="1" applyFill="1" applyBorder="1" applyAlignment="1">
      <alignment vertical="center"/>
    </xf>
    <xf numFmtId="0" fontId="4" fillId="3" borderId="20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0" fontId="0" fillId="3" borderId="6" xfId="0" applyFill="1" applyBorder="1" applyAlignment="1">
      <alignment vertical="center"/>
    </xf>
    <xf numFmtId="175" fontId="5" fillId="2" borderId="0" xfId="0" applyNumberFormat="1" applyFont="1" applyFill="1" applyAlignment="1">
      <alignment vertical="center"/>
    </xf>
    <xf numFmtId="0" fontId="10" fillId="2" borderId="0" xfId="0" applyFont="1" applyFill="1" applyAlignment="1">
      <alignment horizontal="center"/>
    </xf>
    <xf numFmtId="181" fontId="5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10" fillId="6" borderId="2" xfId="0" applyFont="1" applyFill="1" applyBorder="1" applyAlignment="1">
      <alignment horizontal="center" vertical="center"/>
    </xf>
    <xf numFmtId="0" fontId="10" fillId="2" borderId="0" xfId="0" applyFont="1" applyFill="1" applyAlignment="1">
      <alignment vertical="center"/>
    </xf>
    <xf numFmtId="172" fontId="10" fillId="2" borderId="0" xfId="0" applyNumberFormat="1" applyFont="1" applyFill="1" applyAlignment="1">
      <alignment vertical="center"/>
    </xf>
    <xf numFmtId="0" fontId="0" fillId="2" borderId="0" xfId="0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182" fontId="5" fillId="2" borderId="0" xfId="0" applyNumberFormat="1" applyFont="1" applyFill="1" applyAlignment="1">
      <alignment horizontal="center" vertical="center"/>
    </xf>
    <xf numFmtId="182" fontId="5" fillId="3" borderId="0" xfId="0" applyNumberFormat="1" applyFont="1" applyFill="1" applyAlignment="1">
      <alignment vertical="center"/>
    </xf>
    <xf numFmtId="167" fontId="5" fillId="2" borderId="0" xfId="1" applyNumberFormat="1" applyFont="1" applyFill="1" applyBorder="1" applyAlignment="1">
      <alignment horizontal="center" vertical="center"/>
    </xf>
    <xf numFmtId="167" fontId="8" fillId="2" borderId="0" xfId="0" applyNumberFormat="1" applyFont="1" applyFill="1" applyAlignment="1">
      <alignment vertical="center"/>
    </xf>
    <xf numFmtId="167" fontId="5" fillId="2" borderId="0" xfId="0" applyNumberFormat="1" applyFont="1" applyFill="1" applyAlignment="1">
      <alignment vertical="center"/>
    </xf>
    <xf numFmtId="184" fontId="5" fillId="2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vertical="center"/>
    </xf>
    <xf numFmtId="185" fontId="5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86" fontId="5" fillId="2" borderId="0" xfId="0" applyNumberFormat="1" applyFont="1" applyFill="1" applyAlignment="1">
      <alignment horizontal="right" vertical="center"/>
    </xf>
    <xf numFmtId="172" fontId="5" fillId="2" borderId="0" xfId="0" applyNumberFormat="1" applyFont="1" applyFill="1" applyAlignment="1">
      <alignment horizontal="right" vertical="center"/>
    </xf>
    <xf numFmtId="186" fontId="5" fillId="2" borderId="0" xfId="0" applyNumberFormat="1" applyFont="1" applyFill="1" applyAlignment="1">
      <alignment horizontal="center" vertical="center"/>
    </xf>
    <xf numFmtId="185" fontId="4" fillId="2" borderId="0" xfId="0" applyNumberFormat="1" applyFont="1" applyFill="1" applyAlignment="1">
      <alignment horizontal="center" vertical="center"/>
    </xf>
    <xf numFmtId="0" fontId="0" fillId="3" borderId="3" xfId="0" applyFill="1" applyBorder="1" applyAlignment="1">
      <alignment vertical="center"/>
    </xf>
    <xf numFmtId="0" fontId="18" fillId="2" borderId="0" xfId="0" applyFont="1" applyFill="1" applyAlignment="1">
      <alignment vertical="center"/>
    </xf>
    <xf numFmtId="0" fontId="18" fillId="3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20" fillId="2" borderId="0" xfId="0" applyFont="1" applyFill="1" applyAlignment="1">
      <alignment vertical="center"/>
    </xf>
    <xf numFmtId="187" fontId="5" fillId="2" borderId="0" xfId="0" applyNumberFormat="1" applyFont="1" applyFill="1" applyAlignment="1">
      <alignment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0" fontId="26" fillId="2" borderId="0" xfId="0" applyFont="1" applyFill="1"/>
    <xf numFmtId="0" fontId="26" fillId="10" borderId="0" xfId="0" applyFont="1" applyFill="1"/>
    <xf numFmtId="0" fontId="29" fillId="2" borderId="0" xfId="0" applyFont="1" applyFill="1"/>
    <xf numFmtId="0" fontId="30" fillId="2" borderId="0" xfId="0" applyFont="1" applyFill="1"/>
    <xf numFmtId="0" fontId="27" fillId="2" borderId="0" xfId="0" applyFont="1" applyFill="1"/>
    <xf numFmtId="0" fontId="30" fillId="2" borderId="0" xfId="0" applyFont="1" applyFill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29" fillId="2" borderId="0" xfId="0" applyFont="1" applyFill="1" applyAlignment="1">
      <alignment horizontal="right" vertical="center"/>
    </xf>
    <xf numFmtId="0" fontId="26" fillId="2" borderId="0" xfId="0" applyFont="1" applyFill="1" applyAlignment="1">
      <alignment vertical="center"/>
    </xf>
    <xf numFmtId="168" fontId="27" fillId="2" borderId="0" xfId="0" applyNumberFormat="1" applyFont="1" applyFill="1" applyAlignment="1" applyProtection="1">
      <alignment horizontal="right" vertical="center"/>
      <protection locked="0"/>
    </xf>
    <xf numFmtId="193" fontId="27" fillId="2" borderId="0" xfId="0" applyNumberFormat="1" applyFont="1" applyFill="1" applyAlignment="1" applyProtection="1">
      <alignment horizontal="left" vertical="center" wrapText="1"/>
      <protection locked="0"/>
    </xf>
    <xf numFmtId="188" fontId="27" fillId="2" borderId="0" xfId="0" applyNumberFormat="1" applyFont="1" applyFill="1" applyAlignment="1" applyProtection="1">
      <alignment horizontal="right" vertical="center"/>
      <protection locked="0"/>
    </xf>
    <xf numFmtId="194" fontId="27" fillId="2" borderId="0" xfId="0" applyNumberFormat="1" applyFont="1" applyFill="1" applyAlignment="1" applyProtection="1">
      <alignment horizontal="center" vertical="center"/>
      <protection locked="0"/>
    </xf>
    <xf numFmtId="194" fontId="27" fillId="2" borderId="0" xfId="0" applyNumberFormat="1" applyFont="1" applyFill="1" applyAlignment="1">
      <alignment horizontal="left"/>
    </xf>
    <xf numFmtId="188" fontId="27" fillId="2" borderId="0" xfId="0" applyNumberFormat="1" applyFont="1" applyFill="1" applyAlignment="1" applyProtection="1">
      <alignment horizontal="center" vertical="center"/>
      <protection locked="0"/>
    </xf>
    <xf numFmtId="196" fontId="27" fillId="2" borderId="0" xfId="0" applyNumberFormat="1" applyFont="1" applyFill="1" applyAlignment="1" applyProtection="1">
      <alignment horizontal="center" vertical="center"/>
      <protection locked="0"/>
    </xf>
    <xf numFmtId="196" fontId="27" fillId="2" borderId="0" xfId="0" applyNumberFormat="1" applyFont="1" applyFill="1" applyAlignment="1">
      <alignment horizontal="left"/>
    </xf>
    <xf numFmtId="168" fontId="27" fillId="2" borderId="0" xfId="0" applyNumberFormat="1" applyFont="1" applyFill="1" applyAlignment="1" applyProtection="1">
      <alignment vertical="center"/>
      <protection locked="0"/>
    </xf>
    <xf numFmtId="193" fontId="27" fillId="2" borderId="0" xfId="0" applyNumberFormat="1" applyFont="1" applyFill="1" applyAlignment="1" applyProtection="1">
      <alignment horizontal="left" vertical="center"/>
      <protection locked="0"/>
    </xf>
    <xf numFmtId="191" fontId="27" fillId="2" borderId="0" xfId="0" applyNumberFormat="1" applyFont="1" applyFill="1" applyAlignment="1" applyProtection="1">
      <alignment vertical="center"/>
      <protection locked="0"/>
    </xf>
    <xf numFmtId="195" fontId="27" fillId="2" borderId="0" xfId="0" applyNumberFormat="1" applyFont="1" applyFill="1" applyAlignment="1" applyProtection="1">
      <alignment horizontal="left" vertical="center"/>
      <protection locked="0"/>
    </xf>
    <xf numFmtId="197" fontId="27" fillId="2" borderId="0" xfId="0" applyNumberFormat="1" applyFont="1" applyFill="1" applyAlignment="1">
      <alignment horizontal="left"/>
    </xf>
    <xf numFmtId="198" fontId="27" fillId="2" borderId="0" xfId="0" applyNumberFormat="1" applyFont="1" applyFill="1" applyAlignment="1" applyProtection="1">
      <alignment horizontal="left" vertical="center" wrapText="1"/>
      <protection locked="0"/>
    </xf>
    <xf numFmtId="0" fontId="27" fillId="4" borderId="0" xfId="0" applyFont="1" applyFill="1"/>
    <xf numFmtId="0" fontId="29" fillId="4" borderId="0" xfId="0" applyFont="1" applyFill="1"/>
    <xf numFmtId="0" fontId="26" fillId="4" borderId="0" xfId="0" applyFont="1" applyFill="1"/>
    <xf numFmtId="188" fontId="27" fillId="4" borderId="0" xfId="0" applyNumberFormat="1" applyFont="1" applyFill="1" applyAlignment="1" applyProtection="1">
      <alignment horizontal="right" vertical="center"/>
      <protection locked="0"/>
    </xf>
    <xf numFmtId="196" fontId="27" fillId="4" borderId="0" xfId="0" applyNumberFormat="1" applyFont="1" applyFill="1" applyAlignment="1" applyProtection="1">
      <alignment horizontal="center" vertical="center"/>
      <protection locked="0"/>
    </xf>
    <xf numFmtId="196" fontId="27" fillId="4" borderId="0" xfId="0" applyNumberFormat="1" applyFont="1" applyFill="1" applyAlignment="1">
      <alignment horizontal="left"/>
    </xf>
    <xf numFmtId="168" fontId="27" fillId="4" borderId="0" xfId="0" applyNumberFormat="1" applyFont="1" applyFill="1" applyAlignment="1" applyProtection="1">
      <alignment vertical="center"/>
      <protection locked="0"/>
    </xf>
    <xf numFmtId="193" fontId="27" fillId="4" borderId="0" xfId="0" applyNumberFormat="1" applyFont="1" applyFill="1" applyAlignment="1" applyProtection="1">
      <alignment horizontal="left" vertical="center"/>
      <protection locked="0"/>
    </xf>
    <xf numFmtId="193" fontId="27" fillId="4" borderId="0" xfId="0" applyNumberFormat="1" applyFont="1" applyFill="1" applyAlignment="1" applyProtection="1">
      <alignment horizontal="left" vertical="center" wrapText="1"/>
      <protection locked="0"/>
    </xf>
    <xf numFmtId="198" fontId="27" fillId="4" borderId="0" xfId="0" applyNumberFormat="1" applyFont="1" applyFill="1" applyAlignment="1" applyProtection="1">
      <alignment horizontal="left" vertical="center" wrapText="1"/>
      <protection locked="0"/>
    </xf>
    <xf numFmtId="191" fontId="27" fillId="4" borderId="0" xfId="0" applyNumberFormat="1" applyFont="1" applyFill="1" applyAlignment="1" applyProtection="1">
      <alignment vertical="center"/>
      <protection locked="0"/>
    </xf>
    <xf numFmtId="195" fontId="27" fillId="4" borderId="0" xfId="0" applyNumberFormat="1" applyFont="1" applyFill="1" applyAlignment="1" applyProtection="1">
      <alignment horizontal="left" vertical="center"/>
      <protection locked="0"/>
    </xf>
    <xf numFmtId="197" fontId="27" fillId="4" borderId="0" xfId="0" applyNumberFormat="1" applyFont="1" applyFill="1" applyAlignment="1">
      <alignment horizontal="left"/>
    </xf>
    <xf numFmtId="0" fontId="30" fillId="2" borderId="0" xfId="0" applyFont="1" applyFill="1" applyAlignment="1">
      <alignment horizontal="right"/>
    </xf>
    <xf numFmtId="194" fontId="27" fillId="4" borderId="0" xfId="0" applyNumberFormat="1" applyFont="1" applyFill="1" applyAlignment="1" applyProtection="1">
      <alignment horizontal="center" vertical="center"/>
      <protection locked="0"/>
    </xf>
    <xf numFmtId="194" fontId="27" fillId="4" borderId="0" xfId="0" applyNumberFormat="1" applyFont="1" applyFill="1" applyAlignment="1">
      <alignment horizontal="left"/>
    </xf>
    <xf numFmtId="188" fontId="27" fillId="4" borderId="0" xfId="0" applyNumberFormat="1" applyFont="1" applyFill="1" applyAlignment="1" applyProtection="1">
      <alignment horizontal="center" vertical="center"/>
      <protection locked="0"/>
    </xf>
    <xf numFmtId="0" fontId="26" fillId="11" borderId="0" xfId="0" applyFont="1" applyFill="1"/>
    <xf numFmtId="0" fontId="32" fillId="11" borderId="21" xfId="0" applyFont="1" applyFill="1" applyBorder="1" applyAlignment="1">
      <alignment horizontal="center" vertical="center" textRotation="90"/>
    </xf>
    <xf numFmtId="0" fontId="26" fillId="11" borderId="21" xfId="0" applyFont="1" applyFill="1" applyBorder="1"/>
    <xf numFmtId="0" fontId="28" fillId="2" borderId="0" xfId="0" applyFont="1" applyFill="1" applyAlignment="1">
      <alignment horizontal="right" vertical="center" wrapText="1"/>
    </xf>
    <xf numFmtId="168" fontId="27" fillId="4" borderId="0" xfId="0" applyNumberFormat="1" applyFont="1" applyFill="1" applyAlignment="1" applyProtection="1">
      <alignment horizontal="right" vertical="center"/>
      <protection locked="0"/>
    </xf>
    <xf numFmtId="0" fontId="29" fillId="2" borderId="0" xfId="0" applyFont="1" applyFill="1" applyAlignment="1" applyProtection="1">
      <alignment vertical="center" wrapText="1"/>
      <protection locked="0"/>
    </xf>
    <xf numFmtId="0" fontId="28" fillId="11" borderId="0" xfId="0" applyFont="1" applyFill="1" applyAlignment="1">
      <alignment horizontal="right" vertical="center" wrapText="1"/>
    </xf>
    <xf numFmtId="0" fontId="27" fillId="11" borderId="0" xfId="0" applyFont="1" applyFill="1"/>
    <xf numFmtId="192" fontId="27" fillId="11" borderId="0" xfId="0" applyNumberFormat="1" applyFont="1" applyFill="1" applyAlignment="1">
      <alignment horizontal="center" vertical="center"/>
    </xf>
    <xf numFmtId="199" fontId="27" fillId="2" borderId="0" xfId="0" applyNumberFormat="1" applyFont="1" applyFill="1" applyAlignment="1">
      <alignment horizontal="center" vertical="center"/>
    </xf>
    <xf numFmtId="0" fontId="33" fillId="2" borderId="0" xfId="0" applyFont="1" applyFill="1" applyAlignment="1">
      <alignment vertical="center" textRotation="90"/>
    </xf>
    <xf numFmtId="0" fontId="29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left"/>
    </xf>
    <xf numFmtId="0" fontId="32" fillId="2" borderId="0" xfId="0" applyFont="1" applyFill="1" applyAlignment="1">
      <alignment horizontal="center" vertical="center" textRotation="90"/>
    </xf>
    <xf numFmtId="1" fontId="27" fillId="2" borderId="0" xfId="0" applyNumberFormat="1" applyFont="1" applyFill="1" applyAlignment="1" applyProtection="1">
      <alignment horizontal="left" vertical="center"/>
      <protection locked="0"/>
    </xf>
    <xf numFmtId="0" fontId="28" fillId="2" borderId="0" xfId="0" applyFont="1" applyFill="1" applyAlignment="1">
      <alignment horizontal="right"/>
    </xf>
    <xf numFmtId="1" fontId="27" fillId="2" borderId="0" xfId="0" applyNumberFormat="1" applyFont="1" applyFill="1" applyAlignment="1" applyProtection="1">
      <alignment vertical="center"/>
      <protection locked="0"/>
    </xf>
    <xf numFmtId="0" fontId="33" fillId="2" borderId="0" xfId="0" applyFont="1" applyFill="1" applyAlignment="1">
      <alignment horizontal="center" vertical="center" textRotation="90"/>
    </xf>
    <xf numFmtId="0" fontId="28" fillId="4" borderId="0" xfId="0" applyFont="1" applyFill="1" applyAlignment="1">
      <alignment horizontal="left"/>
    </xf>
    <xf numFmtId="0" fontId="31" fillId="2" borderId="0" xfId="0" applyFont="1" applyFill="1"/>
    <xf numFmtId="175" fontId="29" fillId="6" borderId="0" xfId="0" applyNumberFormat="1" applyFont="1" applyFill="1" applyAlignment="1">
      <alignment vertical="center"/>
    </xf>
    <xf numFmtId="196" fontId="29" fillId="6" borderId="0" xfId="0" applyNumberFormat="1" applyFont="1" applyFill="1" applyAlignment="1">
      <alignment vertical="center"/>
    </xf>
    <xf numFmtId="189" fontId="27" fillId="2" borderId="0" xfId="0" applyNumberFormat="1" applyFont="1" applyFill="1" applyAlignment="1" applyProtection="1">
      <alignment vertical="center"/>
      <protection locked="0"/>
    </xf>
    <xf numFmtId="0" fontId="28" fillId="2" borderId="0" xfId="0" applyFont="1" applyFill="1" applyAlignment="1">
      <alignment vertical="center" wrapText="1"/>
    </xf>
    <xf numFmtId="196" fontId="29" fillId="2" borderId="0" xfId="0" applyNumberFormat="1" applyFont="1" applyFill="1" applyAlignment="1">
      <alignment vertical="center"/>
    </xf>
    <xf numFmtId="0" fontId="28" fillId="4" borderId="24" xfId="0" applyFont="1" applyFill="1" applyBorder="1" applyAlignment="1">
      <alignment horizontal="left"/>
    </xf>
    <xf numFmtId="0" fontId="26" fillId="2" borderId="24" xfId="0" applyFont="1" applyFill="1" applyBorder="1"/>
    <xf numFmtId="0" fontId="29" fillId="2" borderId="24" xfId="0" applyFont="1" applyFill="1" applyBorder="1"/>
    <xf numFmtId="193" fontId="27" fillId="2" borderId="23" xfId="0" applyNumberFormat="1" applyFont="1" applyFill="1" applyBorder="1" applyAlignment="1" applyProtection="1">
      <alignment horizontal="left" vertical="center" wrapText="1"/>
      <protection locked="0"/>
    </xf>
    <xf numFmtId="194" fontId="27" fillId="2" borderId="23" xfId="0" applyNumberFormat="1" applyFont="1" applyFill="1" applyBorder="1" applyAlignment="1">
      <alignment horizontal="left"/>
    </xf>
    <xf numFmtId="196" fontId="27" fillId="2" borderId="23" xfId="0" applyNumberFormat="1" applyFont="1" applyFill="1" applyBorder="1" applyAlignment="1">
      <alignment horizontal="left"/>
    </xf>
    <xf numFmtId="188" fontId="27" fillId="2" borderId="25" xfId="0" applyNumberFormat="1" applyFont="1" applyFill="1" applyBorder="1" applyAlignment="1" applyProtection="1">
      <alignment horizontal="right" vertical="center"/>
      <protection locked="0"/>
    </xf>
    <xf numFmtId="188" fontId="27" fillId="2" borderId="25" xfId="0" applyNumberFormat="1" applyFont="1" applyFill="1" applyBorder="1" applyAlignment="1" applyProtection="1">
      <alignment horizontal="center" vertical="center"/>
      <protection locked="0"/>
    </xf>
    <xf numFmtId="168" fontId="27" fillId="2" borderId="25" xfId="0" applyNumberFormat="1" applyFont="1" applyFill="1" applyBorder="1" applyAlignment="1" applyProtection="1">
      <alignment horizontal="right" vertical="center"/>
      <protection locked="0"/>
    </xf>
    <xf numFmtId="168" fontId="27" fillId="2" borderId="25" xfId="0" applyNumberFormat="1" applyFont="1" applyFill="1" applyBorder="1" applyAlignment="1" applyProtection="1">
      <alignment vertical="center"/>
      <protection locked="0"/>
    </xf>
    <xf numFmtId="198" fontId="27" fillId="2" borderId="23" xfId="0" applyNumberFormat="1" applyFont="1" applyFill="1" applyBorder="1" applyAlignment="1" applyProtection="1">
      <alignment horizontal="left" vertical="center" wrapText="1"/>
      <protection locked="0"/>
    </xf>
    <xf numFmtId="1" fontId="27" fillId="6" borderId="0" xfId="0" applyNumberFormat="1" applyFont="1" applyFill="1" applyAlignment="1" applyProtection="1">
      <alignment horizontal="left" vertical="center"/>
      <protection locked="0"/>
    </xf>
    <xf numFmtId="189" fontId="27" fillId="6" borderId="0" xfId="0" applyNumberFormat="1" applyFont="1" applyFill="1" applyAlignment="1" applyProtection="1">
      <alignment horizontal="left" vertical="center"/>
      <protection locked="0"/>
    </xf>
    <xf numFmtId="0" fontId="27" fillId="2" borderId="0" xfId="0" applyFont="1" applyFill="1" applyAlignment="1">
      <alignment horizontal="left"/>
    </xf>
    <xf numFmtId="193" fontId="27" fillId="2" borderId="26" xfId="0" applyNumberFormat="1" applyFont="1" applyFill="1" applyBorder="1" applyAlignment="1" applyProtection="1">
      <alignment horizontal="left" vertical="center" wrapText="1"/>
      <protection locked="0"/>
    </xf>
    <xf numFmtId="194" fontId="27" fillId="2" borderId="26" xfId="0" applyNumberFormat="1" applyFont="1" applyFill="1" applyBorder="1" applyAlignment="1">
      <alignment horizontal="left"/>
    </xf>
    <xf numFmtId="196" fontId="27" fillId="2" borderId="26" xfId="0" applyNumberFormat="1" applyFont="1" applyFill="1" applyBorder="1" applyAlignment="1">
      <alignment horizontal="left"/>
    </xf>
    <xf numFmtId="198" fontId="27" fillId="2" borderId="26" xfId="0" applyNumberFormat="1" applyFont="1" applyFill="1" applyBorder="1" applyAlignment="1" applyProtection="1">
      <alignment horizontal="left" vertical="center" wrapText="1"/>
      <protection locked="0"/>
    </xf>
    <xf numFmtId="168" fontId="27" fillId="2" borderId="27" xfId="0" applyNumberFormat="1" applyFont="1" applyFill="1" applyBorder="1" applyAlignment="1" applyProtection="1">
      <alignment horizontal="right" vertical="center"/>
      <protection locked="0"/>
    </xf>
    <xf numFmtId="188" fontId="27" fillId="2" borderId="27" xfId="0" applyNumberFormat="1" applyFont="1" applyFill="1" applyBorder="1" applyAlignment="1" applyProtection="1">
      <alignment horizontal="right" vertical="center"/>
      <protection locked="0"/>
    </xf>
    <xf numFmtId="188" fontId="27" fillId="2" borderId="27" xfId="0" applyNumberFormat="1" applyFont="1" applyFill="1" applyBorder="1" applyAlignment="1" applyProtection="1">
      <alignment horizontal="center" vertical="center"/>
      <protection locked="0"/>
    </xf>
    <xf numFmtId="168" fontId="27" fillId="2" borderId="27" xfId="0" applyNumberFormat="1" applyFont="1" applyFill="1" applyBorder="1" applyAlignment="1" applyProtection="1">
      <alignment vertical="center"/>
      <protection locked="0"/>
    </xf>
    <xf numFmtId="0" fontId="38" fillId="13" borderId="34" xfId="0" applyFont="1" applyFill="1" applyBorder="1" applyAlignment="1">
      <alignment horizontal="center" vertical="center" wrapText="1"/>
    </xf>
    <xf numFmtId="0" fontId="0" fillId="13" borderId="33" xfId="0" applyFill="1" applyBorder="1" applyAlignment="1">
      <alignment vertical="center" wrapText="1"/>
    </xf>
    <xf numFmtId="0" fontId="38" fillId="13" borderId="33" xfId="0" applyFont="1" applyFill="1" applyBorder="1" applyAlignment="1">
      <alignment horizontal="center" vertical="center" wrapText="1"/>
    </xf>
    <xf numFmtId="0" fontId="38" fillId="13" borderId="31" xfId="0" applyFont="1" applyFill="1" applyBorder="1" applyAlignment="1">
      <alignment vertical="center" wrapText="1"/>
    </xf>
    <xf numFmtId="0" fontId="38" fillId="14" borderId="33" xfId="0" applyFont="1" applyFill="1" applyBorder="1" applyAlignment="1">
      <alignment vertical="center" wrapText="1"/>
    </xf>
    <xf numFmtId="3" fontId="38" fillId="13" borderId="33" xfId="0" applyNumberFormat="1" applyFont="1" applyFill="1" applyBorder="1" applyAlignment="1">
      <alignment horizontal="center" vertical="center" wrapText="1"/>
    </xf>
    <xf numFmtId="0" fontId="38" fillId="0" borderId="31" xfId="0" applyFont="1" applyBorder="1" applyAlignment="1">
      <alignment vertical="center" wrapText="1"/>
    </xf>
    <xf numFmtId="0" fontId="38" fillId="0" borderId="33" xfId="0" applyFont="1" applyBorder="1" applyAlignment="1">
      <alignment horizontal="center" vertical="center" wrapText="1"/>
    </xf>
    <xf numFmtId="3" fontId="38" fillId="0" borderId="33" xfId="0" applyNumberFormat="1" applyFont="1" applyBorder="1" applyAlignment="1">
      <alignment horizontal="center" vertical="center" wrapText="1"/>
    </xf>
    <xf numFmtId="0" fontId="39" fillId="13" borderId="33" xfId="0" applyFont="1" applyFill="1" applyBorder="1" applyAlignment="1">
      <alignment horizontal="center" vertical="center" wrapText="1"/>
    </xf>
    <xf numFmtId="0" fontId="27" fillId="2" borderId="0" xfId="0" applyFont="1" applyFill="1" applyAlignment="1" applyProtection="1">
      <alignment horizontal="center" vertical="center" wrapText="1"/>
      <protection locked="0"/>
    </xf>
    <xf numFmtId="0" fontId="29" fillId="6" borderId="0" xfId="0" applyFont="1" applyFill="1" applyAlignment="1">
      <alignment horizontal="left" vertical="center"/>
    </xf>
    <xf numFmtId="0" fontId="40" fillId="15" borderId="36" xfId="0" applyFont="1" applyFill="1" applyBorder="1" applyAlignment="1">
      <alignment horizontal="center" vertical="center" wrapText="1"/>
    </xf>
    <xf numFmtId="0" fontId="41" fillId="0" borderId="36" xfId="0" applyFont="1" applyBorder="1"/>
    <xf numFmtId="0" fontId="41" fillId="0" borderId="37" xfId="0" applyFont="1" applyBorder="1"/>
    <xf numFmtId="12" fontId="0" fillId="0" borderId="0" xfId="0" applyNumberFormat="1"/>
    <xf numFmtId="0" fontId="0" fillId="0" borderId="0" xfId="0" applyAlignment="1">
      <alignment wrapText="1"/>
    </xf>
    <xf numFmtId="165" fontId="0" fillId="0" borderId="0" xfId="0" applyNumberFormat="1"/>
    <xf numFmtId="203" fontId="0" fillId="0" borderId="0" xfId="0" applyNumberFormat="1"/>
    <xf numFmtId="171" fontId="0" fillId="0" borderId="0" xfId="0" applyNumberFormat="1"/>
    <xf numFmtId="204" fontId="0" fillId="0" borderId="0" xfId="0" applyNumberFormat="1"/>
    <xf numFmtId="205" fontId="0" fillId="0" borderId="0" xfId="0" applyNumberFormat="1"/>
    <xf numFmtId="175" fontId="29" fillId="2" borderId="0" xfId="0" applyNumberFormat="1" applyFont="1" applyFill="1" applyAlignment="1">
      <alignment horizontal="center" vertical="center"/>
    </xf>
    <xf numFmtId="175" fontId="36" fillId="2" borderId="0" xfId="0" applyNumberFormat="1" applyFont="1" applyFill="1" applyAlignment="1">
      <alignment horizontal="left" vertical="center"/>
    </xf>
    <xf numFmtId="0" fontId="40" fillId="15" borderId="37" xfId="0" applyFont="1" applyFill="1" applyBorder="1" applyAlignment="1">
      <alignment horizontal="center" vertical="center" wrapText="1"/>
    </xf>
    <xf numFmtId="0" fontId="41" fillId="4" borderId="37" xfId="0" applyFont="1" applyFill="1" applyBorder="1"/>
    <xf numFmtId="0" fontId="41" fillId="4" borderId="0" xfId="0" applyFont="1" applyFill="1"/>
    <xf numFmtId="0" fontId="0" fillId="4" borderId="0" xfId="0" applyFill="1"/>
    <xf numFmtId="0" fontId="28" fillId="6" borderId="0" xfId="0" applyFont="1" applyFill="1" applyAlignment="1">
      <alignment vertical="center" wrapText="1"/>
    </xf>
    <xf numFmtId="1" fontId="28" fillId="2" borderId="0" xfId="0" applyNumberFormat="1" applyFont="1" applyFill="1" applyAlignment="1" applyProtection="1">
      <alignment horizontal="right" vertical="center"/>
      <protection locked="0"/>
    </xf>
    <xf numFmtId="0" fontId="0" fillId="0" borderId="0" xfId="0" applyAlignment="1">
      <alignment vertical="center"/>
    </xf>
    <xf numFmtId="3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10" fontId="0" fillId="0" borderId="0" xfId="1" applyNumberFormat="1" applyFont="1"/>
    <xf numFmtId="0" fontId="30" fillId="2" borderId="0" xfId="0" applyFont="1" applyFill="1" applyAlignment="1">
      <alignment horizontal="right" vertical="center" wrapText="1"/>
    </xf>
    <xf numFmtId="0" fontId="29" fillId="6" borderId="0" xfId="0" applyFont="1" applyFill="1" applyAlignment="1">
      <alignment vertical="center"/>
    </xf>
    <xf numFmtId="0" fontId="0" fillId="6" borderId="0" xfId="0" applyFill="1"/>
    <xf numFmtId="169" fontId="29" fillId="2" borderId="0" xfId="0" applyNumberFormat="1" applyFont="1" applyFill="1" applyAlignment="1">
      <alignment horizontal="left"/>
    </xf>
    <xf numFmtId="0" fontId="28" fillId="2" borderId="0" xfId="0" applyFont="1" applyFill="1" applyAlignment="1">
      <alignment horizontal="center"/>
    </xf>
    <xf numFmtId="181" fontId="29" fillId="2" borderId="0" xfId="0" applyNumberFormat="1" applyFont="1" applyFill="1"/>
    <xf numFmtId="0" fontId="28" fillId="16" borderId="0" xfId="0" applyFont="1" applyFill="1" applyAlignment="1">
      <alignment horizontal="left"/>
    </xf>
    <xf numFmtId="0" fontId="27" fillId="16" borderId="0" xfId="0" applyFont="1" applyFill="1" applyAlignment="1">
      <alignment horizontal="left"/>
    </xf>
    <xf numFmtId="0" fontId="28" fillId="2" borderId="0" xfId="0" applyFont="1" applyFill="1" applyAlignment="1">
      <alignment horizontal="left"/>
    </xf>
    <xf numFmtId="0" fontId="28" fillId="2" borderId="23" xfId="0" applyFont="1" applyFill="1" applyBorder="1" applyAlignment="1">
      <alignment horizontal="center"/>
    </xf>
    <xf numFmtId="0" fontId="28" fillId="2" borderId="24" xfId="0" applyFont="1" applyFill="1" applyBorder="1" applyAlignment="1">
      <alignment horizontal="left"/>
    </xf>
    <xf numFmtId="2" fontId="26" fillId="10" borderId="0" xfId="0" applyNumberFormat="1" applyFont="1" applyFill="1"/>
    <xf numFmtId="206" fontId="0" fillId="0" borderId="0" xfId="0" applyNumberFormat="1"/>
    <xf numFmtId="0" fontId="44" fillId="0" borderId="0" xfId="0" applyFont="1"/>
    <xf numFmtId="207" fontId="0" fillId="0" borderId="0" xfId="0" applyNumberFormat="1"/>
    <xf numFmtId="208" fontId="0" fillId="0" borderId="0" xfId="0" applyNumberFormat="1"/>
    <xf numFmtId="0" fontId="45" fillId="0" borderId="0" xfId="0" applyFont="1"/>
    <xf numFmtId="0" fontId="44" fillId="0" borderId="0" xfId="0" applyFont="1" applyAlignment="1">
      <alignment wrapText="1"/>
    </xf>
    <xf numFmtId="0" fontId="0" fillId="10" borderId="0" xfId="0" applyFill="1"/>
    <xf numFmtId="0" fontId="0" fillId="19" borderId="0" xfId="0" applyFill="1"/>
    <xf numFmtId="0" fontId="0" fillId="9" borderId="0" xfId="0" applyFill="1"/>
    <xf numFmtId="0" fontId="48" fillId="2" borderId="0" xfId="0" applyFont="1" applyFill="1"/>
    <xf numFmtId="0" fontId="48" fillId="2" borderId="0" xfId="0" applyFont="1" applyFill="1" applyAlignment="1">
      <alignment horizontal="center"/>
    </xf>
    <xf numFmtId="0" fontId="46" fillId="10" borderId="0" xfId="0" applyFont="1" applyFill="1"/>
    <xf numFmtId="0" fontId="48" fillId="2" borderId="38" xfId="0" applyFont="1" applyFill="1" applyBorder="1"/>
    <xf numFmtId="0" fontId="48" fillId="2" borderId="0" xfId="0" applyFont="1" applyFill="1" applyAlignment="1">
      <alignment horizontal="right"/>
    </xf>
    <xf numFmtId="209" fontId="0" fillId="10" borderId="0" xfId="0" applyNumberFormat="1" applyFill="1" applyAlignment="1">
      <alignment horizontal="left" vertical="center"/>
    </xf>
    <xf numFmtId="49" fontId="0" fillId="10" borderId="0" xfId="0" applyNumberFormat="1" applyFill="1"/>
    <xf numFmtId="0" fontId="48" fillId="2" borderId="40" xfId="0" applyFont="1" applyFill="1" applyBorder="1"/>
    <xf numFmtId="0" fontId="48" fillId="2" borderId="41" xfId="0" applyFont="1" applyFill="1" applyBorder="1"/>
    <xf numFmtId="209" fontId="47" fillId="10" borderId="0" xfId="0" applyNumberFormat="1" applyFont="1" applyFill="1" applyAlignment="1">
      <alignment horizontal="left" vertical="center"/>
    </xf>
    <xf numFmtId="0" fontId="50" fillId="2" borderId="0" xfId="0" applyFont="1" applyFill="1"/>
    <xf numFmtId="0" fontId="50" fillId="2" borderId="0" xfId="0" applyFont="1" applyFill="1" applyAlignment="1">
      <alignment horizontal="right"/>
    </xf>
    <xf numFmtId="0" fontId="49" fillId="2" borderId="39" xfId="0" applyFont="1" applyFill="1" applyBorder="1"/>
    <xf numFmtId="0" fontId="51" fillId="2" borderId="39" xfId="0" applyFont="1" applyFill="1" applyBorder="1"/>
    <xf numFmtId="0" fontId="50" fillId="2" borderId="0" xfId="0" applyFont="1" applyFill="1" applyAlignment="1">
      <alignment horizontal="left"/>
    </xf>
    <xf numFmtId="0" fontId="48" fillId="2" borderId="39" xfId="0" applyFont="1" applyFill="1" applyBorder="1"/>
    <xf numFmtId="0" fontId="52" fillId="2" borderId="40" xfId="0" applyFont="1" applyFill="1" applyBorder="1"/>
    <xf numFmtId="0" fontId="52" fillId="2" borderId="41" xfId="0" applyFont="1" applyFill="1" applyBorder="1"/>
    <xf numFmtId="0" fontId="53" fillId="2" borderId="0" xfId="0" applyFont="1" applyFill="1"/>
    <xf numFmtId="0" fontId="48" fillId="2" borderId="0" xfId="0" applyFont="1" applyFill="1" applyAlignment="1">
      <alignment horizontal="left"/>
    </xf>
    <xf numFmtId="0" fontId="55" fillId="2" borderId="0" xfId="3" applyFont="1" applyFill="1" applyAlignment="1">
      <alignment horizontal="left"/>
    </xf>
    <xf numFmtId="0" fontId="56" fillId="10" borderId="0" xfId="0" applyFont="1" applyFill="1"/>
    <xf numFmtId="0" fontId="51" fillId="2" borderId="0" xfId="0" applyFont="1" applyFill="1"/>
    <xf numFmtId="0" fontId="54" fillId="2" borderId="0" xfId="3" applyFill="1"/>
    <xf numFmtId="0" fontId="51" fillId="10" borderId="0" xfId="0" applyFont="1" applyFill="1"/>
    <xf numFmtId="0" fontId="48" fillId="10" borderId="0" xfId="0" applyFont="1" applyFill="1"/>
    <xf numFmtId="0" fontId="54" fillId="10" borderId="0" xfId="3" applyFill="1"/>
    <xf numFmtId="209" fontId="0" fillId="0" borderId="0" xfId="0" applyNumberFormat="1"/>
    <xf numFmtId="188" fontId="0" fillId="0" borderId="0" xfId="0" applyNumberFormat="1"/>
    <xf numFmtId="18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203" fontId="0" fillId="0" borderId="0" xfId="0" applyNumberFormat="1" applyAlignment="1">
      <alignment horizontal="right"/>
    </xf>
    <xf numFmtId="183" fontId="0" fillId="0" borderId="0" xfId="0" applyNumberFormat="1" applyAlignment="1">
      <alignment horizontal="right"/>
    </xf>
    <xf numFmtId="0" fontId="57" fillId="0" borderId="0" xfId="0" applyFont="1" applyAlignment="1">
      <alignment vertical="center" wrapText="1"/>
    </xf>
    <xf numFmtId="0" fontId="0" fillId="20" borderId="0" xfId="0" applyFill="1"/>
    <xf numFmtId="0" fontId="44" fillId="0" borderId="42" xfId="0" applyFont="1" applyBorder="1"/>
    <xf numFmtId="0" fontId="0" fillId="0" borderId="0" xfId="0" applyProtection="1">
      <protection locked="0"/>
    </xf>
    <xf numFmtId="0" fontId="54" fillId="0" borderId="0" xfId="3"/>
    <xf numFmtId="0" fontId="58" fillId="0" borderId="43" xfId="0" applyFont="1" applyBorder="1" applyProtection="1">
      <protection locked="0"/>
    </xf>
    <xf numFmtId="0" fontId="58" fillId="0" borderId="44" xfId="0" applyFont="1" applyBorder="1" applyProtection="1">
      <protection locked="0"/>
    </xf>
    <xf numFmtId="0" fontId="58" fillId="20" borderId="43" xfId="0" applyFont="1" applyFill="1" applyBorder="1"/>
    <xf numFmtId="0" fontId="58" fillId="0" borderId="43" xfId="0" applyFont="1" applyBorder="1"/>
    <xf numFmtId="0" fontId="58" fillId="0" borderId="44" xfId="0" applyFont="1" applyBorder="1"/>
    <xf numFmtId="0" fontId="41" fillId="0" borderId="0" xfId="0" applyFont="1"/>
    <xf numFmtId="0" fontId="58" fillId="0" borderId="0" xfId="0" applyFont="1"/>
    <xf numFmtId="0" fontId="58" fillId="0" borderId="0" xfId="0" applyFont="1" applyProtection="1">
      <protection locked="0"/>
    </xf>
    <xf numFmtId="0" fontId="58" fillId="20" borderId="44" xfId="0" applyFont="1" applyFill="1" applyBorder="1"/>
    <xf numFmtId="0" fontId="0" fillId="0" borderId="0" xfId="0" applyAlignment="1">
      <alignment horizontal="center"/>
    </xf>
    <xf numFmtId="0" fontId="34" fillId="0" borderId="0" xfId="2" applyAlignment="1">
      <alignment horizontal="center"/>
    </xf>
    <xf numFmtId="0" fontId="34" fillId="0" borderId="0" xfId="2" applyBorder="1" applyAlignment="1">
      <alignment horizontal="center"/>
    </xf>
    <xf numFmtId="0" fontId="34" fillId="20" borderId="0" xfId="2" applyFill="1" applyBorder="1" applyAlignment="1">
      <alignment horizontal="center"/>
    </xf>
    <xf numFmtId="0" fontId="59" fillId="21" borderId="0" xfId="4" applyAlignment="1">
      <alignment horizontal="center"/>
    </xf>
    <xf numFmtId="0" fontId="0" fillId="8" borderId="0" xfId="0" applyFill="1"/>
    <xf numFmtId="0" fontId="1" fillId="0" borderId="0" xfId="0" applyFont="1" applyAlignment="1">
      <alignment vertical="center"/>
    </xf>
    <xf numFmtId="0" fontId="44" fillId="0" borderId="45" xfId="0" applyFont="1" applyBorder="1"/>
    <xf numFmtId="0" fontId="29" fillId="6" borderId="0" xfId="0" applyFont="1" applyFill="1" applyAlignment="1">
      <alignment horizontal="left"/>
    </xf>
    <xf numFmtId="0" fontId="29" fillId="6" borderId="0" xfId="0" applyFont="1" applyFill="1" applyAlignment="1">
      <alignment horizontal="left" vertical="center"/>
    </xf>
    <xf numFmtId="0" fontId="30" fillId="2" borderId="0" xfId="0" applyFont="1" applyFill="1" applyAlignment="1">
      <alignment horizontal="right" vertical="center"/>
    </xf>
    <xf numFmtId="175" fontId="36" fillId="6" borderId="0" xfId="0" applyNumberFormat="1" applyFont="1" applyFill="1" applyAlignment="1">
      <alignment horizontal="left" vertical="center"/>
    </xf>
    <xf numFmtId="0" fontId="43" fillId="2" borderId="0" xfId="0" applyFont="1" applyFill="1" applyAlignment="1">
      <alignment horizontal="left"/>
    </xf>
    <xf numFmtId="0" fontId="28" fillId="12" borderId="0" xfId="0" applyFont="1" applyFill="1" applyAlignment="1">
      <alignment horizontal="left"/>
    </xf>
    <xf numFmtId="175" fontId="29" fillId="6" borderId="0" xfId="0" applyNumberFormat="1" applyFont="1" applyFill="1" applyAlignment="1">
      <alignment horizontal="center" vertical="center"/>
    </xf>
    <xf numFmtId="189" fontId="27" fillId="2" borderId="0" xfId="0" applyNumberFormat="1" applyFont="1" applyFill="1" applyAlignment="1" applyProtection="1">
      <alignment horizontal="center" vertical="center"/>
      <protection locked="0"/>
    </xf>
    <xf numFmtId="189" fontId="27" fillId="2" borderId="23" xfId="0" applyNumberFormat="1" applyFont="1" applyFill="1" applyBorder="1" applyAlignment="1" applyProtection="1">
      <alignment horizontal="center" vertical="center"/>
      <protection locked="0"/>
    </xf>
    <xf numFmtId="0" fontId="28" fillId="2" borderId="0" xfId="0" applyFont="1" applyFill="1" applyAlignment="1">
      <alignment horizontal="right" vertical="center" wrapText="1"/>
    </xf>
    <xf numFmtId="2" fontId="27" fillId="2" borderId="0" xfId="0" applyNumberFormat="1" applyFont="1" applyFill="1" applyAlignment="1">
      <alignment horizontal="center" vertical="center"/>
    </xf>
    <xf numFmtId="2" fontId="27" fillId="2" borderId="23" xfId="0" applyNumberFormat="1" applyFont="1" applyFill="1" applyBorder="1" applyAlignment="1">
      <alignment horizontal="center" vertical="center"/>
    </xf>
    <xf numFmtId="2" fontId="27" fillId="2" borderId="25" xfId="0" applyNumberFormat="1" applyFont="1" applyFill="1" applyBorder="1" applyAlignment="1">
      <alignment horizontal="center" vertical="center"/>
    </xf>
    <xf numFmtId="0" fontId="27" fillId="2" borderId="0" xfId="0" applyFont="1" applyFill="1" applyAlignment="1" applyProtection="1">
      <alignment horizontal="center" vertical="center" wrapText="1"/>
      <protection locked="0"/>
    </xf>
    <xf numFmtId="0" fontId="28" fillId="2" borderId="0" xfId="0" applyFont="1" applyFill="1" applyAlignment="1">
      <alignment horizontal="right"/>
    </xf>
    <xf numFmtId="0" fontId="27" fillId="6" borderId="0" xfId="0" applyFont="1" applyFill="1" applyAlignment="1">
      <alignment horizontal="center"/>
    </xf>
    <xf numFmtId="0" fontId="28" fillId="4" borderId="0" xfId="0" applyFont="1" applyFill="1" applyAlignment="1">
      <alignment horizontal="center"/>
    </xf>
    <xf numFmtId="0" fontId="28" fillId="4" borderId="23" xfId="0" applyFont="1" applyFill="1" applyBorder="1" applyAlignment="1">
      <alignment horizontal="center"/>
    </xf>
    <xf numFmtId="0" fontId="28" fillId="4" borderId="25" xfId="0" applyFont="1" applyFill="1" applyBorder="1" applyAlignment="1">
      <alignment horizontal="center"/>
    </xf>
    <xf numFmtId="0" fontId="33" fillId="2" borderId="0" xfId="0" applyFont="1" applyFill="1" applyAlignment="1">
      <alignment horizontal="center" vertical="center" textRotation="90"/>
    </xf>
    <xf numFmtId="189" fontId="27" fillId="2" borderId="25" xfId="0" applyNumberFormat="1" applyFont="1" applyFill="1" applyBorder="1" applyAlignment="1" applyProtection="1">
      <alignment horizontal="center" vertical="center"/>
      <protection locked="0"/>
    </xf>
    <xf numFmtId="192" fontId="27" fillId="2" borderId="0" xfId="0" applyNumberFormat="1" applyFont="1" applyFill="1" applyAlignment="1">
      <alignment horizontal="center" vertical="center"/>
    </xf>
    <xf numFmtId="192" fontId="27" fillId="2" borderId="23" xfId="0" applyNumberFormat="1" applyFont="1" applyFill="1" applyBorder="1" applyAlignment="1">
      <alignment horizontal="center" vertical="center"/>
    </xf>
    <xf numFmtId="192" fontId="27" fillId="2" borderId="25" xfId="0" applyNumberFormat="1" applyFont="1" applyFill="1" applyBorder="1" applyAlignment="1">
      <alignment horizontal="center" vertical="center"/>
    </xf>
    <xf numFmtId="199" fontId="27" fillId="2" borderId="0" xfId="0" applyNumberFormat="1" applyFont="1" applyFill="1" applyAlignment="1">
      <alignment horizontal="center" vertical="center"/>
    </xf>
    <xf numFmtId="199" fontId="27" fillId="2" borderId="23" xfId="0" applyNumberFormat="1" applyFont="1" applyFill="1" applyBorder="1" applyAlignment="1">
      <alignment horizontal="center" vertical="center"/>
    </xf>
    <xf numFmtId="199" fontId="27" fillId="2" borderId="25" xfId="0" applyNumberFormat="1" applyFont="1" applyFill="1" applyBorder="1" applyAlignment="1">
      <alignment horizontal="center" vertical="center"/>
    </xf>
    <xf numFmtId="0" fontId="34" fillId="2" borderId="0" xfId="2" applyFill="1" applyAlignment="1">
      <alignment horizontal="center"/>
    </xf>
    <xf numFmtId="202" fontId="28" fillId="4" borderId="0" xfId="0" applyNumberFormat="1" applyFont="1" applyFill="1" applyAlignment="1">
      <alignment horizontal="center"/>
    </xf>
    <xf numFmtId="202" fontId="28" fillId="4" borderId="26" xfId="0" applyNumberFormat="1" applyFont="1" applyFill="1" applyBorder="1" applyAlignment="1">
      <alignment horizontal="center"/>
    </xf>
    <xf numFmtId="202" fontId="28" fillId="4" borderId="25" xfId="0" applyNumberFormat="1" applyFont="1" applyFill="1" applyBorder="1" applyAlignment="1">
      <alignment horizontal="center"/>
    </xf>
    <xf numFmtId="202" fontId="28" fillId="4" borderId="23" xfId="0" applyNumberFormat="1" applyFont="1" applyFill="1" applyBorder="1" applyAlignment="1">
      <alignment horizontal="center"/>
    </xf>
    <xf numFmtId="2" fontId="27" fillId="2" borderId="26" xfId="0" applyNumberFormat="1" applyFont="1" applyFill="1" applyBorder="1" applyAlignment="1">
      <alignment horizontal="center" vertical="center"/>
    </xf>
    <xf numFmtId="189" fontId="27" fillId="2" borderId="26" xfId="0" applyNumberFormat="1" applyFont="1" applyFill="1" applyBorder="1" applyAlignment="1" applyProtection="1">
      <alignment horizontal="center" vertical="center"/>
      <protection locked="0"/>
    </xf>
    <xf numFmtId="199" fontId="27" fillId="2" borderId="26" xfId="0" applyNumberFormat="1" applyFont="1" applyFill="1" applyBorder="1" applyAlignment="1">
      <alignment horizontal="center" vertical="center"/>
    </xf>
    <xf numFmtId="192" fontId="27" fillId="2" borderId="26" xfId="0" applyNumberFormat="1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 textRotation="90"/>
    </xf>
    <xf numFmtId="190" fontId="27" fillId="2" borderId="0" xfId="0" applyNumberFormat="1" applyFont="1" applyFill="1" applyAlignment="1" applyProtection="1">
      <alignment horizontal="center" vertical="center"/>
      <protection locked="0"/>
    </xf>
    <xf numFmtId="190" fontId="27" fillId="2" borderId="26" xfId="0" applyNumberFormat="1" applyFont="1" applyFill="1" applyBorder="1" applyAlignment="1" applyProtection="1">
      <alignment horizontal="center" vertical="center"/>
      <protection locked="0"/>
    </xf>
    <xf numFmtId="190" fontId="27" fillId="2" borderId="25" xfId="0" applyNumberFormat="1" applyFont="1" applyFill="1" applyBorder="1" applyAlignment="1" applyProtection="1">
      <alignment horizontal="center" vertical="center"/>
      <protection locked="0"/>
    </xf>
    <xf numFmtId="190" fontId="27" fillId="2" borderId="23" xfId="0" applyNumberFormat="1" applyFont="1" applyFill="1" applyBorder="1" applyAlignment="1" applyProtection="1">
      <alignment horizontal="center" vertical="center"/>
      <protection locked="0"/>
    </xf>
    <xf numFmtId="164" fontId="27" fillId="2" borderId="0" xfId="0" applyNumberFormat="1" applyFont="1" applyFill="1" applyAlignment="1">
      <alignment horizontal="center" vertical="center"/>
    </xf>
    <xf numFmtId="0" fontId="32" fillId="2" borderId="21" xfId="0" applyFont="1" applyFill="1" applyBorder="1" applyAlignment="1">
      <alignment horizontal="center" vertical="center" textRotation="90"/>
    </xf>
    <xf numFmtId="200" fontId="27" fillId="2" borderId="0" xfId="0" applyNumberFormat="1" applyFont="1" applyFill="1" applyAlignment="1">
      <alignment horizontal="center" vertical="center"/>
    </xf>
    <xf numFmtId="0" fontId="28" fillId="4" borderId="0" xfId="0" applyFont="1" applyFill="1" applyAlignment="1">
      <alignment horizontal="right" vertical="center" wrapText="1"/>
    </xf>
    <xf numFmtId="164" fontId="27" fillId="4" borderId="0" xfId="0" applyNumberFormat="1" applyFont="1" applyFill="1" applyAlignment="1">
      <alignment horizontal="center" vertical="center"/>
    </xf>
    <xf numFmtId="190" fontId="27" fillId="4" borderId="0" xfId="0" applyNumberFormat="1" applyFont="1" applyFill="1" applyAlignment="1" applyProtection="1">
      <alignment horizontal="center" vertical="center"/>
      <protection locked="0"/>
    </xf>
    <xf numFmtId="192" fontId="27" fillId="4" borderId="0" xfId="0" applyNumberFormat="1" applyFont="1" applyFill="1" applyAlignment="1">
      <alignment horizontal="center" vertical="center"/>
    </xf>
    <xf numFmtId="200" fontId="27" fillId="4" borderId="0" xfId="0" applyNumberFormat="1" applyFont="1" applyFill="1" applyAlignment="1">
      <alignment horizontal="center" vertical="center"/>
    </xf>
    <xf numFmtId="0" fontId="32" fillId="4" borderId="21" xfId="0" applyFont="1" applyFill="1" applyBorder="1" applyAlignment="1">
      <alignment horizontal="center" vertical="center" textRotation="90"/>
    </xf>
    <xf numFmtId="189" fontId="27" fillId="4" borderId="0" xfId="0" applyNumberFormat="1" applyFont="1" applyFill="1" applyAlignment="1" applyProtection="1">
      <alignment horizontal="center" vertical="center"/>
      <protection locked="0"/>
    </xf>
    <xf numFmtId="2" fontId="27" fillId="4" borderId="0" xfId="0" applyNumberFormat="1" applyFont="1" applyFill="1" applyAlignment="1">
      <alignment horizontal="center" vertical="center"/>
    </xf>
    <xf numFmtId="199" fontId="27" fillId="4" borderId="0" xfId="0" applyNumberFormat="1" applyFont="1" applyFill="1" applyAlignment="1">
      <alignment horizontal="center" vertical="center"/>
    </xf>
    <xf numFmtId="0" fontId="28" fillId="2" borderId="22" xfId="0" applyFont="1" applyFill="1" applyBorder="1" applyAlignment="1">
      <alignment horizontal="right" vertical="center" wrapText="1"/>
    </xf>
    <xf numFmtId="0" fontId="15" fillId="2" borderId="0" xfId="0" applyFont="1" applyFill="1" applyAlignment="1">
      <alignment horizontal="center"/>
    </xf>
    <xf numFmtId="0" fontId="28" fillId="4" borderId="22" xfId="0" applyFont="1" applyFill="1" applyBorder="1" applyAlignment="1">
      <alignment horizontal="right" vertical="center" wrapText="1"/>
    </xf>
    <xf numFmtId="1" fontId="27" fillId="2" borderId="0" xfId="0" applyNumberFormat="1" applyFont="1" applyFill="1" applyAlignment="1" applyProtection="1">
      <alignment horizontal="left" vertical="center"/>
      <protection locked="0"/>
    </xf>
    <xf numFmtId="0" fontId="30" fillId="2" borderId="0" xfId="0" applyFont="1" applyFill="1" applyAlignment="1">
      <alignment horizontal="right" vertical="center" wrapText="1"/>
    </xf>
    <xf numFmtId="0" fontId="28" fillId="2" borderId="0" xfId="0" applyFont="1" applyFill="1" applyAlignment="1">
      <alignment horizontal="center" vertical="center" wrapText="1"/>
    </xf>
    <xf numFmtId="9" fontId="27" fillId="6" borderId="0" xfId="1" applyFont="1" applyFill="1" applyAlignment="1" applyProtection="1">
      <alignment horizontal="left" vertical="center"/>
      <protection locked="0"/>
    </xf>
    <xf numFmtId="203" fontId="27" fillId="6" borderId="0" xfId="0" applyNumberFormat="1" applyFont="1" applyFill="1" applyAlignment="1" applyProtection="1">
      <alignment horizontal="left" vertical="center"/>
      <protection locked="0"/>
    </xf>
    <xf numFmtId="1" fontId="28" fillId="2" borderId="0" xfId="0" applyNumberFormat="1" applyFont="1" applyFill="1" applyAlignment="1" applyProtection="1">
      <alignment horizontal="right" vertical="center"/>
      <protection locked="0"/>
    </xf>
    <xf numFmtId="14" fontId="29" fillId="6" borderId="0" xfId="0" applyNumberFormat="1" applyFont="1" applyFill="1" applyAlignment="1">
      <alignment horizontal="left" vertical="center"/>
    </xf>
    <xf numFmtId="0" fontId="29" fillId="6" borderId="0" xfId="0" applyFont="1" applyFill="1" applyAlignment="1">
      <alignment horizontal="center" vertical="center"/>
    </xf>
    <xf numFmtId="0" fontId="26" fillId="6" borderId="0" xfId="0" applyFont="1" applyFill="1" applyAlignment="1">
      <alignment horizontal="left"/>
    </xf>
    <xf numFmtId="203" fontId="27" fillId="6" borderId="0" xfId="1" applyNumberFormat="1" applyFont="1" applyFill="1" applyAlignment="1" applyProtection="1">
      <alignment horizontal="left" vertical="center"/>
      <protection locked="0"/>
    </xf>
    <xf numFmtId="0" fontId="28" fillId="16" borderId="0" xfId="0" applyFont="1" applyFill="1" applyAlignment="1">
      <alignment horizontal="right"/>
    </xf>
    <xf numFmtId="0" fontId="27" fillId="2" borderId="0" xfId="0" applyFont="1" applyFill="1" applyAlignment="1">
      <alignment horizontal="center"/>
    </xf>
    <xf numFmtId="0" fontId="27" fillId="2" borderId="23" xfId="0" applyFont="1" applyFill="1" applyBorder="1" applyAlignment="1">
      <alignment horizontal="center"/>
    </xf>
    <xf numFmtId="1" fontId="27" fillId="6" borderId="0" xfId="0" applyNumberFormat="1" applyFont="1" applyFill="1" applyAlignment="1" applyProtection="1">
      <alignment horizontal="left" vertical="center"/>
      <protection locked="0"/>
    </xf>
    <xf numFmtId="201" fontId="29" fillId="6" borderId="0" xfId="0" applyNumberFormat="1" applyFont="1" applyFill="1" applyAlignment="1">
      <alignment horizontal="center" vertical="center"/>
    </xf>
    <xf numFmtId="202" fontId="28" fillId="4" borderId="27" xfId="0" applyNumberFormat="1" applyFont="1" applyFill="1" applyBorder="1" applyAlignment="1">
      <alignment horizontal="center"/>
    </xf>
    <xf numFmtId="189" fontId="27" fillId="2" borderId="27" xfId="0" applyNumberFormat="1" applyFont="1" applyFill="1" applyBorder="1" applyAlignment="1" applyProtection="1">
      <alignment horizontal="center" vertical="center"/>
      <protection locked="0"/>
    </xf>
    <xf numFmtId="2" fontId="27" fillId="2" borderId="27" xfId="0" applyNumberFormat="1" applyFont="1" applyFill="1" applyBorder="1" applyAlignment="1">
      <alignment horizontal="center" vertical="center"/>
    </xf>
    <xf numFmtId="190" fontId="27" fillId="2" borderId="27" xfId="0" applyNumberFormat="1" applyFont="1" applyFill="1" applyBorder="1" applyAlignment="1" applyProtection="1">
      <alignment horizontal="center" vertical="center"/>
      <protection locked="0"/>
    </xf>
    <xf numFmtId="192" fontId="27" fillId="2" borderId="27" xfId="0" applyNumberFormat="1" applyFont="1" applyFill="1" applyBorder="1" applyAlignment="1">
      <alignment horizontal="center" vertical="center"/>
    </xf>
    <xf numFmtId="199" fontId="27" fillId="2" borderId="27" xfId="0" applyNumberFormat="1" applyFont="1" applyFill="1" applyBorder="1" applyAlignment="1">
      <alignment horizontal="center" vertical="center"/>
    </xf>
    <xf numFmtId="0" fontId="35" fillId="2" borderId="0" xfId="0" applyFont="1" applyFill="1" applyAlignment="1">
      <alignment horizontal="left"/>
    </xf>
    <xf numFmtId="0" fontId="37" fillId="0" borderId="28" xfId="0" applyFont="1" applyBorder="1" applyAlignment="1">
      <alignment horizontal="center" vertical="center"/>
    </xf>
    <xf numFmtId="0" fontId="37" fillId="0" borderId="2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8" fillId="13" borderId="35" xfId="0" applyFont="1" applyFill="1" applyBorder="1" applyAlignment="1">
      <alignment vertical="center" wrapText="1"/>
    </xf>
    <xf numFmtId="0" fontId="38" fillId="13" borderId="32" xfId="0" applyFont="1" applyFill="1" applyBorder="1" applyAlignment="1">
      <alignment vertical="center" wrapText="1"/>
    </xf>
    <xf numFmtId="0" fontId="38" fillId="13" borderId="31" xfId="0" applyFont="1" applyFill="1" applyBorder="1" applyAlignment="1">
      <alignment vertical="center" wrapText="1"/>
    </xf>
    <xf numFmtId="0" fontId="38" fillId="13" borderId="35" xfId="0" applyFont="1" applyFill="1" applyBorder="1" applyAlignment="1">
      <alignment horizontal="center" vertical="center" wrapText="1"/>
    </xf>
    <xf numFmtId="0" fontId="38" fillId="13" borderId="32" xfId="0" applyFont="1" applyFill="1" applyBorder="1" applyAlignment="1">
      <alignment horizontal="center" vertical="center" wrapText="1"/>
    </xf>
    <xf numFmtId="0" fontId="38" fillId="13" borderId="31" xfId="0" applyFont="1" applyFill="1" applyBorder="1" applyAlignment="1">
      <alignment horizontal="center" vertical="center" wrapText="1"/>
    </xf>
    <xf numFmtId="0" fontId="49" fillId="2" borderId="39" xfId="0" applyFont="1" applyFill="1" applyBorder="1" applyAlignment="1">
      <alignment horizontal="right"/>
    </xf>
    <xf numFmtId="0" fontId="48" fillId="2" borderId="0" xfId="0" applyFont="1" applyFill="1" applyAlignment="1">
      <alignment horizontal="center"/>
    </xf>
    <xf numFmtId="0" fontId="49" fillId="2" borderId="39" xfId="0" applyFont="1" applyFill="1" applyBorder="1" applyAlignment="1">
      <alignment horizontal="left"/>
    </xf>
    <xf numFmtId="0" fontId="0" fillId="8" borderId="0" xfId="0" applyFill="1" applyAlignment="1">
      <alignment horizontal="center"/>
    </xf>
    <xf numFmtId="0" fontId="47" fillId="11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24" fillId="4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25" fillId="4" borderId="0" xfId="0" applyFont="1" applyFill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3" xfId="0" applyFont="1" applyFill="1" applyBorder="1" applyAlignment="1">
      <alignment horizontal="right" vertical="center"/>
    </xf>
    <xf numFmtId="0" fontId="4" fillId="6" borderId="1" xfId="0" applyFont="1" applyFill="1" applyBorder="1" applyAlignment="1">
      <alignment horizontal="left" vertical="center"/>
    </xf>
    <xf numFmtId="0" fontId="4" fillId="6" borderId="4" xfId="0" applyFont="1" applyFill="1" applyBorder="1" applyAlignment="1">
      <alignment horizontal="left" vertical="center"/>
    </xf>
    <xf numFmtId="0" fontId="4" fillId="6" borderId="5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right" vertical="center"/>
    </xf>
    <xf numFmtId="14" fontId="4" fillId="6" borderId="1" xfId="0" applyNumberFormat="1" applyFont="1" applyFill="1" applyBorder="1" applyAlignment="1">
      <alignment horizontal="center" vertical="center"/>
    </xf>
    <xf numFmtId="165" fontId="5" fillId="6" borderId="1" xfId="0" applyNumberFormat="1" applyFont="1" applyFill="1" applyBorder="1" applyAlignment="1">
      <alignment horizontal="center" vertical="center"/>
    </xf>
    <xf numFmtId="165" fontId="5" fillId="6" borderId="5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68" fontId="5" fillId="2" borderId="0" xfId="0" applyNumberFormat="1" applyFont="1" applyFill="1" applyAlignment="1">
      <alignment horizontal="left" vertical="center"/>
    </xf>
    <xf numFmtId="169" fontId="5" fillId="2" borderId="0" xfId="0" applyNumberFormat="1" applyFont="1" applyFill="1" applyAlignment="1">
      <alignment horizontal="left" vertical="center"/>
    </xf>
    <xf numFmtId="1" fontId="5" fillId="6" borderId="1" xfId="0" applyNumberFormat="1" applyFont="1" applyFill="1" applyBorder="1" applyAlignment="1">
      <alignment horizontal="center" vertical="center"/>
    </xf>
    <xf numFmtId="1" fontId="5" fillId="6" borderId="4" xfId="0" applyNumberFormat="1" applyFont="1" applyFill="1" applyBorder="1" applyAlignment="1">
      <alignment horizontal="center" vertical="center"/>
    </xf>
    <xf numFmtId="1" fontId="5" fillId="6" borderId="5" xfId="0" applyNumberFormat="1" applyFont="1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5" fillId="6" borderId="4" xfId="0" applyFon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left" vertical="center"/>
    </xf>
    <xf numFmtId="166" fontId="5" fillId="6" borderId="4" xfId="0" applyNumberFormat="1" applyFont="1" applyFill="1" applyBorder="1" applyAlignment="1">
      <alignment horizontal="left" vertical="center"/>
    </xf>
    <xf numFmtId="166" fontId="5" fillId="6" borderId="5" xfId="0" applyNumberFormat="1" applyFont="1" applyFill="1" applyBorder="1" applyAlignment="1">
      <alignment horizontal="left" vertical="center"/>
    </xf>
    <xf numFmtId="166" fontId="5" fillId="6" borderId="1" xfId="0" applyNumberFormat="1" applyFont="1" applyFill="1" applyBorder="1" applyAlignment="1">
      <alignment horizontal="center" vertical="center"/>
    </xf>
    <xf numFmtId="166" fontId="5" fillId="6" borderId="4" xfId="0" applyNumberFormat="1" applyFont="1" applyFill="1" applyBorder="1" applyAlignment="1">
      <alignment horizontal="center" vertical="center"/>
    </xf>
    <xf numFmtId="166" fontId="5" fillId="6" borderId="5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right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right" vertical="center"/>
    </xf>
    <xf numFmtId="0" fontId="0" fillId="3" borderId="12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17" xfId="0" applyFill="1" applyBorder="1" applyAlignment="1">
      <alignment horizontal="center"/>
    </xf>
    <xf numFmtId="49" fontId="10" fillId="2" borderId="0" xfId="0" applyNumberFormat="1" applyFont="1" applyFill="1" applyAlignment="1">
      <alignment horizontal="center"/>
    </xf>
    <xf numFmtId="172" fontId="10" fillId="2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71" fontId="5" fillId="6" borderId="1" xfId="0" applyNumberFormat="1" applyFont="1" applyFill="1" applyBorder="1" applyAlignment="1">
      <alignment horizontal="center" vertical="center"/>
    </xf>
    <xf numFmtId="171" fontId="5" fillId="6" borderId="5" xfId="0" applyNumberFormat="1" applyFont="1" applyFill="1" applyBorder="1" applyAlignment="1">
      <alignment horizontal="center" vertical="center"/>
    </xf>
    <xf numFmtId="171" fontId="5" fillId="6" borderId="4" xfId="0" applyNumberFormat="1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173" fontId="5" fillId="8" borderId="0" xfId="0" applyNumberFormat="1" applyFont="1" applyFill="1" applyAlignment="1">
      <alignment horizontal="center" vertical="center"/>
    </xf>
    <xf numFmtId="174" fontId="5" fillId="2" borderId="0" xfId="0" applyNumberFormat="1" applyFont="1" applyFill="1" applyAlignment="1">
      <alignment horizontal="center" vertical="center"/>
    </xf>
    <xf numFmtId="171" fontId="13" fillId="2" borderId="0" xfId="0" applyNumberFormat="1" applyFont="1" applyFill="1" applyAlignment="1">
      <alignment horizontal="center" vertical="center"/>
    </xf>
    <xf numFmtId="171" fontId="5" fillId="2" borderId="0" xfId="0" applyNumberFormat="1" applyFont="1" applyFill="1" applyAlignment="1">
      <alignment horizontal="center" vertical="center"/>
    </xf>
    <xf numFmtId="172" fontId="10" fillId="9" borderId="0" xfId="0" applyNumberFormat="1" applyFont="1" applyFill="1" applyAlignment="1">
      <alignment horizontal="right" vertical="center"/>
    </xf>
    <xf numFmtId="172" fontId="15" fillId="9" borderId="0" xfId="0" applyNumberFormat="1" applyFont="1" applyFill="1" applyAlignment="1">
      <alignment vertical="center"/>
    </xf>
    <xf numFmtId="176" fontId="10" fillId="9" borderId="0" xfId="0" applyNumberFormat="1" applyFont="1" applyFill="1" applyAlignment="1">
      <alignment horizontal="right" vertical="center"/>
    </xf>
    <xf numFmtId="176" fontId="10" fillId="9" borderId="0" xfId="0" applyNumberFormat="1" applyFont="1" applyFill="1" applyAlignment="1">
      <alignment vertical="center"/>
    </xf>
    <xf numFmtId="177" fontId="10" fillId="9" borderId="0" xfId="0" applyNumberFormat="1" applyFont="1" applyFill="1" applyAlignment="1">
      <alignment horizontal="right" vertical="center"/>
    </xf>
    <xf numFmtId="177" fontId="10" fillId="9" borderId="0" xfId="0" applyNumberFormat="1" applyFont="1" applyFill="1" applyAlignment="1">
      <alignment vertical="center"/>
    </xf>
    <xf numFmtId="178" fontId="10" fillId="9" borderId="0" xfId="0" applyNumberFormat="1" applyFont="1" applyFill="1" applyAlignment="1">
      <alignment horizontal="right" vertical="center"/>
    </xf>
    <xf numFmtId="178" fontId="10" fillId="9" borderId="0" xfId="0" applyNumberFormat="1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176" fontId="15" fillId="9" borderId="0" xfId="0" applyNumberFormat="1" applyFont="1" applyFill="1" applyAlignment="1">
      <alignment vertical="center"/>
    </xf>
    <xf numFmtId="179" fontId="10" fillId="9" borderId="0" xfId="0" applyNumberFormat="1" applyFont="1" applyFill="1" applyAlignment="1">
      <alignment horizontal="right" vertical="center"/>
    </xf>
    <xf numFmtId="179" fontId="15" fillId="9" borderId="0" xfId="0" applyNumberFormat="1" applyFont="1" applyFill="1" applyAlignment="1">
      <alignment horizontal="right" vertical="center"/>
    </xf>
    <xf numFmtId="0" fontId="10" fillId="9" borderId="0" xfId="0" applyFont="1" applyFill="1" applyAlignment="1">
      <alignment horizontal="right" vertical="center"/>
    </xf>
    <xf numFmtId="0" fontId="13" fillId="2" borderId="0" xfId="0" applyFont="1" applyFill="1" applyAlignment="1">
      <alignment horizontal="center" vertical="center"/>
    </xf>
    <xf numFmtId="180" fontId="5" fillId="2" borderId="0" xfId="0" applyNumberFormat="1" applyFont="1" applyFill="1" applyAlignment="1">
      <alignment horizontal="center" vertical="center"/>
    </xf>
    <xf numFmtId="175" fontId="4" fillId="2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173" fontId="5" fillId="2" borderId="0" xfId="0" applyNumberFormat="1" applyFont="1" applyFill="1" applyAlignment="1">
      <alignment horizontal="center" vertical="center"/>
    </xf>
    <xf numFmtId="175" fontId="5" fillId="2" borderId="0" xfId="0" applyNumberFormat="1" applyFont="1" applyFill="1" applyAlignment="1">
      <alignment horizontal="center" vertical="center"/>
    </xf>
    <xf numFmtId="175" fontId="10" fillId="2" borderId="0" xfId="0" applyNumberFormat="1" applyFont="1" applyFill="1" applyAlignment="1">
      <alignment horizontal="center"/>
    </xf>
    <xf numFmtId="181" fontId="5" fillId="6" borderId="1" xfId="0" applyNumberFormat="1" applyFont="1" applyFill="1" applyBorder="1" applyAlignment="1">
      <alignment horizontal="center" vertical="center"/>
    </xf>
    <xf numFmtId="181" fontId="5" fillId="6" borderId="4" xfId="0" applyNumberFormat="1" applyFont="1" applyFill="1" applyBorder="1" applyAlignment="1">
      <alignment horizontal="center" vertical="center"/>
    </xf>
    <xf numFmtId="181" fontId="5" fillId="6" borderId="5" xfId="0" applyNumberFormat="1" applyFont="1" applyFill="1" applyBorder="1" applyAlignment="1">
      <alignment horizontal="center" vertical="center"/>
    </xf>
    <xf numFmtId="181" fontId="10" fillId="2" borderId="0" xfId="0" applyNumberFormat="1" applyFont="1" applyFill="1" applyAlignment="1">
      <alignment horizontal="center" vertical="center"/>
    </xf>
    <xf numFmtId="181" fontId="5" fillId="2" borderId="0" xfId="0" applyNumberFormat="1" applyFont="1" applyFill="1" applyAlignment="1">
      <alignment horizontal="center" vertical="center"/>
    </xf>
    <xf numFmtId="173" fontId="15" fillId="2" borderId="0" xfId="0" applyNumberFormat="1" applyFont="1" applyFill="1" applyAlignment="1">
      <alignment horizontal="center" vertical="center"/>
    </xf>
    <xf numFmtId="182" fontId="5" fillId="2" borderId="0" xfId="0" applyNumberFormat="1" applyFont="1" applyFill="1" applyAlignment="1">
      <alignment horizontal="center" vertical="center"/>
    </xf>
    <xf numFmtId="183" fontId="4" fillId="2" borderId="0" xfId="0" applyNumberFormat="1" applyFont="1" applyFill="1" applyAlignment="1">
      <alignment horizontal="center" vertical="center"/>
    </xf>
    <xf numFmtId="167" fontId="5" fillId="2" borderId="0" xfId="1" applyNumberFormat="1" applyFont="1" applyFill="1" applyBorder="1" applyAlignment="1">
      <alignment horizontal="center" vertical="center"/>
    </xf>
    <xf numFmtId="9" fontId="4" fillId="2" borderId="0" xfId="1" applyFont="1" applyFill="1" applyBorder="1" applyAlignment="1">
      <alignment horizontal="center" vertical="center"/>
    </xf>
    <xf numFmtId="171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 applyAlignment="1">
      <alignment horizontal="center" vertical="center"/>
    </xf>
    <xf numFmtId="184" fontId="4" fillId="2" borderId="0" xfId="0" applyNumberFormat="1" applyFont="1" applyFill="1" applyAlignment="1">
      <alignment horizontal="center" vertical="center"/>
    </xf>
    <xf numFmtId="185" fontId="5" fillId="2" borderId="0" xfId="0" applyNumberFormat="1" applyFont="1" applyFill="1" applyAlignment="1">
      <alignment horizontal="center" vertical="center"/>
    </xf>
    <xf numFmtId="185" fontId="4" fillId="2" borderId="0" xfId="0" applyNumberFormat="1" applyFont="1" applyFill="1" applyAlignment="1">
      <alignment horizontal="right" vertical="center"/>
    </xf>
    <xf numFmtId="182" fontId="4" fillId="2" borderId="0" xfId="0" applyNumberFormat="1" applyFont="1" applyFill="1" applyAlignment="1">
      <alignment horizontal="center" vertical="center"/>
    </xf>
    <xf numFmtId="185" fontId="5" fillId="2" borderId="0" xfId="0" applyNumberFormat="1" applyFont="1" applyFill="1" applyAlignment="1">
      <alignment horizontal="right" vertical="center"/>
    </xf>
    <xf numFmtId="0" fontId="5" fillId="6" borderId="1" xfId="0" applyFont="1" applyFill="1" applyBorder="1" applyAlignment="1">
      <alignment horizontal="right" vertical="center"/>
    </xf>
    <xf numFmtId="0" fontId="5" fillId="6" borderId="4" xfId="0" applyFont="1" applyFill="1" applyBorder="1" applyAlignment="1">
      <alignment horizontal="right" vertical="center"/>
    </xf>
    <xf numFmtId="0" fontId="5" fillId="6" borderId="5" xfId="0" applyFont="1" applyFill="1" applyBorder="1" applyAlignment="1">
      <alignment horizontal="right" vertical="center"/>
    </xf>
    <xf numFmtId="172" fontId="5" fillId="2" borderId="0" xfId="0" applyNumberFormat="1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horizontal="center" vertical="center"/>
    </xf>
    <xf numFmtId="177" fontId="5" fillId="2" borderId="0" xfId="0" applyNumberFormat="1" applyFont="1" applyFill="1" applyAlignment="1">
      <alignment horizontal="right" vertical="center"/>
    </xf>
    <xf numFmtId="178" fontId="5" fillId="2" borderId="0" xfId="0" applyNumberFormat="1" applyFont="1" applyFill="1" applyAlignment="1">
      <alignment horizontal="right" vertical="center"/>
    </xf>
    <xf numFmtId="176" fontId="5" fillId="2" borderId="0" xfId="0" applyNumberFormat="1" applyFont="1" applyFill="1" applyAlignment="1">
      <alignment horizontal="right" vertical="center"/>
    </xf>
    <xf numFmtId="0" fontId="22" fillId="2" borderId="0" xfId="0" applyFont="1" applyFill="1" applyAlignment="1">
      <alignment horizontal="left" vertical="center" wrapText="1"/>
    </xf>
    <xf numFmtId="0" fontId="22" fillId="2" borderId="0" xfId="0" applyFont="1" applyFill="1" applyAlignment="1">
      <alignment horizontal="left" vertical="center"/>
    </xf>
  </cellXfs>
  <cellStyles count="5">
    <cellStyle name="Lien hypertexte" xfId="2" builtinId="8"/>
    <cellStyle name="Neutre" xfId="4" builtinId="28"/>
    <cellStyle name="Normal" xfId="0" builtinId="0"/>
    <cellStyle name="Normal 3" xfId="3" xr:uid="{3776D660-17EB-4EFD-B3E5-31553C536708}"/>
    <cellStyle name="Pourcentage" xfId="1" builtinId="5"/>
  </cellStyles>
  <dxfs count="314">
    <dxf>
      <font>
        <color theme="0"/>
      </font>
      <border>
        <top/>
        <bottom/>
      </border>
    </dxf>
    <dxf>
      <font>
        <color theme="0"/>
      </font>
      <border>
        <right/>
        <top/>
        <bottom/>
      </border>
    </dxf>
    <dxf>
      <font>
        <color theme="0"/>
      </font>
      <border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/>
        <top style="thin">
          <color rgb="FF8EA9DB"/>
        </top>
        <bottom/>
        <vertical/>
        <horizontal/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D9E1F2"/>
          <bgColor auto="1"/>
        </patternFill>
      </fill>
      <border diagonalUp="0" diagonalDown="0" outline="0">
        <left/>
        <right/>
        <top style="thin">
          <color rgb="FF8EA9DB"/>
        </top>
        <bottom style="thin">
          <color rgb="FF8EA9DB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8EA9DB"/>
        </top>
        <bottom style="thin">
          <color rgb="FF8EA9DB"/>
        </bottom>
      </border>
      <protection locked="0" hidden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rgb="FFD9E1F2"/>
          <bgColor auto="1"/>
        </patternFill>
      </fill>
      <border diagonalUp="0" diagonalDown="0" outline="0">
        <left/>
        <right/>
        <top style="thin">
          <color rgb="FF8EA9DB"/>
        </top>
        <bottom style="thin">
          <color rgb="FF8EA9DB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rgb="FF8EA9DB"/>
        </top>
        <bottom style="thin">
          <color rgb="FF8EA9DB"/>
        </bottom>
      </border>
      <protection locked="0" hidden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4" formatCode="0.0\ &quot;A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1" formatCode="0&quot; W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3" formatCode="0.0&quot; TR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9" formatCode="0&quot; TR&quot;"/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numFmt numFmtId="183" formatCode="0&quot; MBH&quot;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203" formatCode="0.0&quot; TR&quot;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188" formatCode="0.0&quot; MBH&quot;"/>
      <fill>
        <patternFill patternType="none">
          <fgColor indexed="64"/>
          <bgColor auto="1"/>
        </patternFill>
      </fill>
    </dxf>
    <dxf>
      <numFmt numFmtId="188" formatCode="0.0&quot; MBH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209" formatCode="0&quot; TR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</dxf>
    <dxf>
      <numFmt numFmtId="206" formatCode="#\ ?/8"/>
    </dxf>
    <dxf>
      <numFmt numFmtId="206" formatCode="#\ ?/8"/>
    </dxf>
    <dxf>
      <numFmt numFmtId="0" formatCode="General"/>
    </dxf>
    <dxf>
      <numFmt numFmtId="206" formatCode="#\ ?/8"/>
    </dxf>
    <dxf>
      <numFmt numFmtId="206" formatCode="#\ ?/8"/>
    </dxf>
    <dxf>
      <numFmt numFmtId="203" formatCode="0.0&quot; TR&quot;"/>
    </dxf>
    <dxf>
      <numFmt numFmtId="203" formatCode="0.0&quot; TR&quot;"/>
    </dxf>
    <dxf>
      <numFmt numFmtId="206" formatCode="#\ ?/8"/>
    </dxf>
    <dxf>
      <numFmt numFmtId="206" formatCode="#\ ?/8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vertical="center" textRotation="0" wrapText="1" indent="0" justifyLastLine="0" shrinkToFit="0" readingOrder="0"/>
    </dxf>
    <dxf>
      <numFmt numFmtId="0" formatCode="General"/>
    </dxf>
    <dxf>
      <numFmt numFmtId="205" formatCode="0.0&quot; T&quot;"/>
    </dxf>
    <dxf>
      <numFmt numFmtId="0" formatCode="General"/>
    </dxf>
    <dxf>
      <numFmt numFmtId="165" formatCode="0&quot; T&quot;"/>
    </dxf>
    <dxf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204" formatCode="0.0\ &quot;A&quot;"/>
      <fill>
        <patternFill patternType="none">
          <fgColor indexed="64"/>
          <bgColor auto="1"/>
        </patternFill>
      </fill>
    </dxf>
    <dxf>
      <numFmt numFmtId="171" formatCode="0&quot; W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203" formatCode="0.0&quot; TR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indexed="65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numFmt numFmtId="210" formatCode="#\ ?/?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5" formatCode="0&quot; T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D4FCFA"/>
      <color rgb="FF1AD2D6"/>
      <color rgb="FF1FD1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Sheet3!$J$7:$J$11</c:f>
              <c:numCache>
                <c:formatCode>General</c:formatCode>
                <c:ptCount val="5"/>
                <c:pt idx="0">
                  <c:v>-13</c:v>
                </c:pt>
                <c:pt idx="1">
                  <c:v>17</c:v>
                </c:pt>
                <c:pt idx="2">
                  <c:v>47</c:v>
                </c:pt>
                <c:pt idx="3">
                  <c:v>77</c:v>
                </c:pt>
              </c:numCache>
            </c:numRef>
          </c:xVal>
          <c:yVal>
            <c:numRef>
              <c:f>Sheet3!$K$7:$K$11</c:f>
              <c:numCache>
                <c:formatCode>General</c:formatCode>
                <c:ptCount val="5"/>
                <c:pt idx="0">
                  <c:v>686526</c:v>
                </c:pt>
                <c:pt idx="1">
                  <c:v>1133970</c:v>
                </c:pt>
                <c:pt idx="2">
                  <c:v>1517079</c:v>
                </c:pt>
                <c:pt idx="3">
                  <c:v>1992366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87-4666-BD15-4B372C336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614207"/>
        <c:axId val="1519611327"/>
      </c:scatterChart>
      <c:valAx>
        <c:axId val="151961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611327"/>
        <c:crosses val="autoZero"/>
        <c:crossBetween val="midCat"/>
      </c:valAx>
      <c:valAx>
        <c:axId val="151961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61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Sheet4!$A$14:$A$19</c:f>
              <c:numCache>
                <c:formatCode>General</c:formatCode>
                <c:ptCount val="6"/>
                <c:pt idx="0">
                  <c:v>32</c:v>
                </c:pt>
                <c:pt idx="1">
                  <c:v>49</c:v>
                </c:pt>
                <c:pt idx="2">
                  <c:v>100</c:v>
                </c:pt>
                <c:pt idx="3">
                  <c:v>100</c:v>
                </c:pt>
                <c:pt idx="4">
                  <c:v>32</c:v>
                </c:pt>
                <c:pt idx="5">
                  <c:v>32</c:v>
                </c:pt>
              </c:numCache>
            </c:numRef>
          </c:xVal>
          <c:yVal>
            <c:numRef>
              <c:f>Sheet4!$B$14:$B$19</c:f>
              <c:numCache>
                <c:formatCode>General</c:formatCode>
                <c:ptCount val="6"/>
                <c:pt idx="0">
                  <c:v>36</c:v>
                </c:pt>
                <c:pt idx="1">
                  <c:v>36</c:v>
                </c:pt>
                <c:pt idx="2">
                  <c:v>79</c:v>
                </c:pt>
                <c:pt idx="3">
                  <c:v>123</c:v>
                </c:pt>
                <c:pt idx="4">
                  <c:v>123</c:v>
                </c:pt>
                <c:pt idx="5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78-41C1-9FBE-2938F085A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82064"/>
        <c:axId val="1666271024"/>
      </c:scatterChart>
      <c:valAx>
        <c:axId val="166628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271024"/>
        <c:crosses val="autoZero"/>
        <c:crossBetween val="midCat"/>
      </c:valAx>
      <c:valAx>
        <c:axId val="166627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28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Sheet4!$E$13</c:f>
              <c:strCache>
                <c:ptCount val="1"/>
                <c:pt idx="0">
                  <c:v>SAT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Sheet4!$D$14:$D$20</c:f>
              <c:numCache>
                <c:formatCode>General</c:formatCode>
                <c:ptCount val="7"/>
                <c:pt idx="0">
                  <c:v>-15</c:v>
                </c:pt>
                <c:pt idx="1">
                  <c:v>49</c:v>
                </c:pt>
                <c:pt idx="2">
                  <c:v>100</c:v>
                </c:pt>
                <c:pt idx="3">
                  <c:v>100</c:v>
                </c:pt>
                <c:pt idx="4">
                  <c:v>7</c:v>
                </c:pt>
                <c:pt idx="5">
                  <c:v>-15</c:v>
                </c:pt>
                <c:pt idx="6">
                  <c:v>-15</c:v>
                </c:pt>
              </c:numCache>
            </c:numRef>
          </c:xVal>
          <c:yVal>
            <c:numRef>
              <c:f>Sheet4!$E$14:$E$20</c:f>
              <c:numCache>
                <c:formatCode>General</c:formatCode>
                <c:ptCount val="7"/>
                <c:pt idx="0">
                  <c:v>76</c:v>
                </c:pt>
                <c:pt idx="1">
                  <c:v>76</c:v>
                </c:pt>
                <c:pt idx="2">
                  <c:v>119</c:v>
                </c:pt>
                <c:pt idx="3">
                  <c:v>163</c:v>
                </c:pt>
                <c:pt idx="4">
                  <c:v>163</c:v>
                </c:pt>
                <c:pt idx="5">
                  <c:v>149</c:v>
                </c:pt>
                <c:pt idx="6">
                  <c:v>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3-4CAD-ADFD-01D7F52F1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71984"/>
        <c:axId val="1666274864"/>
      </c:scatterChart>
      <c:valAx>
        <c:axId val="166627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274864"/>
        <c:crosses val="autoZero"/>
        <c:crossBetween val="midCat"/>
      </c:valAx>
      <c:valAx>
        <c:axId val="166627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271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194312</xdr:colOff>
      <xdr:row>0</xdr:row>
      <xdr:rowOff>53340</xdr:rowOff>
    </xdr:from>
    <xdr:to>
      <xdr:col>3</xdr:col>
      <xdr:colOff>3175</xdr:colOff>
      <xdr:row>1</xdr:row>
      <xdr:rowOff>1031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928742-0452-42DC-B618-3519976034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5" b="29621"/>
        <a:stretch>
          <a:fillRect/>
        </a:stretch>
      </xdr:blipFill>
      <xdr:spPr>
        <a:xfrm>
          <a:off x="499112" y="53340"/>
          <a:ext cx="640078" cy="4190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209552</xdr:colOff>
      <xdr:row>0</xdr:row>
      <xdr:rowOff>0</xdr:rowOff>
    </xdr:from>
    <xdr:to>
      <xdr:col>3</xdr:col>
      <xdr:colOff>34290</xdr:colOff>
      <xdr:row>0</xdr:row>
      <xdr:rowOff>419042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D6101A8-8EEC-C058-B32D-4E4CA4632A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5" b="29621"/>
        <a:stretch>
          <a:fillRect/>
        </a:stretch>
      </xdr:blipFill>
      <xdr:spPr>
        <a:xfrm>
          <a:off x="506732" y="0"/>
          <a:ext cx="598168" cy="4190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457200</xdr:colOff>
      <xdr:row>2</xdr:row>
      <xdr:rowOff>366712</xdr:rowOff>
    </xdr:from>
    <xdr:to>
      <xdr:col>20</xdr:col>
      <xdr:colOff>152400</xdr:colOff>
      <xdr:row>14</xdr:row>
      <xdr:rowOff>204787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BF7F64-AF3F-33E9-A095-E41370F1D6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133349</xdr:colOff>
      <xdr:row>0</xdr:row>
      <xdr:rowOff>28575</xdr:rowOff>
    </xdr:from>
    <xdr:to>
      <xdr:col>2</xdr:col>
      <xdr:colOff>407914</xdr:colOff>
      <xdr:row>4</xdr:row>
      <xdr:rowOff>387350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F52AFA-027F-4EF9-8340-BE0FD7BF04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68" t="20352" r="33824" b="37873"/>
        <a:stretch/>
      </xdr:blipFill>
      <xdr:spPr>
        <a:xfrm>
          <a:off x="133349" y="28575"/>
          <a:ext cx="1295645" cy="1006475"/>
        </a:xfrm>
        <a:prstGeom prst="rect">
          <a:avLst/>
        </a:prstGeom>
      </xdr:spPr>
    </xdr:pic>
    <xdr:clientData/>
  </xdr:twoCellAnchor>
  <xdr:twoCellAnchor editAs="oneCell">
    <xdr:from>
      <xdr:col>45</xdr:col>
      <xdr:colOff>306917</xdr:colOff>
      <xdr:row>8</xdr:row>
      <xdr:rowOff>31749</xdr:rowOff>
    </xdr:from>
    <xdr:to>
      <xdr:col>50</xdr:col>
      <xdr:colOff>4022</xdr:colOff>
      <xdr:row>9</xdr:row>
      <xdr:rowOff>41274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499669-969F-4476-BED6-B6D94E2D4D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4997" y="1746249"/>
          <a:ext cx="2815590" cy="2305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597693</xdr:colOff>
      <xdr:row>7</xdr:row>
      <xdr:rowOff>119062</xdr:rowOff>
    </xdr:from>
    <xdr:to>
      <xdr:col>13</xdr:col>
      <xdr:colOff>635793</xdr:colOff>
      <xdr:row>22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4DBD33-4652-0563-6CD1-C84B44911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233838</xdr:colOff>
      <xdr:row>8</xdr:row>
      <xdr:rowOff>8571</xdr:rowOff>
    </xdr:from>
    <xdr:to>
      <xdr:col>21</xdr:col>
      <xdr:colOff>271938</xdr:colOff>
      <xdr:row>23</xdr:row>
      <xdr:rowOff>37146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D8C1E8-1CA5-282F-7FD5-1643AD4BB6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843146</xdr:colOff>
      <xdr:row>0</xdr:row>
      <xdr:rowOff>619125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0D3CE3-8A7F-61A0-0089-7FFB5A12B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43146" cy="6191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../../teams/XNNOV/Documents%20partages/1-%20AI-RS/2%20-%20Engineering/3%20-%20Controls/CU_IO-master.xlsm" TargetMode="External"/><Relationship Id="rId2" Type="http://schemas.openxmlformats.org/officeDocument/2006/relationships/externalLinkPath" Target="https://netorgft12474759.sharepoint.com/teams/XNNOV/Documents%20partages/1-%20AI-RS/2%20-%20Engineering/3%20-%20Controls/CU_IO-master.xlsm" TargetMode="External"/><Relationship Id="rId1" Type="http://schemas.openxmlformats.org/officeDocument/2006/relationships/externalLinkPath" Target="/teams/XNNOV/Documents%20partages/1-%20AI-RS/2%20-%20Engineering/3%20-%20Controls/CU_IO-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nfiguration"/>
      <sheetName val="Input ACCU"/>
      <sheetName val="Output ACCU"/>
      <sheetName val="Input WSHP"/>
      <sheetName val="Variable"/>
      <sheetName val="Alarm"/>
      <sheetName val="Tables"/>
      <sheetName val="CU_IO-mast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F62B16-2398-44D3-8937-6D1C09428074}" name="SkidDB" displayName="SkidDB" ref="A2:V17" totalsRowShown="0" headerRowDxfId="313" dataDxfId="312">
  <tableColumns count="22">
    <tableColumn id="1" xr3:uid="{DD52BEC6-7225-4B5F-8FD0-2978F3424AF6}" name="Nominal Capacity" dataDxfId="311"/>
    <tableColumn id="2" xr3:uid="{5E2C7946-0A9B-4970-9FD8-D0DC15F0CD8A}" name="Compressor Manufacturer" dataDxfId="310"/>
    <tableColumn id="3" xr3:uid="{CF2B9B3C-5EA8-4DC3-A642-2DCF9DA3C24D}" name="Control" dataDxfId="309"/>
    <tableColumn id="4" xr3:uid="{9C56CF58-62F1-4878-AC31-17C3C10B6939}" name="Refrigerant" dataDxfId="308"/>
    <tableColumn id="5" xr3:uid="{12D73E15-8E10-4234-A2E3-52E19AD18323}" name="Compressor Skid Model Number" dataDxfId="307">
      <calculatedColumnFormula>"CS"&amp;LEFT(C3,1)&amp;IF(D3="R454B",4,IF(D3="R515b",5,"ERRRR"))&amp;LEFT(B3,1)&amp;A3</calculatedColumnFormula>
    </tableColumn>
    <tableColumn id="6" xr3:uid="{C023A7F7-DAD4-41F7-B026-B744740A3A12}" name="Compressor 1 Qty" dataDxfId="306"/>
    <tableColumn id="7" xr3:uid="{89A94427-7ACD-4EC5-9612-653E3B8D1D63}" name="Compressor 2 Qty" dataDxfId="305"/>
    <tableColumn id="20" xr3:uid="{83A60E93-7DBE-477C-A7C3-9FE563D610E0}" name="Minimum Capacity" dataDxfId="304">
      <calculatedColumnFormula>SkidDB[[#This Row],[Nominal Capacity]]/4</calculatedColumnFormula>
    </tableColumn>
    <tableColumn id="8" xr3:uid="{17ACC515-B106-46FB-A56C-3F644647B2C8}" name="Compressor Model 200V" dataDxfId="303"/>
    <tableColumn id="9" xr3:uid="{35767DB9-BB24-40D3-BF72-400E491EED48}" name="Compressor Model 400V" dataDxfId="302"/>
    <tableColumn id="10" xr3:uid="{73F3ED84-F8BB-4C86-B076-C291DA8B0DF0}" name="Compressor Model 600V" dataDxfId="301"/>
    <tableColumn id="11" xr3:uid="{0A7B54F0-A7CE-4647-8A34-346CA1051AAB}" name="Compressor Qty" dataDxfId="300"/>
    <tableColumn id="25" xr3:uid="{A1BC8795-5E13-479A-892E-1ADAF6E0AB25}" name="Condenser Airflow"/>
    <tableColumn id="17" xr3:uid="{8FC6DCB6-5C8B-49D7-BEF9-CA9C51D3DD3A}" name="Suction Line Dia" dataDxfId="299"/>
    <tableColumn id="18" xr3:uid="{2F8BDF7B-B34A-40E4-B0D4-281F2E23D4D7}" name="Discharge Line Dia" dataDxfId="298"/>
    <tableColumn id="19" xr3:uid="{5466D9BA-3C22-4DB0-B262-B9FEC5C9A1D1}" name=" Liquide Line Dia" dataDxfId="297"/>
    <tableColumn id="21" xr3:uid="{616CAA96-F469-423E-A5DB-1C46453E7273}" name="Cooling Air Condenser Model" dataDxfId="296"/>
    <tableColumn id="22" xr3:uid="{F504DF7A-6E56-4D4B-954A-5B45EE10808D}" name="HP  Air Condenser Model" dataDxfId="295"/>
    <tableColumn id="23" xr3:uid="{4F0A9B92-CDC5-4FDB-8B79-8B2663993D66}" name="Cooling Water Condenser Model" dataDxfId="294"/>
    <tableColumn id="24" xr3:uid="{968185C3-B035-4910-8BE7-4972F5A633EC}" name="HP  Ater Condenser Model" dataDxfId="293"/>
    <tableColumn id="12" xr3:uid="{BA332EA3-AA02-4589-95BD-D77152881CE9}" name="Water Evaporator" dataDxfId="292"/>
    <tableColumn id="13" xr3:uid="{313C51FF-763C-4001-A119-D824C2943631}" name="Condenser Fan Qty" dataDxfId="291">
      <calculatedColumnFormula>SkidDB[[#This Row],[Compressor Qty]]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2B88052-5C5A-4E38-A2A0-2AF644B798D6}" name="Compressor_Power_Table" displayName="Compressor_Power_Table" ref="A20:F60" totalsRowShown="0" headerRowDxfId="290" dataDxfId="289">
  <autoFilter ref="A20:F60" xr:uid="{42B88052-5C5A-4E38-A2A0-2AF644B798D6}">
    <filterColumn colId="5">
      <filters>
        <filter val="130,65"/>
      </filters>
    </filterColumn>
  </autoFilter>
  <sortState xmlns:xlrd2="http://schemas.microsoft.com/office/spreadsheetml/2017/richdata2" ref="A21:F60">
    <sortCondition descending="1" ref="F21:F60"/>
  </sortState>
  <tableColumns count="6">
    <tableColumn id="1" xr3:uid="{D43409DD-447D-4ECC-A29F-AEB82ABE085D}" name="Compressor" dataDxfId="288"/>
    <tableColumn id="2" xr3:uid="{738A177D-0624-44CC-B415-4EC2EBAE1D80}" name="Nominal Capacity" dataDxfId="287">
      <calculatedColumnFormula>191358/12000</calculatedColumnFormula>
    </tableColumn>
    <tableColumn id="3" xr3:uid="{D55BE948-AD21-45D2-A0AF-D4EA11977593}" name="Power" dataDxfId="286"/>
    <tableColumn id="4" xr3:uid="{D80D21D4-2D33-438C-9E90-CFC06EF9B1D6}" name="Power Input" dataDxfId="285"/>
    <tableColumn id="5" xr3:uid="{72FAFFB6-BD47-4EAE-A704-BFD659DCD86A}" name="RLA" dataDxfId="284"/>
    <tableColumn id="6" xr3:uid="{F157F619-A1AE-4B5C-B0C5-1F3DD243A39E}" name="RLA Conditions" dataDxfId="28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93DC20F-1130-4CCD-96CA-3B5E158BB229}" name="CondUnitDB" displayName="CondUnitDB" ref="A98:M150" totalsRowShown="0" headerRowDxfId="282">
  <autoFilter ref="A98:M150" xr:uid="{093DC20F-1130-4CCD-96CA-3B5E158BB229}"/>
  <tableColumns count="13">
    <tableColumn id="1" xr3:uid="{D879F3CE-F2F3-4360-BC68-DD1551F5F808}" name="Nominal Capacity" dataDxfId="281"/>
    <tableColumn id="2" xr3:uid="{E2E963B8-F40B-4DF1-B1E3-68B5D6ED3901}" name="Circuit Qty"/>
    <tableColumn id="12" xr3:uid="{C2D5A30D-E28E-4031-B244-7958CFC7F4D9}" name="Compressors Qty" dataDxfId="280"/>
    <tableColumn id="3" xr3:uid="{FFAF7E43-9387-42DD-ABE1-852E22E9FA88}" name="Minimum Capacity" dataDxfId="279">
      <calculatedColumnFormula>IFERROR(INDEX(SkidDB[#All],MATCH(CondUnitDB[[#This Row],[C1 Compressor Skid]],SkidDB[[#All],[Compressor Skid Model Number]],0),8),"")</calculatedColumnFormula>
    </tableColumn>
    <tableColumn id="4" xr3:uid="{E81259DD-B8CD-4671-B0AF-DBAF6E729AA3}" name="Tur Down Ratio">
      <calculatedColumnFormula>IFERROR(ROUNDUP(A99/D99,0)&amp;":1","")</calculatedColumnFormula>
    </tableColumn>
    <tableColumn id="13" xr3:uid="{15DEF797-F348-4314-B6AA-6D82F3A0D285}" name="Refrigerant" dataDxfId="278">
      <calculatedColumnFormula>IFERROR(INDEX(SkidDB[#All],MATCH(CondUnitDB[[#This Row],[C1 Compressor Skid]],SkidDB[[#All],[Compressor Skid Model Number]],0),4),"")</calculatedColumnFormula>
    </tableColumn>
    <tableColumn id="5" xr3:uid="{90257216-C817-47A0-B825-EE28B8390AD0}" name="Compressor Manufacturer"/>
    <tableColumn id="6" xr3:uid="{28FDCCAA-14BA-402A-8A7C-0B18074F08F5}" name="C1 Compressor Skid"/>
    <tableColumn id="7" xr3:uid="{ACBD72AD-D937-4A87-9047-3233E88EF536}" name="C2 Compressor Skid2"/>
    <tableColumn id="8" xr3:uid="{AC0F9F88-3661-4F29-A425-DE755DF71F4F}" name="C3 Compressor Skid"/>
    <tableColumn id="9" xr3:uid="{EC52CF22-E1C4-44A9-9677-CB46DB0A41E7}" name="C4 Compressor Skid"/>
    <tableColumn id="10" xr3:uid="{091E0500-238B-4341-993F-D07CB68A5A1C}" name="C5 Compressor Skid"/>
    <tableColumn id="11" xr3:uid="{688D61F9-18B2-436B-A76E-967269095968}" name="C6 Compressor Skid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E152970-B284-40F7-A4AE-955497DDC70C}" name="Refrigerant_Table" displayName="Refrigerant_Table" ref="H20:M27" totalsRowShown="0" headerRowDxfId="277">
  <tableColumns count="6">
    <tableColumn id="1" xr3:uid="{53E3541E-EAE5-4D8F-8D55-ECCE82AB776B}" name="Refrigerant"/>
    <tableColumn id="2" xr3:uid="{4851035E-D8D6-4131-A88D-CD26BE6FE334}" name="Type"/>
    <tableColumn id="3" xr3:uid="{0D39875F-8FF5-48FE-8CC4-7ABFEADD7018}" name="Composition"/>
    <tableColumn id="4" xr3:uid="{23D401B6-A9B8-418A-9AC0-0B5D5321288D}" name="ASHRAE Safety Class"/>
    <tableColumn id="5" xr3:uid="{42194EB1-6FC3-4AD2-AC53-BE5DC569BB6A}" name="GWP₁₀₀"/>
    <tableColumn id="6" xr3:uid="{03246C78-426E-4A5A-8A04-5C63668C560F}" name="vs. R-410A (GWP 2,088)" dataDxfId="276">
      <calculatedColumnFormula>-(1-(L21/2088))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4C26FD-2207-4A8D-B89D-5D9B09DDA515}" name="EEV_Selection" displayName="EEV_Selection" ref="O20:W34" totalsRowShown="0">
  <autoFilter ref="O20:W34" xr:uid="{864C26FD-2207-4A8D-B89D-5D9B09DDA515}"/>
  <tableColumns count="9">
    <tableColumn id="1" xr3:uid="{88394BF0-1E12-4350-99E8-AF2745C15235}" name="Manufacturer"/>
    <tableColumn id="2" xr3:uid="{4999C590-1DD7-434D-908A-B53FFBC93528}" name="Model #"/>
    <tableColumn id="3" xr3:uid="{2FB733B9-103E-4E6C-A422-392160CA2836}" name="Part #"/>
    <tableColumn id="4" xr3:uid="{2D81D5C3-1648-4135-B355-D1A605B6D42F}" name="Flow"/>
    <tableColumn id="5" xr3:uid="{47EDE6E7-B836-4501-960B-2C34043A90F9}" name="Dia In" dataDxfId="275"/>
    <tableColumn id="6" xr3:uid="{D8F06F06-A65D-4B7E-8304-7E185B1EF4CE}" name="Dia Out" dataDxfId="274"/>
    <tableColumn id="7" xr3:uid="{F09D73B4-2BD0-4ADE-9231-8295C515A918}" name="Max Cap" dataDxfId="273"/>
    <tableColumn id="8" xr3:uid="{B0C19A1C-462D-431D-8910-FEBCD51F9496}" name="Min Cap" dataDxfId="272">
      <calculatedColumnFormula>EEV_Selection[[#This Row],[Max Cap]]/10</calculatedColumnFormula>
    </tableColumn>
    <tableColumn id="9" xr3:uid="{6CB38E41-0CD7-4FF4-B68B-D80B5407E5AF}" name="Notes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788439-F56A-46DD-B935-FF3299217CB3}" name="Table2" displayName="Table2" ref="O41:U47" totalsRowShown="0">
  <autoFilter ref="O41:U47" xr:uid="{95788439-F56A-46DD-B935-FF3299217CB3}"/>
  <tableColumns count="7">
    <tableColumn id="1" xr3:uid="{BA71435D-F337-483A-9B6E-27A7805C1056}" name="Size" dataDxfId="271"/>
    <tableColumn id="6" xr3:uid="{C598EFAB-23E8-4AEA-910F-4BCB3C391BEA}" name="Name" dataDxfId="270">
      <calculatedColumnFormula>"Ball Valve "&amp;Table2[[#This Row],[Size]]</calculatedColumnFormula>
    </tableColumn>
    <tableColumn id="2" xr3:uid="{A1699D0F-680D-42E4-9660-D5221C9B9328}" name="Danfos"/>
    <tableColumn id="3" xr3:uid="{13819C76-7459-4F2B-81D6-253DC9508363}" name="Copeland"/>
    <tableColumn id="4" xr3:uid="{74E57AB7-8DA0-4F5A-8C15-1EF7F14F8D29}" name="Sporlan"/>
    <tableColumn id="5" xr3:uid="{F2C36EE6-96B9-4AC9-82F8-EAB24D46A753}" name="CB Supplies"/>
    <tableColumn id="7" xr3:uid="{571A3E7E-D891-415E-8A71-A83F072934F0}" name="description" dataDxfId="269">
      <calculatedColumnFormula>Table2[[#This Row],[Name]]&amp;" "&amp;$U$39&amp;" "&amp;INDEX(Table2[[Danfos]:[CB Supplies]],MATCH(Table2[[#This Row],[Name]],Table2[Name],0),MATCH($U$39,Table2[[#Headers],[Danfos]:[CB Supplies]],0))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5A03B8-FE2E-4452-8DC3-9BDE0D570446}" name="Table25" displayName="Table25" ref="O50:U56" totalsRowShown="0">
  <autoFilter ref="O50:U56" xr:uid="{7F5A03B8-FE2E-4452-8DC3-9BDE0D570446}"/>
  <tableColumns count="7">
    <tableColumn id="1" xr3:uid="{8B71764C-7D90-489C-8A72-F471E5F343A0}" name="Size" dataDxfId="268"/>
    <tableColumn id="6" xr3:uid="{C8459A94-5BA6-46C1-BE55-C20101FAD543}" name="Name" dataDxfId="267">
      <calculatedColumnFormula>"Check Valve "&amp;Table25[[#This Row],[Size]]</calculatedColumnFormula>
    </tableColumn>
    <tableColumn id="2" xr3:uid="{EAB8FC7B-D0E1-4C09-AFE9-7344098E3ECF}" name="Danfos"/>
    <tableColumn id="3" xr3:uid="{45A5A19F-CAAA-48D1-A7D2-1E80A32F189A}" name="Copeland"/>
    <tableColumn id="4" xr3:uid="{05135A64-404A-40BD-A381-CD25FE85C35D}" name="Sporlan"/>
    <tableColumn id="5" xr3:uid="{1E7F31F0-6452-4A06-958E-CE3D879EE599}" name="CB Supplies"/>
    <tableColumn id="7" xr3:uid="{D419B060-4B2E-483B-A1AE-FEB531933112}" name="description" dataDxfId="266">
      <calculatedColumnFormula>Table25[[#This Row],[Name]]&amp;" "&amp;$U$39&amp;" "&amp;INDEX(Table25[[Danfos]:[CB Supplies]],MATCH(Table25[[#This Row],[Name]],Table25[Name],0),MATCH($U$39,Table25[[#Headers],[Danfos]:[CB Supplies]],0))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E56729B-760A-47EC-8807-C8B6255F4C3F}" name="Capacity_Selection" displayName="Capacity_Selection" ref="A64:Q85" totalsRowShown="0" headerRowDxfId="265" dataDxfId="264">
  <autoFilter ref="A64:Q85" xr:uid="{9E56729B-760A-47EC-8807-C8B6255F4C3F}"/>
  <tableColumns count="17">
    <tableColumn id="1" xr3:uid="{11B88679-2F3B-4862-B794-2720A1949594}" name="Nominal Capacity" dataDxfId="263"/>
    <tableColumn id="2" xr3:uid="{50AFD245-8343-4454-9732-5D4FC3DF1B77}" name="Application Type" dataDxfId="262"/>
    <tableColumn id="3" xr3:uid="{A77389CA-928B-4FC2-B622-AEBF484DB5F7}" name="Configuration" dataDxfId="261"/>
    <tableColumn id="15" xr3:uid="{68CB7912-95DA-4762-A5BF-9960D165771C}" name="Evaporator Capacity" dataDxfId="260">
      <calculatedColumnFormula>219</calculatedColumnFormula>
    </tableColumn>
    <tableColumn id="4" xr3:uid="{11655D96-3E47-44D7-B8F1-72D45755966E}" name="Condenser Capacity" dataDxfId="259"/>
    <tableColumn id="14" xr3:uid="{103F6FBA-8323-4750-8BA9-B1F847841359}" name="Refrigerant" dataDxfId="258"/>
    <tableColumn id="5" xr3:uid="{9A3293D2-0A36-4FAA-BD4B-95ABFDD6A744}" name="Ent Liquid Temp" dataDxfId="257"/>
    <tableColumn id="6" xr3:uid="{4800F40D-0C6D-4487-BEB8-1AE52FA5AFCB}" name="SST" dataDxfId="256"/>
    <tableColumn id="7" xr3:uid="{E86BEB65-D7F1-4B75-9566-75180EF129E3}" name="SH" dataDxfId="255"/>
    <tableColumn id="8" xr3:uid="{F36A7116-6090-46C8-82C2-5F2347B3FC45}" name="Ent Gas Temp" dataDxfId="254"/>
    <tableColumn id="9" xr3:uid="{6345D4E6-08BA-4E1E-AD8A-8D5B9A21220D}" name="SDT" dataDxfId="253"/>
    <tableColumn id="10" xr3:uid="{A514A28A-0572-493A-8E8E-01E0C1C56B51}" name="SC" dataDxfId="252"/>
    <tableColumn id="11" xr3:uid="{17D68320-C68B-4335-ACA7-D99CD9B75D6D}" name="Coolant" dataDxfId="251"/>
    <tableColumn id="12" xr3:uid="{E6373A83-9300-4812-A34F-3A4D1BC08232}" name="EWT" dataDxfId="250"/>
    <tableColumn id="13" xr3:uid="{DA1BE0B3-C6C2-41CF-A890-8C40360D0E7B}" name="LWT" dataDxfId="249"/>
    <tableColumn id="16" xr3:uid="{FCD56D63-5506-4F93-9A79-3BBF40170F96}" name="Evap Capacity (TR)" dataDxfId="248">
      <calculatedColumnFormula>Capacity_Selection[[#This Row],[Evaporator Capacity]]/12</calculatedColumnFormula>
    </tableColumn>
    <tableColumn id="17" xr3:uid="{DCCAFB95-6567-453C-AE12-DA9E2A8E6D4E}" name="Cond  Capacity (kW)" dataDxfId="247">
      <calculatedColumnFormula>Capacity_Selection[[#This Row],[Condenser Capacity]]/3.413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E1DCF60-D52A-4EAE-8349-A46B0496377B}" name="HX_Selection" displayName="HX_Selection" ref="A87:P94" totalsRowShown="0" headerRowDxfId="246">
  <tableColumns count="16">
    <tableColumn id="1" xr3:uid="{FC66161E-63C7-48C0-BCF6-C3581F777CCA}" name="AWHP Capacity" dataDxfId="245"/>
    <tableColumn id="2" xr3:uid="{59C85429-E5C6-4159-B80D-7DE367720D7C}" name="# Circuit" dataDxfId="244"/>
    <tableColumn id="3" xr3:uid="{02B7DD2A-D911-4F19-8DAB-934765DDC386}" name="# Compressor" dataDxfId="243"/>
    <tableColumn id="4" xr3:uid="{47CA2A99-47D4-49E7-92EC-6097E21047BA}" name="Mitsubishi Compressor model" dataDxfId="242"/>
    <tableColumn id="5" xr3:uid="{3FB03FD4-E3B3-4472-A44E-E0D5DC758E58}" name="Copeland Compressor model" dataDxfId="241"/>
    <tableColumn id="15" xr3:uid="{608C09FC-D12B-49D7-A16C-8C7D51F87751}" name="Air Condenser Model" dataDxfId="240"/>
    <tableColumn id="16" xr3:uid="{D714DC48-6FF5-474F-A601-0ED6FE266EB0}" name="Air Condenser Qty" dataDxfId="239">
      <calculatedColumnFormula>HX_Selection[[#This Row],['# Circuit]]*2</calculatedColumnFormula>
    </tableColumn>
    <tableColumn id="6" xr3:uid="{CA07A730-2DE0-437D-9A0E-472CF36BB73E}" name="Swep Condenser Model #"/>
    <tableColumn id="7" xr3:uid="{1A975EEA-A24F-459D-BD1A-234410A18EFF}" name="Swep Evaporator Model #"/>
    <tableColumn id="8" xr3:uid="{9C418385-F261-4A84-9849-AAB6C98A595E}" name="SWEP HP Model #"/>
    <tableColumn id="9" xr3:uid="{6D2F00BC-A30E-4DEB-8D6B-20198D2177C5}" name="Alfa Laval Condenser Model #"/>
    <tableColumn id="10" xr3:uid="{3210BB53-7FB5-41CF-BAAB-EE724F416F56}" name="Alfa Laval Evaporator Model #"/>
    <tableColumn id="11" xr3:uid="{7CF8B89C-9182-4487-A191-EE4F17FE087B}" name="Alfa Laval HP Model #"/>
    <tableColumn id="12" xr3:uid="{AD094055-5280-4E0D-AADE-9F8D33AE157D}" name="Danfoss Condenser Model #"/>
    <tableColumn id="13" xr3:uid="{F28A270F-F19F-4315-841A-44AE404C671C}" name="Danfoss Evaporator Model #"/>
    <tableColumn id="14" xr3:uid="{CD9DA21A-5C1B-466A-A729-4A2658EFE32C}" name="Danfoss HP Model #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EA218E4-C4A6-4C08-964A-7FF91EFAA617}" name="VFD_Selection" displayName="VFD_Selection" ref="A156:J176" totalsRowShown="0" headerRowDxfId="238" dataDxfId="237">
  <autoFilter ref="A156:J176" xr:uid="{8EA218E4-C4A6-4C08-964A-7FF91EFAA617}"/>
  <tableColumns count="10">
    <tableColumn id="1" xr3:uid="{9DA09AD3-FB08-4945-900B-BE0279DC13E2}" name="Compressor" dataDxfId="236"/>
    <tableColumn id="10" xr3:uid="{AF9C4B5F-C6B8-4FEF-9E66-3C4887011400}" name="Manufacturer" dataDxfId="235"/>
    <tableColumn id="2" xr3:uid="{94294355-CF45-4D37-9B98-EB1208CB37F7}" name="Nominal Capacity" dataDxfId="234"/>
    <tableColumn id="3" xr3:uid="{934AB0CB-9A1B-48E6-9711-5BE0E2B0210C}" name="Power" dataDxfId="233"/>
    <tableColumn id="4" xr3:uid="{F5D24BC5-16EE-4285-A444-DD475CCC1AE4}" name="Power Input" dataDxfId="232"/>
    <tableColumn id="5" xr3:uid="{F9CCA380-86DD-4002-A58D-449BAB8625DD}" name="RLA" dataDxfId="231"/>
    <tableColumn id="6" xr3:uid="{D4415551-7BD6-48C5-9820-B1B9C3EC677F}" name="RLA Conditions" dataDxfId="230"/>
    <tableColumn id="7" xr3:uid="{A7EB7FC2-E060-410B-A236-D81C4A824540}" name="VFD Copeland" dataDxfId="229"/>
    <tableColumn id="8" xr3:uid="{6F8E19FB-6958-4795-9D91-54585AD7A062}" name="VFD Schneider" dataDxfId="228"/>
    <tableColumn id="9" xr3:uid="{9919F7CC-9003-49BA-BE44-25A96334B85F}" name="VFD Mitsubishi" dataDxfId="227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F800FA-7E12-49C7-9211-32F757DF21F1}" name="CU_BMS_Input" displayName="CU_BMS_Input" ref="A182:L190" totalsRowShown="0">
  <autoFilter ref="A182:L190" xr:uid="{5FF800FA-7E12-49C7-9211-32F757DF21F1}"/>
  <tableColumns count="12">
    <tableColumn id="1" xr3:uid="{083F2433-BDEB-4A29-91D0-D8F22A934194}" name="Description"/>
    <tableColumn id="2" xr3:uid="{69EB050B-05D2-4BCE-8164-C0C62E3386A5}" name="Label"/>
    <tableColumn id="3" xr3:uid="{B85C78DB-3A51-4E85-B9F3-94EA0DAD38C1}" name="Signal "/>
    <tableColumn id="4" xr3:uid="{7BD7ED3F-6FC9-447E-9871-6BBB197327AA}" name="IO # S-1000"/>
    <tableColumn id="10" xr3:uid="{0E23B89A-4B9B-4CBD-9AAE-1B2E7695604B}" name="IO # C-600"/>
    <tableColumn id="5" xr3:uid="{F435EF81-FB17-4EA1-A95A-DA0A1023F344}" name="Type"/>
    <tableColumn id="6" xr3:uid="{45653299-D615-4758-B7AC-944899A56BC0}" name="Comm type"/>
    <tableColumn id="7" xr3:uid="{7CBCA774-E1BD-4EBB-A7D9-6D513DE5F500}" name="UNIT"/>
    <tableColumn id="8" xr3:uid="{31BA7E14-FA4D-4333-A46C-2DA711E62194}" name="RANGE"/>
    <tableColumn id="9" xr3:uid="{50BF8E36-0BF2-44E8-B950-E6D91DC43CCA}" name="OPTION" dataDxfId="226"/>
    <tableColumn id="13" xr3:uid="{7E1D13EF-2E5B-4130-8D67-A93CBBF4399B}" name="IO_type"/>
    <tableColumn id="11" xr3:uid="{BBD1825D-A358-4252-96F7-4431AF1CE213}" name="Ladder_type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D47BC78-E188-4045-8C8A-38A2DB31A685}" name="CU_Global_Output" displayName="CU_Global_Output" ref="A250:L251" totalsRowShown="0" tableBorderDxfId="225">
  <autoFilter ref="A250:L251" xr:uid="{9D47BC78-E188-4045-8C8A-38A2DB31A685}"/>
  <tableColumns count="12">
    <tableColumn id="1" xr3:uid="{A97E90E1-802D-48ED-8E17-554B96A8E48B}" name="Description"/>
    <tableColumn id="2" xr3:uid="{EB25A8CF-FDE0-4207-B731-81B5F75F8366}" name="Label"/>
    <tableColumn id="3" xr3:uid="{D3F7B2DF-F0FC-4851-86B7-77C13CB8B8AE}" name="Signal "/>
    <tableColumn id="4" xr3:uid="{9DE5BCE4-2EBA-491D-A3DE-98554771F4DB}" name="IO # S-1000"/>
    <tableColumn id="10" xr3:uid="{5224B43F-6153-482F-9037-134FE9DF7080}" name="IO # C-600"/>
    <tableColumn id="5" xr3:uid="{E9C3F049-BE64-47FE-BAB2-B1162E55C229}" name="Type"/>
    <tableColumn id="6" xr3:uid="{CAD035B4-0FA7-44DF-9432-6831A79D56DD}" name="Comm type"/>
    <tableColumn id="7" xr3:uid="{384207E1-AC6E-4E5E-8F1D-3E88685677C1}" name="UNIT"/>
    <tableColumn id="8" xr3:uid="{FB41DADC-0BE1-41E6-98E6-91300DBA7CEA}" name="RANGE"/>
    <tableColumn id="9" xr3:uid="{5F688DD7-A7FE-47E4-8E5C-D840695B277D}" name="OPTION" dataDxfId="224"/>
    <tableColumn id="11" xr3:uid="{9DBA17A4-14CA-4D01-A66C-A7BB132C5296}" name="IO_type"/>
    <tableColumn id="12" xr3:uid="{298F1356-1A71-43A8-9D50-EE16D0CC86B8}" name="Ladder_type" dataDxfId="223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9C9C70B-5DEE-468E-947F-C63547518744}" name="CU_Circuit_Output" displayName="CU_Circuit_Output" ref="A227:L245" totalsRowShown="0" headerRowDxfId="222" dataDxfId="220" headerRowBorderDxfId="221" tableBorderDxfId="219">
  <autoFilter ref="A227:L245" xr:uid="{19C9C70B-5DEE-468E-947F-C63547518744}"/>
  <tableColumns count="12">
    <tableColumn id="1" xr3:uid="{1AB5D7D2-7290-47D4-8BAD-B2363E19924F}" name="Description" dataDxfId="218"/>
    <tableColumn id="2" xr3:uid="{EE6B6D49-4606-4498-8ED6-B4EC92FE9C29}" name="Label" dataDxfId="217"/>
    <tableColumn id="3" xr3:uid="{F534B1A1-FD4D-47D7-9803-FAC757453B5F}" name="Signal " dataDxfId="216"/>
    <tableColumn id="4" xr3:uid="{813CF3A4-0DD5-49B7-B824-D459013E7247}" name="IO # S-1000" dataDxfId="215"/>
    <tableColumn id="10" xr3:uid="{22604CF6-2B57-4459-A10B-B7EED6AC1AB6}" name="IO # C-600" dataDxfId="214"/>
    <tableColumn id="5" xr3:uid="{35840E8D-3B0D-425E-9B6B-1B87DB33FDBB}" name="Type" dataDxfId="213"/>
    <tableColumn id="6" xr3:uid="{4979AC53-26E5-45F5-903C-10DCAD608D85}" name="Comm type" dataDxfId="212"/>
    <tableColumn id="7" xr3:uid="{EEEACA95-9AF5-4C0C-9C5C-AA7A72A9F9DA}" name="UNIT" dataDxfId="211"/>
    <tableColumn id="8" xr3:uid="{96A17CF6-8923-4EA2-975C-8295A16161E0}" name="RANGE" dataDxfId="210"/>
    <tableColumn id="9" xr3:uid="{80308E5C-340B-441E-8806-96AF6EB9CDA2}" name="OPTION" dataDxfId="209"/>
    <tableColumn id="11" xr3:uid="{E72B5455-5061-4504-A96B-D8521F296482}" name="IO_type" dataDxfId="208"/>
    <tableColumn id="12" xr3:uid="{1DB704D7-EF0C-479B-8E90-6022F15269D4}" name="Ladder_type" dataDxfId="207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A491920-7ABE-46AF-B205-08EF17808229}" name="CU_Circuit_Input" displayName="CU_Circuit_Input" ref="A194:L210" totalsRowShown="0" headerRowDxfId="206" headerRowBorderDxfId="205" tableBorderDxfId="204">
  <autoFilter ref="A194:L210" xr:uid="{7A491920-7ABE-46AF-B205-08EF17808229}"/>
  <tableColumns count="12">
    <tableColumn id="1" xr3:uid="{BFB3631C-E1D2-4B82-B896-F5070C680300}" name="Description" dataDxfId="203"/>
    <tableColumn id="2" xr3:uid="{BF46328C-73F5-4E72-8A7F-84A0DE5D987E}" name="Label" dataDxfId="202"/>
    <tableColumn id="3" xr3:uid="{DE3EAC58-F856-49B5-A8EA-851ACEAC9D58}" name="Signal "/>
    <tableColumn id="4" xr3:uid="{BB176613-0054-41F0-9757-A9F204E7F232}" name="IO # S-1000"/>
    <tableColumn id="5" xr3:uid="{F50FFBA9-C24D-407A-9DAB-452499CE939D}" name="IO # C-600"/>
    <tableColumn id="6" xr3:uid="{9076CDA7-4944-4A4A-B063-75AACBD8622A}" name="Type"/>
    <tableColumn id="7" xr3:uid="{21262FC1-FC55-4700-AC69-6AFD284A5BBE}" name="Comm type"/>
    <tableColumn id="8" xr3:uid="{737EC67B-5AC6-456F-9B05-DB80ECD02AEB}" name="UNIT"/>
    <tableColumn id="9" xr3:uid="{E157A840-0788-49B6-B643-051AC1558E16}" name="RANGE"/>
    <tableColumn id="10" xr3:uid="{B4FA4EC8-3143-478A-9CF4-C4C11A99D2C8}" name="OPTION" dataDxfId="201"/>
    <tableColumn id="11" xr3:uid="{D1DAB07E-4411-44EB-8793-2166AD9F7CDF}" name="IO_type"/>
    <tableColumn id="12" xr3:uid="{8A9E80E2-CF8A-46B1-A286-85C5C5A30821}" name="Ladder_type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3BB00B-8E6C-49DD-A559-FF2FA0EC8F16}" name="ASHP_CU_BMS_Input" displayName="ASHP_CU_BMS_Input" ref="N182:Y190" totalsRowShown="0">
  <autoFilter ref="N182:Y190" xr:uid="{CB3BB00B-8E6C-49DD-A559-FF2FA0EC8F16}"/>
  <tableColumns count="12">
    <tableColumn id="1" xr3:uid="{E707B0D8-3465-42A0-8726-26DF20059775}" name="Description"/>
    <tableColumn id="2" xr3:uid="{D6300C67-2FB9-4A13-9942-84C4A912739A}" name="Label"/>
    <tableColumn id="3" xr3:uid="{F5C23532-7CC2-4B18-83D0-ED9645C5C96F}" name="Signal "/>
    <tableColumn id="4" xr3:uid="{B4197256-F167-4D87-8281-A4DF8C17C70D}" name="IO # S-1000"/>
    <tableColumn id="10" xr3:uid="{1D2C5980-5AD7-4048-A415-3AB67803BF6C}" name="IO # C-600"/>
    <tableColumn id="5" xr3:uid="{F69553BF-D54C-4766-B52F-0862710A71D0}" name="Type"/>
    <tableColumn id="6" xr3:uid="{EC2A368A-555F-4DC5-AA14-38FC9C01A853}" name="Comm type"/>
    <tableColumn id="7" xr3:uid="{76A294AB-AC59-43F0-86D9-12947D6F030F}" name="UNIT"/>
    <tableColumn id="8" xr3:uid="{BA11C4A1-C188-46BA-A76E-C4633005BDC3}" name="RANGE"/>
    <tableColumn id="9" xr3:uid="{702C281A-458D-43AB-8CB1-FC03BA54504B}" name="OPTION" dataDxfId="200"/>
    <tableColumn id="11" xr3:uid="{B3DF9897-3078-459B-A249-B2A0536B362D}" name="IO_type"/>
    <tableColumn id="12" xr3:uid="{B298B21D-ADE2-4029-AFB0-6F84CDA66CB1}" name="Ladder_type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0AF1998-ACA9-4D1B-9547-DF75ADA4A31C}" name="ASHP_CU_Circuit_Input" displayName="ASHP_CU_Circuit_Input" ref="N194:Y210" totalsRowShown="0" headerRowDxfId="199" headerRowBorderDxfId="198" tableBorderDxfId="197">
  <autoFilter ref="N194:Y210" xr:uid="{40AF1998-ACA9-4D1B-9547-DF75ADA4A31C}"/>
  <tableColumns count="12">
    <tableColumn id="1" xr3:uid="{A6B1509F-2C22-42DC-AC11-D7859C99C81C}" name="Description" dataDxfId="196"/>
    <tableColumn id="2" xr3:uid="{9E6D08C2-62CE-447E-A0F2-7D310F3E42B6}" name="Label" dataDxfId="195"/>
    <tableColumn id="3" xr3:uid="{B44BF439-058A-4737-A50D-B2C793CAD0D1}" name="Signal "/>
    <tableColumn id="4" xr3:uid="{E5B71104-7D92-40A3-AB8B-42EFBCE915CF}" name="IO # S-1000" dataDxfId="194"/>
    <tableColumn id="5" xr3:uid="{F2BF5DDF-FF06-4C50-A645-BBBA8C0C3EE5}" name="IO # C-600"/>
    <tableColumn id="6" xr3:uid="{81752482-01DD-471A-B63A-479B48E633BC}" name="Type"/>
    <tableColumn id="7" xr3:uid="{53980739-B438-46C3-A269-21AEB0B46C4C}" name="Comm type"/>
    <tableColumn id="8" xr3:uid="{A4132F02-F999-4F6E-AB15-61C73AE05427}" name="UNIT"/>
    <tableColumn id="9" xr3:uid="{E65C4EB4-B7C8-41A3-8BF7-2A856CBB2E9F}" name="RANGE"/>
    <tableColumn id="10" xr3:uid="{6DA5EC15-7D2E-4D76-9B64-5FDAFE924A76}" name="OPTION" dataDxfId="193"/>
    <tableColumn id="11" xr3:uid="{AB8C5382-34BC-4FF3-90D6-B180073BE73C}" name="IO_type"/>
    <tableColumn id="12" xr3:uid="{F44FC3FF-A201-4369-8DEB-00984CAF31BC}" name="Ladder_type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A737667-347C-4597-ABC0-7343B4DFAC6C}" name="ASHP_CU_Global_Output" displayName="ASHP_CU_Global_Output" ref="N250:Y251" totalsRowShown="0" tableBorderDxfId="192">
  <autoFilter ref="N250:Y251" xr:uid="{BA737667-347C-4597-ABC0-7343B4DFAC6C}"/>
  <tableColumns count="12">
    <tableColumn id="1" xr3:uid="{92229CE9-81E1-425D-9D6F-D4A8DCAB7020}" name="Description"/>
    <tableColumn id="2" xr3:uid="{413707B2-03C6-4DC3-BB9E-6C853B268F2E}" name="Label"/>
    <tableColumn id="3" xr3:uid="{B81FB811-9D5C-4207-953F-F9A3BCF0B586}" name="Signal "/>
    <tableColumn id="4" xr3:uid="{2C5365DF-BE97-4BE7-AECC-2DBEA2C48AF4}" name="IO # S-1000"/>
    <tableColumn id="10" xr3:uid="{6F7D1E72-3165-40A3-9CFC-42B73A3C7B36}" name="IO # C-600"/>
    <tableColumn id="5" xr3:uid="{BD0856BD-355C-49B2-9DC1-6A8E31B801D9}" name="Type"/>
    <tableColumn id="6" xr3:uid="{ED7C1988-0765-4668-BB4E-C5FD038CC816}" name="Comm type"/>
    <tableColumn id="7" xr3:uid="{A5C9EC92-C5E4-4735-9023-48826936B6D7}" name="UNIT"/>
    <tableColumn id="8" xr3:uid="{0ED4F60C-E143-44F0-9906-45FA58B6E90F}" name="RANGE"/>
    <tableColumn id="9" xr3:uid="{9282C757-3F11-47E1-BA6E-5EFFE3F3C139}" name="OPTION" dataDxfId="191"/>
    <tableColumn id="11" xr3:uid="{A023C81F-7946-43F9-9BDD-18B4356F0B7B}" name="IO_type" dataDxfId="190"/>
    <tableColumn id="12" xr3:uid="{4733CA56-B59F-4E39-B23E-E3DC53798D28}" name="Ladder_type" dataDxfId="189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3603F4A-B84F-4762-8ECF-2AA3B0950280}" name="ASHP_CU_Circuit_Output" displayName="ASHP_CU_Circuit_Output" ref="N227:Y245" totalsRowShown="0" headerRowDxfId="188" dataDxfId="186" headerRowBorderDxfId="187" tableBorderDxfId="185">
  <autoFilter ref="N227:Y245" xr:uid="{83603F4A-B84F-4762-8ECF-2AA3B0950280}"/>
  <tableColumns count="12">
    <tableColumn id="1" xr3:uid="{B734979D-C653-4D0B-99CD-1D1DFB0F4933}" name="Description" dataDxfId="184"/>
    <tableColumn id="2" xr3:uid="{79FD2E24-AF30-44CF-A09A-BA467A6F261E}" name="Label" dataDxfId="183"/>
    <tableColumn id="3" xr3:uid="{BBA8B637-9118-4D62-AEBC-7AEA28B778A6}" name="Signal " dataDxfId="182"/>
    <tableColumn id="4" xr3:uid="{5EC5607C-AC49-43BE-884A-4DF6C5F8B140}" name="IO # S-1000" dataDxfId="181"/>
    <tableColumn id="10" xr3:uid="{D5BBC63F-5FBD-437B-BA8C-7EB6BFDF34EE}" name="IO # C-600" dataDxfId="180"/>
    <tableColumn id="5" xr3:uid="{5A956995-EE60-4B41-AADA-69E1547ADCE2}" name="Type" dataDxfId="179"/>
    <tableColumn id="6" xr3:uid="{D2D6DA6B-C338-4072-B572-7012CBDDC32D}" name="Comm type" dataDxfId="178"/>
    <tableColumn id="7" xr3:uid="{DA99A405-8144-49A2-AE44-63791A46CD1E}" name="UNIT" dataDxfId="177"/>
    <tableColumn id="8" xr3:uid="{4958D43B-8FAB-46D9-B9CB-94600C2DFFDF}" name="RANGE" dataDxfId="176"/>
    <tableColumn id="9" xr3:uid="{983889B8-079D-4876-837C-65F31FF1B69F}" name="OPTION" dataDxfId="175"/>
    <tableColumn id="11" xr3:uid="{C8481955-8736-4291-9867-3BAE38602CAE}" name="IO_type" dataDxfId="174"/>
    <tableColumn id="12" xr3:uid="{664AF5FF-9876-433B-8984-6AC74ACC20C0}" name="Ladder_type" dataDxfId="17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A14B75B-47EA-4D99-94FD-9CC598114BD3}" name="AWHP_4P_BMS_Input" displayName="AWHP_4P_BMS_Input" ref="AA182:AL190" totalsRowShown="0" headerRowDxfId="172" headerRowBorderDxfId="171" tableBorderDxfId="170">
  <autoFilter ref="AA182:AL190" xr:uid="{FA14B75B-47EA-4D99-94FD-9CC598114BD3}"/>
  <tableColumns count="12">
    <tableColumn id="1" xr3:uid="{CB233D34-0698-406A-A2F3-AE0F82C530A3}" name="Description"/>
    <tableColumn id="2" xr3:uid="{9016F500-ED2E-4C6C-A3FD-3EAB88BB19CC}" name="Label"/>
    <tableColumn id="3" xr3:uid="{67BF52C4-DD80-43D0-A66A-F54B30194E5F}" name="Signal "/>
    <tableColumn id="4" xr3:uid="{0C511DAA-CB5B-48DF-9533-4412BAB6EC22}" name="IO # S-1000"/>
    <tableColumn id="5" xr3:uid="{3F5D54F4-0F4B-4F26-AF78-745654962182}" name="IO # C-600"/>
    <tableColumn id="6" xr3:uid="{4A2270D3-AE9B-4576-BCC3-7DA111D5020C}" name="Type"/>
    <tableColumn id="7" xr3:uid="{B505E611-2E29-4DB2-BFB2-6F753903D573}" name="Comm type"/>
    <tableColumn id="8" xr3:uid="{E6002F44-F93C-4912-B1B4-88B8BB6AA0BB}" name="UNIT"/>
    <tableColumn id="9" xr3:uid="{3A5B1B1E-EDBD-4410-B68D-6707E5E2F7F2}" name="RANGE"/>
    <tableColumn id="10" xr3:uid="{3DBCB2DD-334C-4CFF-9F7B-7282FC36F8D3}" name="OPTION"/>
    <tableColumn id="11" xr3:uid="{E4BC0698-CE6C-41DF-A3B5-9DB8E138BD1A}" name="IO_type"/>
    <tableColumn id="12" xr3:uid="{36837CCC-3F42-4FD9-8E45-3E4AB9F3571A}" name="Ladder_type" dataDxfId="169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8958E6D-60D2-4592-8EF2-734C357B010D}" name="AWHP_4P_Circuit_Output" displayName="AWHP_4P_Circuit_Output" ref="AA227:AL245" totalsRowShown="0" headerRowDxfId="168" dataDxfId="166" headerRowBorderDxfId="167" tableBorderDxfId="165">
  <autoFilter ref="AA227:AL245" xr:uid="{F8958E6D-60D2-4592-8EF2-734C357B010D}"/>
  <tableColumns count="12">
    <tableColumn id="1" xr3:uid="{679975F4-BF3C-44A9-9033-558F60AFB320}" name="Description" dataDxfId="164"/>
    <tableColumn id="2" xr3:uid="{EA69C066-5AE2-4055-A101-8196BDF07DFC}" name="Label" dataDxfId="163"/>
    <tableColumn id="3" xr3:uid="{A1267B1D-2115-4406-90C8-65D1F7E7EA8D}" name="Signal " dataDxfId="162"/>
    <tableColumn id="4" xr3:uid="{95A72FB3-2F53-4385-BB4B-2D32CDE2588C}" name="IO # S-1000" dataDxfId="161"/>
    <tableColumn id="5" xr3:uid="{F0EE5D09-4790-4FBD-87CB-75F277192C13}" name="IO # C-600" dataDxfId="160"/>
    <tableColumn id="6" xr3:uid="{ABE81267-0BB3-434D-8343-1B2DC61160E3}" name="Type" dataDxfId="159"/>
    <tableColumn id="7" xr3:uid="{04A53BFE-A601-4072-9858-41D41314B5B1}" name="Comm type" dataDxfId="158"/>
    <tableColumn id="8" xr3:uid="{4760BD3C-60C9-4C90-A36E-2D82BBC830C6}" name="UNIT" dataDxfId="157"/>
    <tableColumn id="9" xr3:uid="{75CDC597-C00D-46C3-9FD2-616508DA19FC}" name="RANGE" dataDxfId="156"/>
    <tableColumn id="10" xr3:uid="{6DC6E6ED-0F5C-486E-9497-720921281CF0}" name="OPTION" dataDxfId="155"/>
    <tableColumn id="11" xr3:uid="{F75620F6-9ECB-4612-B4E7-4B08BD7A43C0}" name="IO_type" dataDxfId="154"/>
    <tableColumn id="12" xr3:uid="{EC35DE7F-0E0E-4704-A291-B758691282F2}" name="Ladder_type" dataDxfId="153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467826E-E9BA-4AAE-BBBC-84FBBFA27B46}" name="AWHP_4P_Circuit_Input" displayName="AWHP_4P_Circuit_Input" ref="AA194:AL210" totalsRowShown="0" headerRowDxfId="152" dataDxfId="150" headerRowBorderDxfId="151" tableBorderDxfId="149">
  <autoFilter ref="AA194:AL210" xr:uid="{E467826E-E9BA-4AAE-BBBC-84FBBFA27B46}"/>
  <tableColumns count="12">
    <tableColumn id="1" xr3:uid="{55C04091-7F4F-481A-8411-F3401B223FF6}" name="Description" dataDxfId="148"/>
    <tableColumn id="2" xr3:uid="{FD1B9017-C6EF-4A47-A50D-978BCE42F272}" name="Label" dataDxfId="147"/>
    <tableColumn id="3" xr3:uid="{FD3E8385-F642-495D-9C1B-ECA77D1596F8}" name="Signal " dataDxfId="146"/>
    <tableColumn id="4" xr3:uid="{5495559C-28B3-4AC1-96F9-C8B6DF53F627}" name="IO # S-1000" dataDxfId="145"/>
    <tableColumn id="5" xr3:uid="{D1489571-F98C-42FF-8734-2CED1208D352}" name="IO # C-600" dataDxfId="144"/>
    <tableColumn id="6" xr3:uid="{D87142E3-81B3-4B33-9FB1-6180575D9B46}" name="Type" dataDxfId="143"/>
    <tableColumn id="7" xr3:uid="{B5E52867-5F2C-44A6-B87E-051A7E14839B}" name="Comm type" dataDxfId="142"/>
    <tableColumn id="8" xr3:uid="{23EC2184-F334-4704-9C64-8E7C024DB91F}" name="UNIT" dataDxfId="141"/>
    <tableColumn id="9" xr3:uid="{A2BB5A21-860E-4B57-B103-18EC96C5442F}" name="RANGE" dataDxfId="140"/>
    <tableColumn id="10" xr3:uid="{8C8BD481-6393-4DD1-BE04-940AC3495561}" name="OPTION" dataDxfId="139"/>
    <tableColumn id="11" xr3:uid="{2F140FF7-5218-418D-BAAA-9C9B5F0909AD}" name="IO_type" dataDxfId="138"/>
    <tableColumn id="12" xr3:uid="{99F51D16-11C2-4497-AD75-C65649E4E039}" name="Ladder_type" dataDxfId="137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9327FCB-31A7-4812-91F8-30678BD7D180}" name="AWHP_4P_Global_Output" displayName="AWHP_4P_Global_Output" ref="AA250:AL256" totalsRowShown="0" headerRowDxfId="136" dataDxfId="134" headerRowBorderDxfId="135" tableBorderDxfId="133">
  <autoFilter ref="AA250:AL256" xr:uid="{09327FCB-31A7-4812-91F8-30678BD7D180}"/>
  <tableColumns count="12">
    <tableColumn id="1" xr3:uid="{DB027E53-19D3-414D-AD91-C55A49BF7289}" name="Description" dataDxfId="132"/>
    <tableColumn id="2" xr3:uid="{088A10EE-96FD-4D89-8207-6848F6A29391}" name="Label" dataDxfId="131"/>
    <tableColumn id="3" xr3:uid="{05F99682-4138-4F8D-8C9C-2A128403410C}" name="Signal " dataDxfId="130"/>
    <tableColumn id="4" xr3:uid="{77EC601C-D158-4430-AF6E-371F7C22BD9F}" name="IO # S-1000" dataDxfId="129"/>
    <tableColumn id="5" xr3:uid="{1F700A10-472B-48C0-AA68-7561FB877AE5}" name="IO # C-600" dataDxfId="128"/>
    <tableColumn id="6" xr3:uid="{FBBB3161-4097-4A93-B9DA-B26BA66EAD8B}" name="Type" dataDxfId="127"/>
    <tableColumn id="7" xr3:uid="{68FE02F6-AD50-4457-BDFA-17D4E1ED0B31}" name="Comm type" dataDxfId="126"/>
    <tableColumn id="8" xr3:uid="{D1A79796-AA13-4D98-A775-B3C230668584}" name="UNIT" dataDxfId="125"/>
    <tableColumn id="9" xr3:uid="{071F7C3A-0AF7-407A-B805-4D24D2455297}" name="RANGE" dataDxfId="124"/>
    <tableColumn id="10" xr3:uid="{D8AF738B-9D50-4190-A11F-467D6D05C743}" name="OPTION" dataDxfId="123"/>
    <tableColumn id="11" xr3:uid="{BA4AEF7F-5ADD-4805-89BB-D3E0298D8480}" name="IO_type" dataDxfId="122"/>
    <tableColumn id="12" xr3:uid="{30BFDB0F-0A86-441F-8B93-3784CFA18B71}" name="Ladder_type" dataDxfId="121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31AA459-81BB-486C-90DC-494BE97A1759}" name="AWHP_2P_BMS_Input" displayName="AWHP_2P_BMS_Input" ref="AN182:AY190" totalsRowShown="0" headerRowDxfId="120" headerRowBorderDxfId="119" tableBorderDxfId="118">
  <autoFilter ref="AN182:AY190" xr:uid="{031AA459-81BB-486C-90DC-494BE97A1759}"/>
  <tableColumns count="12">
    <tableColumn id="1" xr3:uid="{85EBDB1E-C9D7-4A65-9DD1-9EEF739A9AD0}" name="Description"/>
    <tableColumn id="2" xr3:uid="{30386244-365C-49AB-AA6C-0F2B396BBF13}" name="Label"/>
    <tableColumn id="3" xr3:uid="{2CA5AF1C-7E28-4266-BCA7-5B9D5C7CB268}" name="Signal "/>
    <tableColumn id="4" xr3:uid="{AC11084A-34BE-4DE1-9D75-3E25D1658ED4}" name="IO # S-1000"/>
    <tableColumn id="5" xr3:uid="{4A329F36-E86F-4C94-9B61-2993146DCD5E}" name="IO # C-600"/>
    <tableColumn id="6" xr3:uid="{921B29F5-5D41-4F85-A0BE-99950D70DD51}" name="Type"/>
    <tableColumn id="7" xr3:uid="{E61691E5-8D65-48C2-81A7-AC3E4A030705}" name="Comm type"/>
    <tableColumn id="8" xr3:uid="{E47DEBC5-D5DF-4320-9C83-8378129D3E4D}" name="UNIT"/>
    <tableColumn id="9" xr3:uid="{6AB9C41B-705F-4839-ADE8-93C5EB63C71B}" name="RANGE"/>
    <tableColumn id="10" xr3:uid="{0A735819-9E42-467F-941B-3B8BFECB75CB}" name="OPTION"/>
    <tableColumn id="11" xr3:uid="{8394F3ED-0E0A-4A7C-BFB4-EE3CB33F9274}" name="IO_type"/>
    <tableColumn id="12" xr3:uid="{4CF6D658-0C78-438E-A69A-D578503F27C7}" name="Ladder_type" dataDxfId="117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9C42877-76FD-4C53-963E-6402833EC77F}" name="AWHP_2P_Circuit_Output" displayName="AWHP_2P_Circuit_Output" ref="AN227:AY245" totalsRowShown="0" headerRowDxfId="116" dataDxfId="114" headerRowBorderDxfId="115" tableBorderDxfId="113">
  <autoFilter ref="AN227:AY245" xr:uid="{D9C42877-76FD-4C53-963E-6402833EC77F}"/>
  <tableColumns count="12">
    <tableColumn id="1" xr3:uid="{0932640E-3961-48E3-8D4A-9F497C537F1A}" name="Description" dataDxfId="112"/>
    <tableColumn id="2" xr3:uid="{153B4B6E-E03F-4B50-B58B-E35FD03F7B29}" name="Label" dataDxfId="111"/>
    <tableColumn id="3" xr3:uid="{1D901E54-FFF2-43C8-8B3D-A8C752B5E34F}" name="Signal " dataDxfId="110"/>
    <tableColumn id="4" xr3:uid="{3F12664F-79BC-4B42-8EF1-61067884B00F}" name="IO # S-1000" dataDxfId="109"/>
    <tableColumn id="5" xr3:uid="{D47FC319-98DA-48E2-A6F1-772A1EDAAD36}" name="IO # C-600" dataDxfId="108"/>
    <tableColumn id="6" xr3:uid="{26FCA81B-2B2E-4778-B546-5B6CEA4C7654}" name="Type" dataDxfId="107"/>
    <tableColumn id="7" xr3:uid="{FC22EA4B-3904-428F-B761-B1B7BFE20F4E}" name="Comm type" dataDxfId="106"/>
    <tableColumn id="8" xr3:uid="{F53A5CAF-E235-48AA-A7C3-FBFBE0FCAF19}" name="UNIT" dataDxfId="105"/>
    <tableColumn id="9" xr3:uid="{D367FC3A-15D7-43C7-A97E-C3ED3F3490E9}" name="RANGE" dataDxfId="104"/>
    <tableColumn id="10" xr3:uid="{6B43F4AD-63DF-4864-9018-479B4B840534}" name="OPTION" dataDxfId="103"/>
    <tableColumn id="11" xr3:uid="{F1CF18E5-2939-41F0-80BF-16DBEADA107B}" name="IO_type" dataDxfId="102"/>
    <tableColumn id="12" xr3:uid="{2ADAC329-8489-4DB0-A500-E04DADE47ECF}" name="Ladder_type" dataDxfId="101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EDCBEEE-99FD-494E-ACC1-6CAF3C19CE96}" name="AWHP_2P_Circuit_Input" displayName="AWHP_2P_Circuit_Input" ref="AN194:AY210" totalsRowShown="0" headerRowDxfId="100" dataDxfId="98" headerRowBorderDxfId="99" tableBorderDxfId="97">
  <autoFilter ref="AN194:AY210" xr:uid="{3EDCBEEE-99FD-494E-ACC1-6CAF3C19CE96}"/>
  <tableColumns count="12">
    <tableColumn id="1" xr3:uid="{B93259AD-2406-4689-977B-95C1A0DE37C5}" name="Description" dataDxfId="96"/>
    <tableColumn id="2" xr3:uid="{0D31A12B-8BB2-4EC3-84CF-E6971483A890}" name="Label" dataDxfId="95"/>
    <tableColumn id="3" xr3:uid="{05873FF0-290A-4251-8A0E-E754ABED5F3B}" name="Signal " dataDxfId="94"/>
    <tableColumn id="4" xr3:uid="{AFEBFB5E-C811-4234-A2D5-9ECEA35BB7FE}" name="IO # S-1000" dataDxfId="93"/>
    <tableColumn id="5" xr3:uid="{92F55E24-23A7-48C4-94E4-4F58FEE4F62A}" name="IO # C-600" dataDxfId="92"/>
    <tableColumn id="6" xr3:uid="{2EA28C63-3B19-4DC6-A774-97ECFF83A1B5}" name="Type" dataDxfId="91"/>
    <tableColumn id="7" xr3:uid="{5B432B60-6A63-42A0-99E7-38C690817862}" name="Comm type" dataDxfId="90"/>
    <tableColumn id="8" xr3:uid="{A21318A3-90A4-474B-815C-81313BD6C93E}" name="UNIT" dataDxfId="89"/>
    <tableColumn id="9" xr3:uid="{D2EA7D41-B2DC-4AD0-9179-74BCE8EC0F4A}" name="RANGE" dataDxfId="88"/>
    <tableColumn id="10" xr3:uid="{3186AE1C-385A-4F3E-8E33-B6E38FAE7671}" name="OPTION" dataDxfId="87"/>
    <tableColumn id="11" xr3:uid="{E00D7404-48D2-45B1-86B4-A704009A92FF}" name="IO_type" dataDxfId="86"/>
    <tableColumn id="12" xr3:uid="{97377377-3AE8-4FA4-9252-3B69A69AFC88}" name="Ladder_type" dataDxfId="85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890BE1F-A5E0-44AF-B9AC-D7A52A444A41}" name="AWHP_2P_Global_Output" displayName="AWHP_2P_Global_Output" ref="AN250:AY251" totalsRowShown="0" headerRowDxfId="84" dataDxfId="82" headerRowBorderDxfId="83" tableBorderDxfId="81">
  <autoFilter ref="AN250:AY251" xr:uid="{D890BE1F-A5E0-44AF-B9AC-D7A52A444A41}"/>
  <tableColumns count="12">
    <tableColumn id="1" xr3:uid="{3985348E-FE78-48AA-BCDE-D3854CCABB89}" name="Description" dataDxfId="80"/>
    <tableColumn id="2" xr3:uid="{2895F51F-4F2B-42DE-87E9-BD495021ACCE}" name="Label" dataDxfId="79"/>
    <tableColumn id="3" xr3:uid="{55FD6210-F717-4366-A617-EC889448A158}" name="Signal " dataDxfId="78"/>
    <tableColumn id="4" xr3:uid="{0C1EB007-2937-4D65-BA57-5F3488436002}" name="IO # S-1000" dataDxfId="77"/>
    <tableColumn id="5" xr3:uid="{BF5413CA-F904-4088-BF8F-2CA9AB1D96C1}" name="IO # C-600" dataDxfId="76"/>
    <tableColumn id="6" xr3:uid="{DF4C747D-3C8D-4E0E-B991-D5AB8F9A4848}" name="Type" dataDxfId="75"/>
    <tableColumn id="7" xr3:uid="{B6B0C600-C341-46D7-9F15-293F63D8B743}" name="Comm type" dataDxfId="74"/>
    <tableColumn id="8" xr3:uid="{CE56C47C-5D61-401F-89C8-5680E12FEA9A}" name="UNIT" dataDxfId="73"/>
    <tableColumn id="9" xr3:uid="{3027B28F-1A86-4784-9439-08FEDB6D7790}" name="RANGE" dataDxfId="72"/>
    <tableColumn id="10" xr3:uid="{DAED88AE-DC85-45A4-A00D-81C487030C31}" name="OPTION" dataDxfId="71"/>
    <tableColumn id="11" xr3:uid="{774D711E-71F4-4988-AA88-86256C9D060E}" name="IO_type" dataDxfId="70"/>
    <tableColumn id="12" xr3:uid="{59446C9C-2499-43F6-B585-E3EBC5FA0BA0}" name="Ladder_type" dataDxfId="69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A098A9C-DE4E-4C48-AF04-F71ECC809FC4}" name="AWHP_2P_Global_Input" displayName="AWHP_2P_Global_Input" ref="AN214:AY222" totalsRowShown="0" headerRowDxfId="68" dataDxfId="66" headerRowBorderDxfId="67" tableBorderDxfId="65">
  <autoFilter ref="AN214:AY222" xr:uid="{3A098A9C-DE4E-4C48-AF04-F71ECC809FC4}"/>
  <tableColumns count="12">
    <tableColumn id="1" xr3:uid="{DF243E22-0377-4FDE-9253-AB854E3ECB2E}" name="Description" dataDxfId="64"/>
    <tableColumn id="2" xr3:uid="{9531EE67-A3A3-4423-81E4-099C4215A9EF}" name="Label" dataDxfId="63"/>
    <tableColumn id="3" xr3:uid="{BAF0910C-F322-43BA-9A44-596AB7CDDEE8}" name="Signal " dataDxfId="62"/>
    <tableColumn id="4" xr3:uid="{A82511CD-CA0E-479A-92E4-719CED86BDA1}" name="IO # S-1000" dataDxfId="61"/>
    <tableColumn id="5" xr3:uid="{3593F5B0-29A5-4940-B208-268C261EEA37}" name="IO # C-600" dataDxfId="60"/>
    <tableColumn id="6" xr3:uid="{115398A5-9222-4FE5-87FE-AC3D494E0A77}" name="Type" dataDxfId="59"/>
    <tableColumn id="7" xr3:uid="{6FF0C5FE-F851-436A-85EF-E970CEDA534C}" name="Comm type" dataDxfId="58"/>
    <tableColumn id="8" xr3:uid="{7A6BA4F6-556D-4C10-8187-3B655662BFD8}" name="UNIT" dataDxfId="57"/>
    <tableColumn id="9" xr3:uid="{60AC93B1-8243-46F8-BA8B-39D7EC925391}" name="RANGE" dataDxfId="56"/>
    <tableColumn id="10" xr3:uid="{201BC797-3C6B-4103-BEBB-3C1E43900922}" name="OPTION" dataDxfId="55"/>
    <tableColumn id="11" xr3:uid="{A37B4577-E0A8-4525-9BF9-530F4C40CBE1}" name="IO_type" dataDxfId="54"/>
    <tableColumn id="12" xr3:uid="{1FA673A5-F833-42BC-B26C-AC5EE6288C18}" name="Ladder_type" dataDxfId="53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80C7866-6FA0-4DFC-8019-01E664EB61C4}" name="AWHP_4P_Global_Input" displayName="AWHP_4P_Global_Input" ref="AA214:AL224" totalsRowShown="0" headerRowDxfId="52" dataDxfId="50" headerRowBorderDxfId="51" tableBorderDxfId="49">
  <autoFilter ref="AA214:AL224" xr:uid="{A80C7866-6FA0-4DFC-8019-01E664EB61C4}"/>
  <tableColumns count="12">
    <tableColumn id="1" xr3:uid="{96A25FE3-3C5E-4250-AD0C-D349EB726422}" name="Description" dataDxfId="48"/>
    <tableColumn id="2" xr3:uid="{E6F92E0A-0A82-4A04-BF93-3B0F5687BB4F}" name="Label" dataDxfId="47"/>
    <tableColumn id="3" xr3:uid="{2F130C75-2173-474C-8936-F8D63E3E9DA0}" name="Signal " dataDxfId="46"/>
    <tableColumn id="4" xr3:uid="{E22264D4-D32B-4A5A-B1E8-1F0980E804EC}" name="IO # S-1000" dataDxfId="45"/>
    <tableColumn id="5" xr3:uid="{99100A41-E6F7-4DA1-BF1E-710063B039F7}" name="IO # C-600" dataDxfId="44"/>
    <tableColumn id="6" xr3:uid="{1854BB72-5F4B-413D-AE32-C850B310B699}" name="Type" dataDxfId="43"/>
    <tableColumn id="7" xr3:uid="{6AEE0BAC-99EB-47F1-809C-1C8CED7E1EA3}" name="Comm type" dataDxfId="42"/>
    <tableColumn id="8" xr3:uid="{6F717797-FEB6-48A1-9307-14D1B15AE7A3}" name="UNIT" dataDxfId="41"/>
    <tableColumn id="9" xr3:uid="{CAE3E1F3-C349-483E-BC03-722DD4303BC6}" name="RANGE" dataDxfId="40"/>
    <tableColumn id="10" xr3:uid="{5B5FCC3C-6511-44F9-823F-91CCB0D617EE}" name="OPTION" dataDxfId="39"/>
    <tableColumn id="11" xr3:uid="{A0B07D72-16E5-4A2B-B54D-3FAF8022356C}" name="IO_type" dataDxfId="38"/>
    <tableColumn id="12" xr3:uid="{69ADE34D-61A5-4A6B-8EFF-B30FBC127DFF}" name="Ladder_type" dataDxfId="37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D352F6A6-04CC-4839-A487-34F55E726D4A}" name="Table31" displayName="Table31" ref="U64:Z74" totalsRowShown="0">
  <autoFilter ref="U64:Z74" xr:uid="{D352F6A6-04CC-4839-A487-34F55E726D4A}"/>
  <tableColumns count="6">
    <tableColumn id="1" xr3:uid="{64029DF7-D019-4002-A969-1F2330EBE661}" name="Application"/>
    <tableColumn id="2" xr3:uid="{040B7D2E-5FCD-424A-AAED-3338231309E8}" name="BMS input table" dataDxfId="36">
      <calculatedColumnFormula>HYPERLINK("#CU_BMS_Input", "CU_BMS_Input")</calculatedColumnFormula>
    </tableColumn>
    <tableColumn id="3" xr3:uid="{6A28D853-39A8-4E50-892F-F29638A4B546}" name="Circuit input table" dataDxfId="35">
      <calculatedColumnFormula>HYPERLINK("#CU_Circuit_input", "CU_Circuit_input")</calculatedColumnFormula>
    </tableColumn>
    <tableColumn id="4" xr3:uid="{52274EE8-4AB2-45B4-800A-0683380C08E6}" name="Global input table" dataDxfId="34"/>
    <tableColumn id="5" xr3:uid="{8D8AF837-F01C-4126-BDD2-E0CD638D0E16}" name="Circuit output table" dataDxfId="33">
      <calculatedColumnFormula>HYPERLINK("#CU_Circuit_output", "CU_Circuit_output")</calculatedColumnFormula>
    </tableColumn>
    <tableColumn id="6" xr3:uid="{6903E2E2-A575-4C6C-A2C5-0A1EC2ADAE65}" name="Global output table" dataDxfId="32">
      <calculatedColumnFormula>HYPERLINK("#CU_Global_output", "CU_Global_Output")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xnnov.com/" TargetMode="External"/><Relationship Id="rId1" Type="http://schemas.openxmlformats.org/officeDocument/2006/relationships/hyperlink" Target="http://www.xnnov.com/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29" Type="http://schemas.openxmlformats.org/officeDocument/2006/relationships/table" Target="../tables/table29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xnnov.com/" TargetMode="External"/><Relationship Id="rId1" Type="http://schemas.openxmlformats.org/officeDocument/2006/relationships/hyperlink" Target="http://www.xnnov.com/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63E5D-ACA9-42E9-97E1-A4DF6EFFB7AB}">
  <sheetPr codeName="Sheet1"/>
  <dimension ref="A1:AC306"/>
  <sheetViews>
    <sheetView zoomScale="145" zoomScaleNormal="145" zoomScaleSheetLayoutView="100" workbookViewId="0">
      <selection activeCell="K8" sqref="K8:L8"/>
    </sheetView>
  </sheetViews>
  <sheetFormatPr baseColWidth="10" defaultColWidth="9.140625" defaultRowHeight="15" x14ac:dyDescent="0.25"/>
  <cols>
    <col min="1" max="1" width="4.42578125" style="122" customWidth="1"/>
    <col min="2" max="2" width="11" style="122" customWidth="1"/>
    <col min="3" max="3" width="0.85546875" style="122" customWidth="1"/>
    <col min="4" max="4" width="6.5703125" style="122" customWidth="1"/>
    <col min="5" max="5" width="0.85546875" style="122" customWidth="1"/>
    <col min="6" max="6" width="11.5703125" style="122" customWidth="1"/>
    <col min="7" max="7" width="0.85546875" style="122" customWidth="1"/>
    <col min="8" max="8" width="11.28515625" style="122" customWidth="1"/>
    <col min="9" max="9" width="0.85546875" style="122" customWidth="1"/>
    <col min="10" max="10" width="11.28515625" style="122" customWidth="1"/>
    <col min="11" max="11" width="0.85546875" style="122" customWidth="1"/>
    <col min="12" max="12" width="11.28515625" style="122" customWidth="1"/>
    <col min="13" max="13" width="0.85546875" style="122" customWidth="1"/>
    <col min="14" max="14" width="11.28515625" style="122" customWidth="1"/>
    <col min="15" max="15" width="0.85546875" style="122" customWidth="1"/>
    <col min="16" max="16" width="11.28515625" style="122" customWidth="1"/>
    <col min="17" max="17" width="8.42578125" style="122" bestFit="1" customWidth="1"/>
    <col min="18" max="38" width="6.85546875" style="122" customWidth="1"/>
    <col min="39" max="16384" width="9.140625" style="122"/>
  </cols>
  <sheetData>
    <row r="1" spans="1:24" ht="37.5" customHeight="1" x14ac:dyDescent="0.35">
      <c r="A1" s="121"/>
      <c r="B1" s="323" t="s">
        <v>0</v>
      </c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</row>
    <row r="2" spans="1:24" x14ac:dyDescent="0.25">
      <c r="A2" s="324" t="s">
        <v>1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</row>
    <row r="3" spans="1:24" ht="3" customHeight="1" x14ac:dyDescent="0.25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</row>
    <row r="4" spans="1:24" ht="14.1" customHeight="1" x14ac:dyDescent="0.25">
      <c r="A4" s="121"/>
      <c r="B4" s="126" t="s">
        <v>2</v>
      </c>
      <c r="C4" s="127"/>
      <c r="D4" s="320"/>
      <c r="E4" s="320"/>
      <c r="F4" s="320"/>
      <c r="G4" s="320"/>
      <c r="H4" s="320"/>
      <c r="I4" s="320"/>
      <c r="J4" s="320"/>
      <c r="K4" s="320"/>
      <c r="L4" s="320"/>
      <c r="M4" s="320"/>
      <c r="N4" s="128" t="s">
        <v>3</v>
      </c>
      <c r="O4" s="381">
        <v>46187</v>
      </c>
      <c r="P4" s="381"/>
      <c r="W4" s="122">
        <v>460</v>
      </c>
      <c r="X4" s="122">
        <v>575</v>
      </c>
    </row>
    <row r="5" spans="1:24" ht="2.1" customHeight="1" x14ac:dyDescent="0.25">
      <c r="A5" s="121"/>
      <c r="B5" s="128"/>
      <c r="C5" s="127"/>
      <c r="D5" s="127"/>
      <c r="E5" s="127"/>
      <c r="F5" s="127"/>
      <c r="G5" s="127"/>
      <c r="H5" s="127"/>
      <c r="I5" s="127"/>
      <c r="J5" s="127"/>
      <c r="K5" s="129"/>
      <c r="L5" s="129"/>
      <c r="M5" s="127"/>
      <c r="N5" s="127"/>
      <c r="O5" s="127"/>
      <c r="P5" s="127"/>
    </row>
    <row r="6" spans="1:24" ht="14.1" customHeight="1" x14ac:dyDescent="0.25">
      <c r="A6" s="121"/>
      <c r="B6" s="126" t="s">
        <v>4</v>
      </c>
      <c r="C6" s="127"/>
      <c r="D6" s="382"/>
      <c r="E6" s="382"/>
      <c r="F6" s="382"/>
      <c r="G6" s="382"/>
      <c r="H6" s="321" t="s">
        <v>5</v>
      </c>
      <c r="I6" s="321"/>
      <c r="J6" s="383"/>
      <c r="K6" s="383"/>
      <c r="L6" s="383"/>
      <c r="M6" s="383"/>
      <c r="N6" s="128" t="s">
        <v>6</v>
      </c>
      <c r="O6" s="244" t="s">
        <v>7</v>
      </c>
      <c r="P6" s="220"/>
      <c r="U6" s="122" t="s">
        <v>8</v>
      </c>
      <c r="W6" s="122">
        <v>78</v>
      </c>
      <c r="X6" s="122">
        <f>W6*W4/X4</f>
        <v>62.4</v>
      </c>
    </row>
    <row r="7" spans="1:24" ht="2.1" customHeight="1" x14ac:dyDescent="0.25">
      <c r="A7" s="121"/>
      <c r="B7" s="128"/>
      <c r="C7" s="127"/>
      <c r="D7" s="173"/>
      <c r="E7" s="173"/>
      <c r="F7" s="173"/>
      <c r="G7" s="173"/>
      <c r="H7" s="173"/>
      <c r="I7" s="127"/>
      <c r="J7" s="127"/>
      <c r="K7" s="129"/>
      <c r="L7" s="129"/>
      <c r="M7" s="127"/>
      <c r="N7" s="127"/>
      <c r="O7" s="127"/>
      <c r="P7" s="127"/>
    </row>
    <row r="8" spans="1:24" ht="12" customHeight="1" x14ac:dyDescent="0.25">
      <c r="A8" s="121"/>
      <c r="B8" s="126" t="s">
        <v>9</v>
      </c>
      <c r="C8" s="127"/>
      <c r="D8" s="320"/>
      <c r="E8" s="320"/>
      <c r="F8" s="320"/>
      <c r="G8" s="320"/>
      <c r="H8" s="320"/>
      <c r="I8" s="320"/>
      <c r="J8" s="126" t="s">
        <v>10</v>
      </c>
      <c r="K8" s="325" t="s">
        <v>11</v>
      </c>
      <c r="L8" s="325"/>
      <c r="M8" s="321" t="str">
        <f>IF(K8="USA","State :",IF(K8="Canada", "Province :",""))</f>
        <v>Province :</v>
      </c>
      <c r="N8" s="321"/>
      <c r="O8" s="322"/>
      <c r="P8" s="322"/>
      <c r="U8" s="122" t="s">
        <v>12</v>
      </c>
      <c r="W8" s="122">
        <f>X6*2.25+X6</f>
        <v>202.8</v>
      </c>
    </row>
    <row r="9" spans="1:24" ht="1.9" customHeight="1" x14ac:dyDescent="0.25">
      <c r="A9" s="121"/>
      <c r="B9" s="126"/>
      <c r="C9" s="127"/>
      <c r="D9" s="173"/>
      <c r="E9" s="173"/>
      <c r="F9" s="173"/>
      <c r="G9" s="173"/>
      <c r="H9" s="173"/>
      <c r="I9" s="173"/>
      <c r="J9" s="126"/>
      <c r="K9" s="231"/>
      <c r="L9" s="231"/>
      <c r="M9" s="126"/>
      <c r="N9" s="126"/>
      <c r="O9" s="232"/>
      <c r="P9" s="232"/>
    </row>
    <row r="10" spans="1:24" ht="12" customHeight="1" x14ac:dyDescent="0.25">
      <c r="A10" s="333" t="s">
        <v>13</v>
      </c>
      <c r="B10" s="333"/>
      <c r="C10" s="127"/>
      <c r="D10" s="382"/>
      <c r="E10" s="382"/>
      <c r="F10" s="382"/>
      <c r="G10" s="382"/>
      <c r="H10" s="321" t="s">
        <v>14</v>
      </c>
      <c r="I10" s="321"/>
      <c r="J10" s="383"/>
      <c r="K10" s="383"/>
      <c r="L10" s="383"/>
      <c r="M10" s="383"/>
      <c r="N10" s="128" t="s">
        <v>15</v>
      </c>
      <c r="O10" s="244"/>
      <c r="P10" s="220"/>
    </row>
    <row r="11" spans="1:24" ht="1.9" customHeight="1" x14ac:dyDescent="0.25">
      <c r="A11" s="121"/>
      <c r="B11" s="124"/>
      <c r="C11" s="123"/>
      <c r="D11" s="174"/>
      <c r="E11" s="174"/>
      <c r="F11" s="174"/>
      <c r="G11" s="174"/>
      <c r="H11" s="123"/>
      <c r="I11" s="123"/>
      <c r="J11" s="123"/>
      <c r="K11" s="123"/>
      <c r="L11" s="123"/>
      <c r="M11" s="123"/>
      <c r="N11" s="123"/>
      <c r="O11" s="123"/>
      <c r="P11" s="123"/>
    </row>
    <row r="12" spans="1:24" ht="12" customHeight="1" x14ac:dyDescent="0.25">
      <c r="A12" s="333" t="s">
        <v>16</v>
      </c>
      <c r="B12" s="333"/>
      <c r="C12" s="123"/>
      <c r="D12" s="246">
        <v>1000</v>
      </c>
      <c r="E12" s="174"/>
      <c r="F12" s="177" t="s">
        <v>17</v>
      </c>
      <c r="G12" s="174"/>
      <c r="H12" s="248">
        <v>200</v>
      </c>
      <c r="I12" s="177"/>
      <c r="J12" s="177" t="s">
        <v>18</v>
      </c>
      <c r="K12" s="174"/>
      <c r="L12" s="248">
        <v>200</v>
      </c>
      <c r="M12" s="123"/>
      <c r="N12" s="123"/>
      <c r="O12" s="123"/>
      <c r="P12" s="123"/>
    </row>
    <row r="13" spans="1:24" ht="2.1" customHeight="1" x14ac:dyDescent="0.25">
      <c r="A13" s="121"/>
      <c r="B13" s="124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</row>
    <row r="14" spans="1:24" x14ac:dyDescent="0.25">
      <c r="A14" s="324" t="s">
        <v>19</v>
      </c>
      <c r="B14" s="324"/>
      <c r="C14" s="324"/>
      <c r="D14" s="324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</row>
    <row r="15" spans="1:24" ht="2.1" customHeight="1" x14ac:dyDescent="0.25">
      <c r="A15" s="121"/>
      <c r="B15" s="124"/>
      <c r="C15" s="123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</row>
    <row r="16" spans="1:24" ht="12" customHeight="1" x14ac:dyDescent="0.25">
      <c r="A16" s="333" t="s">
        <v>20</v>
      </c>
      <c r="B16" s="333"/>
      <c r="C16" s="333"/>
      <c r="D16" s="333"/>
      <c r="E16" s="333"/>
      <c r="F16" s="334" t="s">
        <v>21</v>
      </c>
      <c r="G16" s="334"/>
      <c r="H16" s="334"/>
      <c r="I16" s="328" t="s">
        <v>22</v>
      </c>
      <c r="J16" s="328"/>
      <c r="K16" s="185"/>
      <c r="L16" s="384">
        <v>70</v>
      </c>
      <c r="M16" s="384"/>
      <c r="N16" s="238" t="s">
        <v>22</v>
      </c>
      <c r="O16" s="384">
        <v>80</v>
      </c>
      <c r="P16" s="384"/>
      <c r="U16" s="122" t="s">
        <v>23</v>
      </c>
    </row>
    <row r="17" spans="1:22" ht="1.9" customHeight="1" x14ac:dyDescent="0.25">
      <c r="A17" s="177"/>
      <c r="B17" s="177"/>
      <c r="C17" s="177"/>
      <c r="D17" s="177"/>
      <c r="E17" s="177"/>
      <c r="F17" s="200"/>
      <c r="G17" s="200"/>
      <c r="H17" s="200"/>
      <c r="I17" s="165"/>
      <c r="J17" s="165"/>
      <c r="K17" s="165"/>
      <c r="L17" s="165"/>
      <c r="M17" s="165"/>
      <c r="N17" s="176"/>
      <c r="O17" s="176"/>
      <c r="P17" s="176"/>
    </row>
    <row r="18" spans="1:22" ht="12" customHeight="1" x14ac:dyDescent="0.25">
      <c r="A18" s="328" t="s">
        <v>24</v>
      </c>
      <c r="B18" s="328"/>
      <c r="C18" s="328"/>
      <c r="D18" s="328"/>
      <c r="E18" s="328"/>
      <c r="F18" s="379" t="s">
        <v>25</v>
      </c>
      <c r="G18" s="379"/>
      <c r="H18" s="379"/>
      <c r="I18" s="328" t="s">
        <v>26</v>
      </c>
      <c r="J18" s="328"/>
      <c r="K18" s="185"/>
      <c r="L18" s="237" t="s">
        <v>27</v>
      </c>
      <c r="M18" s="185"/>
      <c r="N18" s="238" t="s">
        <v>28</v>
      </c>
      <c r="O18" s="378">
        <v>0.5</v>
      </c>
      <c r="P18" s="378"/>
    </row>
    <row r="19" spans="1:22" ht="1.9" customHeight="1" x14ac:dyDescent="0.25">
      <c r="A19" s="165"/>
      <c r="B19" s="165"/>
      <c r="C19" s="165"/>
      <c r="D19" s="165"/>
      <c r="E19" s="165"/>
      <c r="F19" s="176"/>
      <c r="G19" s="176"/>
      <c r="H19" s="176"/>
      <c r="I19" s="165"/>
      <c r="J19" s="165"/>
      <c r="K19" s="165"/>
      <c r="L19" s="165"/>
      <c r="M19" s="165"/>
      <c r="N19" s="176"/>
      <c r="O19" s="176"/>
      <c r="P19" s="176"/>
    </row>
    <row r="20" spans="1:22" ht="12" customHeight="1" x14ac:dyDescent="0.25">
      <c r="A20" s="328" t="s">
        <v>29</v>
      </c>
      <c r="B20" s="328"/>
      <c r="C20" s="328"/>
      <c r="D20" s="328"/>
      <c r="E20" s="328"/>
      <c r="F20" s="375" t="s">
        <v>30</v>
      </c>
      <c r="G20" s="375"/>
      <c r="H20" s="375"/>
      <c r="I20" s="376" t="s">
        <v>31</v>
      </c>
      <c r="J20" s="376"/>
      <c r="K20" s="376"/>
      <c r="L20" s="377"/>
      <c r="M20" s="377"/>
      <c r="N20" s="238" t="s">
        <v>32</v>
      </c>
      <c r="O20" s="178"/>
      <c r="P20" s="178"/>
    </row>
    <row r="21" spans="1:22" ht="1.9" customHeight="1" x14ac:dyDescent="0.25">
      <c r="A21" s="165"/>
      <c r="B21" s="165"/>
      <c r="C21" s="165"/>
      <c r="D21" s="165"/>
      <c r="E21" s="165"/>
      <c r="F21" s="176"/>
      <c r="G21" s="176"/>
      <c r="H21" s="176"/>
      <c r="I21" s="165"/>
      <c r="J21" s="165"/>
      <c r="K21" s="165"/>
      <c r="L21" s="165"/>
      <c r="M21" s="165"/>
      <c r="N21" s="176"/>
      <c r="O21" s="176"/>
      <c r="P21" s="176"/>
    </row>
    <row r="22" spans="1:22" ht="12" customHeight="1" x14ac:dyDescent="0.25">
      <c r="A22" s="328" t="s">
        <v>33</v>
      </c>
      <c r="B22" s="328"/>
      <c r="C22" s="328"/>
      <c r="D22" s="328"/>
      <c r="E22" s="328"/>
      <c r="F22" s="375" t="s">
        <v>34</v>
      </c>
      <c r="G22" s="375"/>
      <c r="H22" s="375"/>
      <c r="I22" s="376" t="s">
        <v>31</v>
      </c>
      <c r="J22" s="376"/>
      <c r="K22" s="376"/>
      <c r="L22" s="377"/>
      <c r="M22" s="377"/>
      <c r="N22" s="238" t="s">
        <v>32</v>
      </c>
      <c r="O22" s="178"/>
      <c r="P22" s="178"/>
      <c r="T22" s="319" t="s">
        <v>35</v>
      </c>
      <c r="U22" s="319"/>
      <c r="V22" s="319"/>
    </row>
    <row r="23" spans="1:22" ht="1.9" customHeight="1" x14ac:dyDescent="0.25">
      <c r="A23" s="121"/>
      <c r="B23" s="121"/>
      <c r="C23" s="121"/>
      <c r="D23" s="121"/>
      <c r="E23" s="121"/>
      <c r="F23" s="121"/>
      <c r="G23" s="121"/>
      <c r="H23" s="121"/>
      <c r="I23" s="123"/>
      <c r="J23" s="123"/>
      <c r="K23" s="121"/>
      <c r="L23" s="121"/>
      <c r="M23" s="121"/>
      <c r="N23" s="121"/>
      <c r="O23" s="121"/>
      <c r="P23" s="121"/>
    </row>
    <row r="24" spans="1:22" ht="12" customHeight="1" x14ac:dyDescent="0.25">
      <c r="A24" s="328" t="s">
        <v>36</v>
      </c>
      <c r="B24" s="328"/>
      <c r="C24" s="328"/>
      <c r="D24" s="328"/>
      <c r="E24" s="328"/>
      <c r="F24" s="375" t="s">
        <v>34</v>
      </c>
      <c r="G24" s="375"/>
      <c r="H24" s="375"/>
      <c r="I24" s="376" t="s">
        <v>31</v>
      </c>
      <c r="J24" s="376"/>
      <c r="K24" s="376"/>
      <c r="L24" s="377"/>
      <c r="M24" s="377"/>
      <c r="N24" s="238" t="s">
        <v>32</v>
      </c>
      <c r="O24" s="178"/>
      <c r="P24" s="178"/>
    </row>
    <row r="25" spans="1:22" ht="1.9" customHeight="1" x14ac:dyDescent="0.25">
      <c r="A25" s="165"/>
      <c r="B25" s="165"/>
      <c r="C25" s="165"/>
      <c r="D25" s="165"/>
      <c r="E25" s="165"/>
      <c r="F25" s="176"/>
      <c r="G25" s="176"/>
      <c r="H25" s="176"/>
      <c r="I25" s="165"/>
      <c r="J25" s="165"/>
      <c r="K25" s="165"/>
      <c r="L25" s="165"/>
      <c r="M25" s="165"/>
      <c r="N25" s="176"/>
      <c r="O25" s="176"/>
      <c r="P25" s="176"/>
    </row>
    <row r="26" spans="1:22" ht="12" customHeight="1" x14ac:dyDescent="0.25">
      <c r="A26" s="328" t="s">
        <v>37</v>
      </c>
      <c r="B26" s="328"/>
      <c r="C26" s="328"/>
      <c r="D26" s="328"/>
      <c r="E26" s="328"/>
      <c r="F26" s="375"/>
      <c r="G26" s="375"/>
      <c r="H26" s="375"/>
      <c r="I26" s="376" t="s">
        <v>38</v>
      </c>
      <c r="J26" s="376"/>
      <c r="K26" s="376"/>
      <c r="L26" s="185"/>
      <c r="M26" s="185"/>
      <c r="N26" s="238" t="s">
        <v>39</v>
      </c>
      <c r="O26" s="178"/>
      <c r="P26" s="178"/>
    </row>
    <row r="27" spans="1:22" ht="1.9" customHeight="1" x14ac:dyDescent="0.25">
      <c r="A27" s="121"/>
      <c r="B27" s="121"/>
      <c r="C27" s="121"/>
      <c r="D27" s="121"/>
      <c r="E27" s="121"/>
      <c r="F27" s="121"/>
      <c r="G27" s="121"/>
      <c r="H27" s="121"/>
      <c r="I27" s="123"/>
      <c r="J27" s="123"/>
      <c r="K27" s="121"/>
      <c r="L27" s="121"/>
      <c r="M27" s="121"/>
      <c r="N27" s="121"/>
      <c r="O27" s="121"/>
      <c r="P27" s="121"/>
    </row>
    <row r="28" spans="1:22" ht="12" customHeight="1" x14ac:dyDescent="0.25">
      <c r="A28" s="328" t="s">
        <v>40</v>
      </c>
      <c r="B28" s="328"/>
      <c r="C28" s="328"/>
      <c r="D28" s="328"/>
      <c r="E28" s="328"/>
      <c r="F28" s="332"/>
      <c r="G28" s="332"/>
      <c r="H28" s="332"/>
      <c r="I28" s="376" t="s">
        <v>41</v>
      </c>
      <c r="J28" s="376"/>
      <c r="K28" s="376"/>
      <c r="L28" s="121"/>
      <c r="M28" s="380"/>
      <c r="N28" s="380"/>
      <c r="O28" s="121"/>
      <c r="P28" s="121"/>
    </row>
    <row r="29" spans="1:22" ht="1.9" customHeight="1" x14ac:dyDescent="0.25">
      <c r="A29" s="165"/>
      <c r="B29" s="165"/>
      <c r="C29" s="165"/>
      <c r="D29" s="165"/>
      <c r="E29" s="165"/>
      <c r="F29" s="219"/>
      <c r="G29" s="219"/>
      <c r="H29" s="219"/>
      <c r="I29" s="243"/>
      <c r="J29" s="243"/>
      <c r="K29" s="243"/>
      <c r="L29" s="121"/>
      <c r="M29" s="121"/>
      <c r="N29" s="121"/>
      <c r="O29" s="121"/>
      <c r="P29" s="121"/>
    </row>
    <row r="30" spans="1:22" ht="12" customHeight="1" x14ac:dyDescent="0.25">
      <c r="A30" s="328" t="s">
        <v>42</v>
      </c>
      <c r="B30" s="328"/>
      <c r="C30" s="328"/>
      <c r="D30" s="328"/>
      <c r="E30" s="328"/>
      <c r="F30" s="332"/>
      <c r="G30" s="332"/>
      <c r="H30" s="332"/>
      <c r="I30" s="380" t="s">
        <v>43</v>
      </c>
      <c r="J30" s="380"/>
      <c r="K30" s="121"/>
      <c r="L30" s="121"/>
      <c r="M30" s="380"/>
      <c r="N30" s="380"/>
      <c r="O30" s="121"/>
      <c r="P30" s="121"/>
    </row>
    <row r="31" spans="1:22" ht="1.9" customHeight="1" x14ac:dyDescent="0.25">
      <c r="A31" s="165"/>
      <c r="B31" s="165"/>
      <c r="C31" s="165"/>
      <c r="D31" s="165"/>
      <c r="E31" s="165"/>
      <c r="F31" s="219"/>
      <c r="G31" s="219"/>
      <c r="H31" s="219"/>
      <c r="I31" s="376"/>
      <c r="J31" s="376"/>
      <c r="K31" s="376"/>
      <c r="L31" s="121"/>
      <c r="M31" s="380"/>
      <c r="N31" s="380"/>
      <c r="O31" s="121"/>
      <c r="P31" s="121"/>
    </row>
    <row r="32" spans="1:22" ht="12" customHeight="1" x14ac:dyDescent="0.25">
      <c r="A32" s="328" t="s">
        <v>44</v>
      </c>
      <c r="B32" s="328"/>
      <c r="C32" s="328"/>
      <c r="D32" s="328"/>
      <c r="E32" s="328"/>
      <c r="F32" s="332"/>
      <c r="G32" s="332"/>
      <c r="H32" s="332"/>
      <c r="I32" s="376" t="s">
        <v>45</v>
      </c>
      <c r="J32" s="376"/>
      <c r="K32" s="376"/>
      <c r="L32" s="121"/>
      <c r="M32" s="380" t="s">
        <v>46</v>
      </c>
      <c r="N32" s="380"/>
      <c r="O32" s="121"/>
      <c r="P32" s="121"/>
    </row>
    <row r="33" spans="1:29" ht="1.9" customHeight="1" x14ac:dyDescent="0.25">
      <c r="A33" s="165"/>
      <c r="B33" s="165"/>
      <c r="C33" s="165"/>
      <c r="D33" s="165"/>
      <c r="E33" s="165"/>
      <c r="F33" s="219"/>
      <c r="G33" s="219"/>
      <c r="H33" s="219"/>
      <c r="I33" s="243"/>
      <c r="J33" s="243"/>
      <c r="K33" s="243"/>
      <c r="L33" s="121"/>
      <c r="M33" s="121"/>
      <c r="N33" s="121"/>
      <c r="O33" s="121"/>
      <c r="P33" s="121"/>
    </row>
    <row r="34" spans="1:29" ht="12" hidden="1" customHeight="1" x14ac:dyDescent="0.25">
      <c r="A34" s="165"/>
      <c r="B34" s="165"/>
      <c r="C34" s="165"/>
      <c r="D34" s="165"/>
      <c r="E34" s="165"/>
      <c r="F34" s="219"/>
      <c r="G34" s="219"/>
      <c r="H34" s="219"/>
      <c r="I34" s="243"/>
      <c r="J34" s="243"/>
      <c r="K34" s="243"/>
      <c r="L34" s="121"/>
      <c r="M34" s="121"/>
      <c r="N34" s="121"/>
      <c r="O34" s="121"/>
      <c r="P34" s="121"/>
    </row>
    <row r="35" spans="1:29" ht="1.9" customHeight="1" x14ac:dyDescent="0.25">
      <c r="A35" s="165"/>
      <c r="B35" s="165"/>
      <c r="C35" s="165"/>
      <c r="D35" s="165"/>
      <c r="E35" s="165"/>
      <c r="F35" s="219"/>
      <c r="G35" s="219"/>
      <c r="H35" s="219"/>
      <c r="I35" s="123"/>
      <c r="J35" s="123"/>
      <c r="K35" s="121"/>
      <c r="L35" s="121"/>
      <c r="M35" s="121"/>
      <c r="N35" s="121"/>
      <c r="O35" s="121"/>
      <c r="P35" s="121"/>
    </row>
    <row r="36" spans="1:29" x14ac:dyDescent="0.25">
      <c r="A36" s="324" t="s">
        <v>47</v>
      </c>
      <c r="B36" s="324"/>
      <c r="C36" s="324"/>
      <c r="D36" s="324"/>
      <c r="E36" s="324"/>
      <c r="F36" s="324"/>
      <c r="G36" s="324"/>
      <c r="H36" s="324"/>
      <c r="I36" s="324"/>
      <c r="J36" s="324"/>
      <c r="K36" s="324"/>
      <c r="L36" s="324"/>
      <c r="M36" s="324"/>
      <c r="N36" s="324"/>
      <c r="O36" s="324"/>
      <c r="P36" s="324"/>
    </row>
    <row r="37" spans="1:29" x14ac:dyDescent="0.25">
      <c r="A37" s="385"/>
      <c r="B37" s="385"/>
      <c r="C37" s="385"/>
      <c r="D37" s="385"/>
      <c r="E37" s="249"/>
      <c r="F37" s="249" t="s">
        <v>48</v>
      </c>
      <c r="G37" s="249"/>
      <c r="H37" s="249" t="s">
        <v>49</v>
      </c>
      <c r="I37" s="249"/>
      <c r="J37" s="249"/>
      <c r="K37" s="249"/>
      <c r="L37" s="249"/>
      <c r="M37" s="249"/>
      <c r="N37" s="249"/>
      <c r="O37" s="249"/>
      <c r="P37" s="249"/>
    </row>
    <row r="38" spans="1:29" x14ac:dyDescent="0.25">
      <c r="A38" s="385" t="s">
        <v>50</v>
      </c>
      <c r="B38" s="385"/>
      <c r="C38" s="385"/>
      <c r="D38" s="385"/>
      <c r="E38" s="249"/>
      <c r="F38" s="250" t="str">
        <f>INDEX(CondUnitDB[],MATCH(Selection!$O$16,CondUnitDB[Nominal Capacity],0),8)</f>
        <v>CSV4M50</v>
      </c>
      <c r="G38" s="250"/>
      <c r="H38" s="250" t="str">
        <f>INDEX(CondUnitDB[],MATCH(Selection!$O$16,CondUnitDB[Nominal Capacity],0),9)</f>
        <v>CSV4M35</v>
      </c>
      <c r="I38" s="250"/>
      <c r="J38" s="250"/>
      <c r="K38" s="250"/>
      <c r="L38" s="250"/>
      <c r="M38" s="250"/>
      <c r="N38" s="250"/>
      <c r="O38" s="250"/>
      <c r="P38" s="250"/>
      <c r="R38" s="122" t="str">
        <f>LEFT(F18,3)</f>
        <v>575</v>
      </c>
    </row>
    <row r="39" spans="1:29" x14ac:dyDescent="0.25">
      <c r="A39" s="385" t="s">
        <v>41</v>
      </c>
      <c r="B39" s="385"/>
      <c r="C39" s="385"/>
      <c r="D39" s="385"/>
      <c r="E39" s="249"/>
      <c r="F39" s="250">
        <f>COUNTIF(Tables!$H$106:$M$106,Selection!F38)</f>
        <v>0</v>
      </c>
      <c r="G39" s="250">
        <f>COUNTIF(Tables!$H$106:$M$106,Selection!G38)</f>
        <v>5</v>
      </c>
      <c r="H39" s="250">
        <f>COUNTIF(Tables!$H$106:$M$106,Selection!H38)</f>
        <v>1</v>
      </c>
      <c r="I39" s="250">
        <f>COUNTIF(Tables!$H$106:$M$106,Selection!I38)</f>
        <v>5</v>
      </c>
      <c r="J39" s="250"/>
      <c r="K39" s="250"/>
      <c r="L39" s="250"/>
      <c r="M39" s="250"/>
      <c r="N39" s="250"/>
      <c r="O39" s="250"/>
      <c r="P39" s="250"/>
    </row>
    <row r="40" spans="1:29" x14ac:dyDescent="0.25">
      <c r="A40" s="385" t="s">
        <v>51</v>
      </c>
      <c r="B40" s="385"/>
      <c r="C40" s="385"/>
      <c r="D40" s="385"/>
      <c r="E40" s="249"/>
      <c r="F40" s="250" t="str" cm="1">
        <f t="array" ref="F40">INDEX(SkidDB[],MATCH(Selection!$F$38,SkidDB[Compressor Skid Model Number],0),IF(LEFT($F$18,3)="208",9,IF(LEFT($F$18,3)="460",10,IF(LEFT($F$18,3)="575",11,"ERR"))))</f>
        <v>ARK87FAEMT</v>
      </c>
      <c r="G40" s="250" t="e" cm="1">
        <f t="array" ref="G40">INDEX(SkidDB[],MATCH(Selection!$F$38,SkidDB[Compressor 1 Qty],0),IF(LEFT($F$18,3)="208",9,IF(LEFT($F$18,3)="460",10,IF(LEFT($F$18,3)="575",11,"ERR"))))</f>
        <v>#N/A</v>
      </c>
      <c r="H40" s="250" t="str" cm="1">
        <f t="array" ref="H40">INDEX(SkidDB[],MATCH(Selection!$H$38,SkidDB[Compressor Skid Model Number],0),IF(LEFT($F$18,3)="208",9,IF(LEFT($F$18,3)="460",10,IF(LEFT($F$18,3)="575",11,"ERR"))))</f>
        <v>ARK87FAEMT</v>
      </c>
      <c r="I40" s="250"/>
      <c r="J40" s="250"/>
      <c r="K40" s="250"/>
      <c r="L40" s="250"/>
      <c r="M40" s="250"/>
      <c r="N40" s="250"/>
      <c r="O40" s="250"/>
      <c r="P40" s="250"/>
      <c r="Q40" s="122" t="e" cm="1">
        <f t="array" ref="Q40">cap(8746,120,45,120,120,15)</f>
        <v>#VALUE!</v>
      </c>
    </row>
    <row r="41" spans="1:29" x14ac:dyDescent="0.25">
      <c r="A41" s="385" t="s">
        <v>52</v>
      </c>
      <c r="B41" s="385"/>
      <c r="C41" s="385"/>
      <c r="D41" s="385"/>
      <c r="E41" s="249"/>
      <c r="F41" s="250">
        <f>INDEX(SkidDB[],MATCH(Selection!$F$38,SkidDB[Compressor Skid Model Number],0),6)</f>
        <v>3</v>
      </c>
      <c r="G41" s="250" t="e">
        <f>INDEX(SkidDB[],MATCH(Selection!$F$38,SkidDB[Compressor 1 Qty],0),6)</f>
        <v>#N/A</v>
      </c>
      <c r="H41" s="250">
        <f>INDEX(SkidDB[],MATCH(Selection!$H$38,SkidDB[Compressor Skid Model Number],0),6)</f>
        <v>2</v>
      </c>
      <c r="I41" s="250"/>
      <c r="J41" s="250"/>
      <c r="K41" s="250"/>
      <c r="L41" s="250"/>
      <c r="M41" s="250"/>
      <c r="N41" s="250"/>
      <c r="O41" s="250"/>
      <c r="P41" s="250"/>
    </row>
    <row r="42" spans="1:29" x14ac:dyDescent="0.25">
      <c r="A42" s="385" t="s">
        <v>53</v>
      </c>
      <c r="B42" s="385"/>
      <c r="C42" s="385"/>
      <c r="D42" s="385"/>
      <c r="E42" s="249"/>
      <c r="F42" s="250">
        <f>INDEX(SkidDB[],MATCH(Selection!$F$38,SkidDB[Compressor Skid Model Number],0),19)</f>
        <v>0</v>
      </c>
      <c r="G42" s="250"/>
      <c r="H42" s="250" t="str">
        <f>INDEX(SkidDB[],MATCH(Selection!$H$38,SkidDB[Compressor Skid Model Number],0),19)</f>
        <v>DFX400x130</v>
      </c>
      <c r="I42" s="250"/>
      <c r="J42" s="250"/>
      <c r="K42" s="250"/>
      <c r="L42" s="250"/>
      <c r="M42" s="250"/>
      <c r="N42" s="250"/>
      <c r="O42" s="250"/>
      <c r="P42" s="250"/>
    </row>
    <row r="43" spans="1:29" x14ac:dyDescent="0.25">
      <c r="A43" s="385" t="s">
        <v>54</v>
      </c>
      <c r="B43" s="385"/>
      <c r="C43" s="385"/>
      <c r="D43" s="385"/>
      <c r="E43" s="249"/>
      <c r="F43" s="250">
        <f>F39*2</f>
        <v>0</v>
      </c>
      <c r="G43" s="250"/>
      <c r="H43" s="250">
        <f t="shared" ref="H43" si="0">H39*2</f>
        <v>2</v>
      </c>
      <c r="I43" s="250"/>
      <c r="J43" s="250"/>
      <c r="K43" s="250"/>
      <c r="L43" s="250"/>
      <c r="M43" s="250"/>
      <c r="N43" s="250"/>
      <c r="O43" s="250"/>
      <c r="P43" s="250"/>
    </row>
    <row r="44" spans="1:29" x14ac:dyDescent="0.25">
      <c r="A44" s="385" t="s">
        <v>55</v>
      </c>
      <c r="B44" s="385"/>
      <c r="C44" s="385"/>
      <c r="D44" s="385"/>
      <c r="E44" s="249"/>
      <c r="F44" s="250">
        <f>INDEX(SkidDB[],MATCH(Selection!$F$38,SkidDB[Compressor Skid Model Number],0),22)</f>
        <v>3</v>
      </c>
      <c r="G44" s="250"/>
      <c r="H44" s="250">
        <f>INDEX(SkidDB[],MATCH(Selection!$H$38,SkidDB[Compressor Skid Model Number],0),22)</f>
        <v>2</v>
      </c>
      <c r="I44" s="250"/>
      <c r="J44" s="250"/>
      <c r="K44" s="250"/>
      <c r="L44" s="250"/>
      <c r="M44" s="250"/>
      <c r="N44" s="250"/>
      <c r="O44" s="250"/>
      <c r="P44" s="250"/>
    </row>
    <row r="45" spans="1:29" x14ac:dyDescent="0.25">
      <c r="A45" s="385" t="s">
        <v>56</v>
      </c>
      <c r="B45" s="385"/>
      <c r="C45" s="385"/>
      <c r="D45" s="385"/>
      <c r="E45" s="249"/>
      <c r="F45" s="250">
        <f>F39*1</f>
        <v>0</v>
      </c>
      <c r="G45" s="250"/>
      <c r="H45" s="250">
        <f t="shared" ref="H45" si="1">H39*1</f>
        <v>1</v>
      </c>
      <c r="I45" s="250"/>
      <c r="J45" s="250"/>
      <c r="K45" s="250"/>
      <c r="L45" s="250"/>
      <c r="M45" s="250"/>
      <c r="N45" s="250"/>
      <c r="O45" s="250"/>
      <c r="P45" s="250"/>
      <c r="V45" s="122">
        <v>790790</v>
      </c>
      <c r="W45" s="122">
        <v>95</v>
      </c>
      <c r="X45" s="122">
        <v>39000</v>
      </c>
      <c r="Y45" s="122">
        <v>177</v>
      </c>
      <c r="Z45" s="122">
        <v>10</v>
      </c>
      <c r="AA45" s="122">
        <v>117</v>
      </c>
      <c r="AB45" s="122" cm="1">
        <f t="array" ref="AB45">CONDT("AHP55",V45,W45,X45,Y45,Z45)</f>
        <v>116.90306970700382</v>
      </c>
      <c r="AC45" s="254">
        <f>AB45-AA45</f>
        <v>-9.6930292996177059E-2</v>
      </c>
    </row>
    <row r="46" spans="1:29" x14ac:dyDescent="0.25">
      <c r="A46" s="385"/>
      <c r="B46" s="385"/>
      <c r="C46" s="385"/>
      <c r="D46" s="385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V46" s="122">
        <v>723910</v>
      </c>
      <c r="W46" s="122">
        <v>95</v>
      </c>
      <c r="X46" s="122">
        <v>39000</v>
      </c>
      <c r="Y46" s="122">
        <v>185</v>
      </c>
      <c r="Z46" s="122">
        <v>10</v>
      </c>
      <c r="AA46" s="122">
        <v>115</v>
      </c>
      <c r="AB46" s="122" cm="1">
        <f t="array" ref="AB46">CONDT("AHP55",V46,W46,X46,Y46,Z46)</f>
        <v>114.76111475513429</v>
      </c>
      <c r="AC46" s="254">
        <f t="shared" ref="AC46:AC66" si="2">AB46-AA46</f>
        <v>-0.23888524486571328</v>
      </c>
    </row>
    <row r="47" spans="1:29" x14ac:dyDescent="0.25">
      <c r="A47" s="249"/>
      <c r="B47" s="249"/>
      <c r="C47" s="249"/>
      <c r="D47" s="249"/>
      <c r="E47" s="249"/>
      <c r="F47" s="249"/>
      <c r="G47" s="249"/>
      <c r="H47" s="249"/>
      <c r="I47" s="249"/>
      <c r="J47" s="249"/>
      <c r="K47" s="249"/>
      <c r="L47" s="249"/>
      <c r="M47" s="249"/>
      <c r="N47" s="249"/>
      <c r="O47" s="249"/>
      <c r="P47" s="249"/>
      <c r="V47" s="122">
        <v>513070</v>
      </c>
      <c r="W47" s="122">
        <v>95</v>
      </c>
      <c r="X47" s="122">
        <v>25000</v>
      </c>
      <c r="Y47" s="122">
        <v>185</v>
      </c>
      <c r="Z47" s="122">
        <v>10</v>
      </c>
      <c r="AA47" s="122">
        <v>115</v>
      </c>
      <c r="AB47" s="122" cm="1">
        <f t="array" ref="AB47">CONDT("AHP55",V47,W47,X47,Y47,Z47)</f>
        <v>114.91405769158106</v>
      </c>
      <c r="AC47" s="254">
        <f t="shared" si="2"/>
        <v>-8.5942308418935909E-2</v>
      </c>
    </row>
    <row r="48" spans="1:29" x14ac:dyDescent="0.25">
      <c r="A48" s="249"/>
      <c r="B48" s="249"/>
      <c r="C48" s="249"/>
      <c r="D48" s="249"/>
      <c r="E48" s="249"/>
      <c r="F48" s="249"/>
      <c r="G48" s="249"/>
      <c r="H48" s="249"/>
      <c r="I48" s="249"/>
      <c r="J48" s="249"/>
      <c r="K48" s="249"/>
      <c r="L48" s="249"/>
      <c r="M48" s="249"/>
      <c r="N48" s="249"/>
      <c r="O48" s="249"/>
      <c r="P48" s="249"/>
      <c r="V48" s="122">
        <v>338380</v>
      </c>
      <c r="W48" s="122">
        <v>95</v>
      </c>
      <c r="X48" s="122">
        <v>15000</v>
      </c>
      <c r="Y48" s="122">
        <v>185</v>
      </c>
      <c r="Z48" s="122">
        <v>10</v>
      </c>
      <c r="AA48" s="122">
        <v>115</v>
      </c>
      <c r="AB48" s="122" cm="1">
        <f t="array" ref="AB48">CONDT("AHP55",V48,W48,X48,Y48,Z48)</f>
        <v>114.72090641876193</v>
      </c>
      <c r="AC48" s="254">
        <f t="shared" si="2"/>
        <v>-0.27909358123807237</v>
      </c>
    </row>
    <row r="49" spans="1:29" x14ac:dyDescent="0.25">
      <c r="A49" s="249"/>
      <c r="B49" s="249"/>
      <c r="C49" s="249"/>
      <c r="D49" s="249"/>
      <c r="E49" s="249"/>
      <c r="F49" s="249"/>
      <c r="G49" s="249"/>
      <c r="H49" s="249"/>
      <c r="I49" s="249"/>
      <c r="J49" s="249"/>
      <c r="K49" s="249"/>
      <c r="L49" s="249"/>
      <c r="M49" s="249"/>
      <c r="N49" s="249"/>
      <c r="O49" s="249"/>
      <c r="P49" s="249"/>
      <c r="V49" s="122">
        <v>737820</v>
      </c>
      <c r="W49" s="122">
        <v>95</v>
      </c>
      <c r="X49" s="122">
        <v>40000</v>
      </c>
      <c r="Y49" s="122">
        <v>185</v>
      </c>
      <c r="Z49" s="122">
        <v>10</v>
      </c>
      <c r="AA49" s="122">
        <v>115</v>
      </c>
      <c r="AB49" s="122" cm="1">
        <f t="array" ref="AB49">CONDT("AHP55",V49,W49,X49,Y49,Z49)</f>
        <v>114.74242079146347</v>
      </c>
      <c r="AC49" s="254">
        <f t="shared" si="2"/>
        <v>-0.25757920853652649</v>
      </c>
    </row>
    <row r="50" spans="1:29" x14ac:dyDescent="0.25">
      <c r="A50" s="249"/>
      <c r="B50" s="249"/>
      <c r="C50" s="249"/>
      <c r="D50" s="249"/>
      <c r="E50" s="249"/>
      <c r="F50" s="249"/>
      <c r="G50" s="249"/>
      <c r="H50" s="249"/>
      <c r="I50" s="249"/>
      <c r="J50" s="249"/>
      <c r="K50" s="249"/>
      <c r="L50" s="249"/>
      <c r="M50" s="249"/>
      <c r="N50" s="249"/>
      <c r="O50" s="249"/>
      <c r="P50" s="249"/>
      <c r="V50" s="122">
        <v>1140690</v>
      </c>
      <c r="W50" s="122">
        <v>85</v>
      </c>
      <c r="X50" s="122">
        <v>39000</v>
      </c>
      <c r="Y50" s="122">
        <v>185</v>
      </c>
      <c r="Z50" s="122">
        <v>10</v>
      </c>
      <c r="AA50" s="122">
        <v>115</v>
      </c>
      <c r="AB50" s="122" cm="1">
        <f t="array" ref="AB50">CONDT("AHP55",V50,W50,X50,Y50,Z50)</f>
        <v>115.29806823289709</v>
      </c>
      <c r="AC50" s="254">
        <f t="shared" si="2"/>
        <v>0.29806823289709428</v>
      </c>
    </row>
    <row r="51" spans="1:29" x14ac:dyDescent="0.25">
      <c r="A51" s="249"/>
      <c r="B51" s="249"/>
      <c r="C51" s="249"/>
      <c r="D51" s="249"/>
      <c r="E51" s="249"/>
      <c r="F51" s="249"/>
      <c r="G51" s="249"/>
      <c r="H51" s="249"/>
      <c r="I51" s="249"/>
      <c r="J51" s="249"/>
      <c r="K51" s="249"/>
      <c r="L51" s="249"/>
      <c r="M51" s="249"/>
      <c r="N51" s="249"/>
      <c r="O51" s="249"/>
      <c r="P51" s="249"/>
      <c r="V51" s="122">
        <v>1546170</v>
      </c>
      <c r="W51" s="122">
        <v>75</v>
      </c>
      <c r="X51" s="122">
        <v>40000</v>
      </c>
      <c r="Y51" s="122">
        <v>185</v>
      </c>
      <c r="Z51" s="122">
        <v>10</v>
      </c>
      <c r="AA51" s="122">
        <v>115</v>
      </c>
      <c r="AB51" s="122" cm="1">
        <f t="array" ref="AB51">CONDT("AHP55",V51,W51,X51,Y51,Z51)</f>
        <v>114.84965955128405</v>
      </c>
      <c r="AC51" s="254">
        <f t="shared" si="2"/>
        <v>-0.15034044871595142</v>
      </c>
    </row>
    <row r="52" spans="1:29" x14ac:dyDescent="0.25">
      <c r="A52" s="249"/>
      <c r="B52" s="249"/>
      <c r="C52" s="249"/>
      <c r="D52" s="249"/>
      <c r="E52" s="249"/>
      <c r="F52" s="249"/>
      <c r="G52" s="249"/>
      <c r="H52" s="249"/>
      <c r="I52" s="249"/>
      <c r="J52" s="249"/>
      <c r="K52" s="249"/>
      <c r="L52" s="249"/>
      <c r="M52" s="249"/>
      <c r="N52" s="249"/>
      <c r="O52" s="249"/>
      <c r="P52" s="249"/>
      <c r="V52" s="122">
        <v>1955160</v>
      </c>
      <c r="W52" s="122">
        <v>75</v>
      </c>
      <c r="X52" s="122">
        <v>39000</v>
      </c>
      <c r="Y52" s="122">
        <v>185</v>
      </c>
      <c r="Z52" s="122">
        <v>10</v>
      </c>
      <c r="AA52" s="122">
        <v>125</v>
      </c>
      <c r="AB52" s="122" cm="1">
        <f t="array" ref="AB52">CONDT("AHP55",V52,W52,X52,Y52,Z52)</f>
        <v>125.08573938631217</v>
      </c>
      <c r="AC52" s="254">
        <f t="shared" si="2"/>
        <v>8.5739386312170041E-2</v>
      </c>
    </row>
    <row r="53" spans="1:29" x14ac:dyDescent="0.25">
      <c r="A53" s="249"/>
      <c r="B53" s="249"/>
      <c r="C53" s="249"/>
      <c r="D53" s="249"/>
      <c r="E53" s="249"/>
      <c r="F53" s="249"/>
      <c r="G53" s="249"/>
      <c r="H53" s="249"/>
      <c r="I53" s="249"/>
      <c r="J53" s="249"/>
      <c r="K53" s="249"/>
      <c r="L53" s="249"/>
      <c r="M53" s="249"/>
      <c r="N53" s="249"/>
      <c r="O53" s="249"/>
      <c r="P53" s="249"/>
      <c r="V53" s="122">
        <v>1796310</v>
      </c>
      <c r="W53" s="122">
        <v>85</v>
      </c>
      <c r="X53" s="122">
        <v>39000</v>
      </c>
      <c r="Y53" s="122">
        <v>190</v>
      </c>
      <c r="Z53" s="122">
        <v>10</v>
      </c>
      <c r="AA53" s="122">
        <v>130</v>
      </c>
      <c r="AB53" s="122" cm="1">
        <f t="array" ref="AB53">CONDT("AHP55",V53,W53,X53,Y53,Z53)</f>
        <v>129.70193176709262</v>
      </c>
      <c r="AC53" s="254">
        <f t="shared" si="2"/>
        <v>-0.29806823290738294</v>
      </c>
    </row>
    <row r="54" spans="1:29" x14ac:dyDescent="0.25">
      <c r="A54" s="249"/>
      <c r="B54" s="249"/>
      <c r="C54" s="249"/>
      <c r="D54" s="249"/>
      <c r="E54" s="249"/>
      <c r="F54" s="249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V54" s="122">
        <v>972720</v>
      </c>
      <c r="W54" s="122">
        <v>105</v>
      </c>
      <c r="X54" s="122">
        <v>39000</v>
      </c>
      <c r="Y54" s="122">
        <v>190</v>
      </c>
      <c r="Z54" s="122">
        <v>10</v>
      </c>
      <c r="AA54" s="122">
        <v>130</v>
      </c>
      <c r="AB54" s="122" cm="1">
        <f t="array" ref="AB54">CONDT("AHP55",V54,W54,X54,Y54,Z54)</f>
        <v>129.78513797043968</v>
      </c>
      <c r="AC54" s="254">
        <f t="shared" si="2"/>
        <v>-0.2148620295603223</v>
      </c>
    </row>
    <row r="55" spans="1:29" x14ac:dyDescent="0.25">
      <c r="A55" s="180"/>
      <c r="B55" s="180"/>
      <c r="C55" s="180"/>
      <c r="D55" s="180"/>
      <c r="E55" s="180"/>
      <c r="F55" s="335" t="s">
        <v>57</v>
      </c>
      <c r="G55" s="335"/>
      <c r="H55" s="336"/>
      <c r="I55" s="187"/>
      <c r="J55" s="337" t="s">
        <v>58</v>
      </c>
      <c r="K55" s="335"/>
      <c r="L55" s="336"/>
      <c r="M55" s="187"/>
      <c r="N55" s="337" t="s">
        <v>59</v>
      </c>
      <c r="O55" s="335"/>
      <c r="P55" s="336"/>
      <c r="V55" s="122">
        <v>954490</v>
      </c>
      <c r="W55" s="122">
        <v>105</v>
      </c>
      <c r="X55" s="122">
        <v>39000</v>
      </c>
      <c r="Y55" s="122">
        <v>190</v>
      </c>
      <c r="Z55" s="122">
        <v>15</v>
      </c>
      <c r="AA55" s="122">
        <v>130</v>
      </c>
      <c r="AB55" s="122" cm="1">
        <f t="array" ref="AB55">CONDT("AHP55",V55,W55,X55,Y55,Z55)</f>
        <v>130.2024896380463</v>
      </c>
      <c r="AC55" s="254">
        <f t="shared" si="2"/>
        <v>0.20248963804630193</v>
      </c>
    </row>
    <row r="56" spans="1:29" x14ac:dyDescent="0.25">
      <c r="A56" s="333" t="s">
        <v>60</v>
      </c>
      <c r="B56" s="333"/>
      <c r="C56" s="333"/>
      <c r="D56" s="333"/>
      <c r="E56" s="251"/>
      <c r="F56" s="386">
        <v>120</v>
      </c>
      <c r="G56" s="386"/>
      <c r="H56" s="387"/>
      <c r="I56" s="253"/>
      <c r="J56" s="247"/>
      <c r="K56" s="247"/>
      <c r="L56" s="252"/>
      <c r="M56" s="253"/>
      <c r="N56" s="247"/>
      <c r="O56" s="247"/>
      <c r="P56" s="252"/>
      <c r="V56" s="122">
        <v>563080</v>
      </c>
      <c r="W56" s="122">
        <v>105</v>
      </c>
      <c r="X56" s="122">
        <v>20000</v>
      </c>
      <c r="Y56" s="122">
        <v>190</v>
      </c>
      <c r="Z56" s="122">
        <v>15</v>
      </c>
      <c r="AA56" s="122">
        <v>130</v>
      </c>
      <c r="AB56" s="122" cm="1">
        <f t="array" ref="AB56">CONDT("AHP55",V56,W56,X56,Y56,Z56)</f>
        <v>130.05471304776256</v>
      </c>
      <c r="AC56" s="254">
        <f t="shared" si="2"/>
        <v>5.4713047762561473E-2</v>
      </c>
    </row>
    <row r="57" spans="1:29" x14ac:dyDescent="0.25">
      <c r="A57" s="338"/>
      <c r="B57" s="328" t="s">
        <v>61</v>
      </c>
      <c r="C57" s="328"/>
      <c r="D57" s="328"/>
      <c r="E57" s="125"/>
      <c r="F57" s="131">
        <v>41</v>
      </c>
      <c r="G57" s="131">
        <v>50</v>
      </c>
      <c r="H57" s="190">
        <f t="shared" ref="H57:H58" si="3">CONVERT(F57,"F","C")</f>
        <v>5</v>
      </c>
      <c r="I57" s="188"/>
      <c r="J57" s="131">
        <v>37</v>
      </c>
      <c r="K57" s="131">
        <v>50</v>
      </c>
      <c r="L57" s="190">
        <f t="shared" ref="L57:L58" si="4">CONVERT(J57,"F","C")</f>
        <v>2.7777777777777777</v>
      </c>
      <c r="M57" s="188"/>
      <c r="N57" s="131">
        <v>37</v>
      </c>
      <c r="O57" s="131">
        <v>50</v>
      </c>
      <c r="P57" s="190">
        <f t="shared" ref="P57:P58" si="5">CONVERT(N57,"F","C")</f>
        <v>2.7777777777777777</v>
      </c>
      <c r="V57" s="122">
        <v>92050</v>
      </c>
      <c r="W57" s="122">
        <v>70</v>
      </c>
      <c r="X57" s="122">
        <v>5000</v>
      </c>
      <c r="Y57" s="122">
        <v>145</v>
      </c>
      <c r="Z57" s="122">
        <v>5</v>
      </c>
      <c r="AA57" s="122">
        <v>85</v>
      </c>
      <c r="AB57" s="122" cm="1">
        <f t="array" ref="AB57">CONDT("AHP55",V57,W57,X57,Y57,Z57)</f>
        <v>85.298068232890472</v>
      </c>
      <c r="AC57" s="254">
        <f t="shared" si="2"/>
        <v>0.29806823289047202</v>
      </c>
    </row>
    <row r="58" spans="1:29" ht="13.5" customHeight="1" x14ac:dyDescent="0.25">
      <c r="A58" s="338"/>
      <c r="B58" s="328" t="s">
        <v>62</v>
      </c>
      <c r="C58" s="328"/>
      <c r="D58" s="328"/>
      <c r="E58" s="125"/>
      <c r="F58" s="131" cm="1">
        <f t="array" ref="F58">CONDT("AHP55",563670,95,39000,180,5)</f>
        <v>110.44773572902548</v>
      </c>
      <c r="G58" s="131">
        <v>140</v>
      </c>
      <c r="H58" s="190">
        <f t="shared" si="3"/>
        <v>43.582075405014159</v>
      </c>
      <c r="I58" s="188"/>
      <c r="J58" s="131">
        <v>113</v>
      </c>
      <c r="K58" s="131">
        <v>140</v>
      </c>
      <c r="L58" s="190">
        <f t="shared" si="4"/>
        <v>45</v>
      </c>
      <c r="M58" s="188"/>
      <c r="N58" s="131">
        <v>123</v>
      </c>
      <c r="O58" s="131">
        <v>140</v>
      </c>
      <c r="P58" s="190">
        <f t="shared" si="5"/>
        <v>50.555555555555557</v>
      </c>
      <c r="Q58" s="122" t="s">
        <v>63</v>
      </c>
      <c r="R58" s="122">
        <v>41</v>
      </c>
      <c r="V58" s="122">
        <v>227740</v>
      </c>
      <c r="W58" s="122">
        <v>75</v>
      </c>
      <c r="X58" s="122">
        <v>15000</v>
      </c>
      <c r="Y58" s="122">
        <v>150</v>
      </c>
      <c r="Z58" s="122">
        <v>5</v>
      </c>
      <c r="AA58" s="122">
        <v>90</v>
      </c>
      <c r="AB58" s="122" cm="1">
        <f t="array" ref="AB58">CONDT("AHP55",V58,W58,X58,Y58,Z58)</f>
        <v>90.041313488375081</v>
      </c>
      <c r="AC58" s="254">
        <f t="shared" si="2"/>
        <v>4.131348837508142E-2</v>
      </c>
    </row>
    <row r="59" spans="1:29" ht="15" customHeight="1" x14ac:dyDescent="0.25">
      <c r="A59" s="338"/>
      <c r="B59" s="328" t="s">
        <v>64</v>
      </c>
      <c r="C59" s="328"/>
      <c r="D59" s="328"/>
      <c r="E59" s="125"/>
      <c r="F59" s="133" t="e" cm="1">
        <f t="array" aca="1" ref="F59" ca="1">ARK_cap1(F40,F56,F57,F58,20,15,1,0)</f>
        <v>#NAME?</v>
      </c>
      <c r="G59" s="134"/>
      <c r="H59" s="191" t="e">
        <f ca="1">F59/12</f>
        <v>#NAME?</v>
      </c>
      <c r="I59" s="189"/>
      <c r="J59" s="193">
        <f>4*660.29</f>
        <v>2641.16</v>
      </c>
      <c r="K59" s="134"/>
      <c r="L59" s="191">
        <f>J59/12</f>
        <v>220.09666666666666</v>
      </c>
      <c r="M59" s="188"/>
      <c r="N59" s="193">
        <f>2460.041</f>
        <v>2460.0410000000002</v>
      </c>
      <c r="O59" s="134"/>
      <c r="P59" s="191">
        <f>N59/12</f>
        <v>205.00341666666668</v>
      </c>
      <c r="V59" s="122">
        <v>399870</v>
      </c>
      <c r="W59" s="122">
        <v>80</v>
      </c>
      <c r="X59" s="122">
        <v>20000</v>
      </c>
      <c r="Y59" s="122">
        <v>160</v>
      </c>
      <c r="Z59" s="122">
        <v>5</v>
      </c>
      <c r="AA59" s="122">
        <v>100</v>
      </c>
      <c r="AB59" s="122" cm="1">
        <f t="array" ref="AB59">CONDT("AHP55",V59,W59,X59,Y59,Z59)</f>
        <v>99.737677150642241</v>
      </c>
      <c r="AC59" s="254">
        <f t="shared" si="2"/>
        <v>-0.26232284935775851</v>
      </c>
    </row>
    <row r="60" spans="1:29" ht="13.5" customHeight="1" x14ac:dyDescent="0.25">
      <c r="A60" s="338"/>
      <c r="B60" s="328" t="s">
        <v>65</v>
      </c>
      <c r="C60" s="328"/>
      <c r="D60" s="328"/>
      <c r="E60" s="125"/>
      <c r="F60" s="136" t="e">
        <f ca="1">F59</f>
        <v>#NAME?</v>
      </c>
      <c r="G60" s="134"/>
      <c r="H60" s="191" t="e">
        <f ca="1">F60/12</f>
        <v>#NAME?</v>
      </c>
      <c r="I60" s="189"/>
      <c r="J60" s="194">
        <f>J59</f>
        <v>2641.16</v>
      </c>
      <c r="K60" s="134"/>
      <c r="L60" s="191">
        <f>J60/12</f>
        <v>220.09666666666666</v>
      </c>
      <c r="M60" s="188"/>
      <c r="N60" s="194">
        <f>N59</f>
        <v>2460.0410000000002</v>
      </c>
      <c r="O60" s="134"/>
      <c r="P60" s="191">
        <f>N60/12</f>
        <v>205.00341666666668</v>
      </c>
      <c r="Q60" s="122" t="s">
        <v>66</v>
      </c>
      <c r="R60" s="122">
        <v>176</v>
      </c>
      <c r="V60" s="122">
        <v>772120</v>
      </c>
      <c r="W60" s="122">
        <v>80</v>
      </c>
      <c r="X60" s="122">
        <v>25000</v>
      </c>
      <c r="Y60" s="122">
        <v>170</v>
      </c>
      <c r="Z60" s="122">
        <v>5</v>
      </c>
      <c r="AA60" s="122">
        <v>110</v>
      </c>
      <c r="AB60" s="122" cm="1">
        <f t="array" ref="AB60">CONDT("AHP55",V60,W60,X60,Y60,Z60)</f>
        <v>109.72635491855928</v>
      </c>
      <c r="AC60" s="254">
        <f t="shared" si="2"/>
        <v>-0.2736450814407192</v>
      </c>
    </row>
    <row r="61" spans="1:29" ht="14.1" customHeight="1" x14ac:dyDescent="0.25">
      <c r="A61" s="338"/>
      <c r="B61" s="328" t="s">
        <v>67</v>
      </c>
      <c r="C61" s="328"/>
      <c r="D61" s="328"/>
      <c r="E61" s="125"/>
      <c r="F61" s="326">
        <v>89.631</v>
      </c>
      <c r="G61" s="326"/>
      <c r="H61" s="327"/>
      <c r="I61" s="189"/>
      <c r="J61" s="339">
        <f>4*52.487</f>
        <v>209.94800000000001</v>
      </c>
      <c r="K61" s="326"/>
      <c r="L61" s="327"/>
      <c r="M61" s="188"/>
      <c r="N61" s="339">
        <f>4*58.369</f>
        <v>233.476</v>
      </c>
      <c r="O61" s="326"/>
      <c r="P61" s="327"/>
      <c r="V61" s="122">
        <v>624250</v>
      </c>
      <c r="W61" s="122">
        <v>80</v>
      </c>
      <c r="X61" s="122">
        <v>25000</v>
      </c>
      <c r="Y61" s="122">
        <v>165</v>
      </c>
      <c r="Z61" s="122">
        <v>5</v>
      </c>
      <c r="AA61" s="122">
        <v>105</v>
      </c>
      <c r="AB61" s="122" cm="1">
        <f t="array" ref="AB61">CONDT("AHP55",V61,W61,X61,Y61,Z61)</f>
        <v>104.81047239584655</v>
      </c>
      <c r="AC61" s="254">
        <f t="shared" si="2"/>
        <v>-0.18952760415345438</v>
      </c>
    </row>
    <row r="62" spans="1:29" ht="13.5" customHeight="1" x14ac:dyDescent="0.25">
      <c r="A62" s="338"/>
      <c r="B62" s="328" t="s">
        <v>68</v>
      </c>
      <c r="C62" s="328"/>
      <c r="D62" s="328"/>
      <c r="E62" s="125"/>
      <c r="F62" s="326" t="e">
        <f>#REF!</f>
        <v>#REF!</v>
      </c>
      <c r="G62" s="326"/>
      <c r="H62" s="327"/>
      <c r="I62" s="189"/>
      <c r="J62" s="326"/>
      <c r="K62" s="326"/>
      <c r="L62" s="327"/>
      <c r="M62" s="188"/>
      <c r="N62" s="326"/>
      <c r="O62" s="326"/>
      <c r="P62" s="327"/>
      <c r="R62" s="122" t="e">
        <f ca="1">F63/2</f>
        <v>#NAME?</v>
      </c>
      <c r="V62" s="122">
        <v>450560</v>
      </c>
      <c r="W62" s="122">
        <v>65</v>
      </c>
      <c r="X62" s="122">
        <v>39000</v>
      </c>
      <c r="Y62" s="122">
        <v>140</v>
      </c>
      <c r="Z62" s="122">
        <v>10</v>
      </c>
      <c r="AA62" s="122">
        <v>80</v>
      </c>
      <c r="AB62" s="122" cm="1">
        <f t="array" ref="AB62">CONDT("AHP55",V62,W62,X62,Y62,Z62)</f>
        <v>79.702580760613273</v>
      </c>
      <c r="AC62" s="254">
        <f t="shared" si="2"/>
        <v>-0.29741923938672699</v>
      </c>
    </row>
    <row r="63" spans="1:29" ht="13.5" customHeight="1" x14ac:dyDescent="0.25">
      <c r="A63" s="338"/>
      <c r="B63" s="328" t="s">
        <v>69</v>
      </c>
      <c r="C63" s="328"/>
      <c r="D63" s="328"/>
      <c r="E63" s="125"/>
      <c r="F63" s="133" t="e">
        <f ca="1">H63*3.413</f>
        <v>#NAME?</v>
      </c>
      <c r="G63" s="137"/>
      <c r="H63" s="192" t="e">
        <f ca="1">IF(F59+3.413*F61=0,"",(F59+3.413*F61)/3.413)</f>
        <v>#NAME?</v>
      </c>
      <c r="I63" s="189"/>
      <c r="J63" s="193">
        <f>L63*3.413</f>
        <v>3307.3624999999997</v>
      </c>
      <c r="K63" s="137"/>
      <c r="L63" s="192">
        <f>3307362.5/3413</f>
        <v>969.0484910635804</v>
      </c>
      <c r="M63" s="188"/>
      <c r="N63" s="193">
        <f>P63*3.413</f>
        <v>3200.89</v>
      </c>
      <c r="O63" s="137"/>
      <c r="P63" s="192">
        <f>3200.89/3.413</f>
        <v>937.85232932903602</v>
      </c>
      <c r="Q63" s="122" t="e">
        <f ca="1">F63/12</f>
        <v>#NAME?</v>
      </c>
      <c r="V63" s="122">
        <v>140580</v>
      </c>
      <c r="W63" s="122">
        <v>65</v>
      </c>
      <c r="X63" s="122">
        <v>39000</v>
      </c>
      <c r="Y63" s="122">
        <v>130</v>
      </c>
      <c r="Z63" s="122">
        <v>1</v>
      </c>
      <c r="AA63" s="122">
        <v>70</v>
      </c>
      <c r="AB63" s="122" cm="1">
        <f t="array" ref="AB63">CONDT("AHP55",V63,W63,X63,Y63,Z63)</f>
        <v>69.701931767132578</v>
      </c>
      <c r="AC63" s="254">
        <f t="shared" si="2"/>
        <v>-0.29806823286742201</v>
      </c>
    </row>
    <row r="64" spans="1:29" ht="13.5" customHeight="1" x14ac:dyDescent="0.25">
      <c r="A64" s="338"/>
      <c r="B64" s="328" t="s">
        <v>70</v>
      </c>
      <c r="C64" s="328"/>
      <c r="D64" s="328"/>
      <c r="E64" s="125"/>
      <c r="F64" s="329" t="str">
        <f ca="1">IFERROR(H63/(F61+F62),"")</f>
        <v/>
      </c>
      <c r="G64" s="329"/>
      <c r="H64" s="330"/>
      <c r="I64" s="189"/>
      <c r="J64" s="331">
        <f>IFERROR(L63/(J61+J62),"")</f>
        <v>4.6156595493340271</v>
      </c>
      <c r="K64" s="329"/>
      <c r="L64" s="330"/>
      <c r="M64" s="188"/>
      <c r="N64" s="331">
        <f>IFERROR(P63/(N61+N62),"")</f>
        <v>4.0169110714978675</v>
      </c>
      <c r="O64" s="329"/>
      <c r="P64" s="330"/>
      <c r="V64" s="122">
        <v>193860</v>
      </c>
      <c r="W64" s="122">
        <v>60</v>
      </c>
      <c r="X64" s="122">
        <v>20000</v>
      </c>
      <c r="Y64" s="122">
        <v>130</v>
      </c>
      <c r="Z64" s="122">
        <v>1</v>
      </c>
      <c r="AA64" s="122">
        <v>70</v>
      </c>
      <c r="AB64" s="122" cm="1">
        <f t="array" ref="AB64">CONDT("AHP55",V64,W64,X64,Y64,Z64)</f>
        <v>70.4200862569582</v>
      </c>
      <c r="AC64" s="254">
        <f t="shared" si="2"/>
        <v>0.42008625695820001</v>
      </c>
    </row>
    <row r="65" spans="1:29" ht="13.5" customHeight="1" x14ac:dyDescent="0.25">
      <c r="A65" s="338"/>
      <c r="B65" s="328" t="s">
        <v>71</v>
      </c>
      <c r="C65" s="328"/>
      <c r="D65" s="328"/>
      <c r="E65" s="125"/>
      <c r="F65" s="329" t="str">
        <f ca="1">IFERROR(F59/((F61+F62)*3.413),"")</f>
        <v/>
      </c>
      <c r="G65" s="329"/>
      <c r="H65" s="330"/>
      <c r="I65" s="189"/>
      <c r="J65" s="331">
        <f>IFERROR(J59/((J61+J62)*3.413),"")</f>
        <v>3.6859265881254504</v>
      </c>
      <c r="K65" s="329"/>
      <c r="L65" s="330"/>
      <c r="M65" s="188"/>
      <c r="N65" s="331">
        <f>IFERROR(N59/((N61+N62)*3.413),"")</f>
        <v>3.0871932272707547</v>
      </c>
      <c r="O65" s="329"/>
      <c r="P65" s="330"/>
      <c r="V65" s="122">
        <v>110060</v>
      </c>
      <c r="W65" s="122">
        <v>60</v>
      </c>
      <c r="X65" s="122">
        <v>10000</v>
      </c>
      <c r="Y65" s="122">
        <v>130</v>
      </c>
      <c r="Z65" s="122">
        <v>1</v>
      </c>
      <c r="AA65" s="122">
        <v>70</v>
      </c>
      <c r="AB65" s="122" cm="1">
        <f t="array" ref="AB65">CONDT("AHP55",V65,W65,X65,Y65,Z65)</f>
        <v>70.567730997814223</v>
      </c>
      <c r="AC65" s="254">
        <f t="shared" si="2"/>
        <v>0.56773099781422331</v>
      </c>
    </row>
    <row r="66" spans="1:29" ht="13.5" customHeight="1" x14ac:dyDescent="0.25">
      <c r="A66" s="338"/>
      <c r="B66" s="328" t="s">
        <v>72</v>
      </c>
      <c r="C66" s="328"/>
      <c r="D66" s="328"/>
      <c r="E66" s="125"/>
      <c r="F66" s="329"/>
      <c r="G66" s="329"/>
      <c r="H66" s="330"/>
      <c r="I66" s="189"/>
      <c r="J66" s="331">
        <f>J65+J64</f>
        <v>8.301586137459477</v>
      </c>
      <c r="K66" s="329"/>
      <c r="L66" s="330"/>
      <c r="M66" s="188"/>
      <c r="N66" s="331">
        <f>N65+N64</f>
        <v>7.1041042987686218</v>
      </c>
      <c r="O66" s="329"/>
      <c r="P66" s="330"/>
      <c r="V66" s="122">
        <v>59570</v>
      </c>
      <c r="W66" s="122">
        <v>60</v>
      </c>
      <c r="X66" s="122">
        <v>5000</v>
      </c>
      <c r="Y66" s="122">
        <v>130</v>
      </c>
      <c r="Z66" s="122">
        <v>1</v>
      </c>
      <c r="AA66" s="122">
        <v>70</v>
      </c>
      <c r="AB66" s="122" cm="1">
        <f t="array" ref="AB66">CONDT("AHP55",V66,W66,X66,Y66,Z66)</f>
        <v>70.268974937150418</v>
      </c>
      <c r="AC66" s="254">
        <f t="shared" si="2"/>
        <v>0.26897493715041776</v>
      </c>
    </row>
    <row r="67" spans="1:29" ht="13.5" customHeight="1" x14ac:dyDescent="0.25">
      <c r="A67" s="338"/>
      <c r="B67" s="328" t="s">
        <v>73</v>
      </c>
      <c r="C67" s="328"/>
      <c r="D67" s="328"/>
      <c r="E67" s="125"/>
      <c r="F67" s="131"/>
      <c r="G67" s="131"/>
      <c r="H67" s="190"/>
      <c r="I67" s="189"/>
      <c r="J67" s="195">
        <v>97.1</v>
      </c>
      <c r="K67" s="131">
        <v>50</v>
      </c>
      <c r="L67" s="190">
        <f t="shared" ref="L67:L68" si="6">CONVERT(J67,"F","C")</f>
        <v>36.166666666666664</v>
      </c>
      <c r="M67" s="188"/>
      <c r="N67" s="195">
        <v>107.5</v>
      </c>
      <c r="O67" s="131">
        <v>50</v>
      </c>
      <c r="P67" s="190">
        <f t="shared" ref="P67:P68" si="7">CONVERT(N67,"F","C")</f>
        <v>41.944444444444443</v>
      </c>
      <c r="Q67" s="122" t="e">
        <f ca="1">F61/Q63</f>
        <v>#NAME?</v>
      </c>
      <c r="V67" s="122">
        <v>628520</v>
      </c>
      <c r="W67" s="122">
        <v>95</v>
      </c>
      <c r="X67" s="122">
        <v>35000</v>
      </c>
      <c r="Y67" s="122">
        <v>175</v>
      </c>
      <c r="Z67" s="122">
        <v>15</v>
      </c>
      <c r="AA67" s="122">
        <v>115</v>
      </c>
      <c r="AB67" s="122" cm="1">
        <f t="array" ref="AB67">CONDT("AHP55",V67,W67,X67,Y67,Z67)</f>
        <v>115.10372187553354</v>
      </c>
      <c r="AC67" s="122">
        <f t="shared" ref="AC67:AC69" si="8">AB67-AA67</f>
        <v>0.1037218755335374</v>
      </c>
    </row>
    <row r="68" spans="1:29" ht="13.5" customHeight="1" x14ac:dyDescent="0.25">
      <c r="A68" s="338"/>
      <c r="B68" s="328" t="s">
        <v>74</v>
      </c>
      <c r="C68" s="328"/>
      <c r="D68" s="328"/>
      <c r="E68" s="125"/>
      <c r="F68" s="131"/>
      <c r="G68" s="131"/>
      <c r="H68" s="190"/>
      <c r="I68" s="189"/>
      <c r="J68" s="195">
        <v>110</v>
      </c>
      <c r="K68" s="131">
        <v>140</v>
      </c>
      <c r="L68" s="190">
        <f t="shared" si="6"/>
        <v>43.333333333333336</v>
      </c>
      <c r="M68" s="188"/>
      <c r="N68" s="195">
        <v>120</v>
      </c>
      <c r="O68" s="131">
        <v>140</v>
      </c>
      <c r="P68" s="190">
        <f t="shared" si="7"/>
        <v>48.888888888888886</v>
      </c>
      <c r="V68" s="122">
        <v>821470</v>
      </c>
      <c r="W68" s="122">
        <v>95</v>
      </c>
      <c r="X68" s="122">
        <v>35000</v>
      </c>
      <c r="Y68" s="122">
        <v>175</v>
      </c>
      <c r="Z68" s="122">
        <v>15</v>
      </c>
      <c r="AA68" s="122">
        <v>115</v>
      </c>
      <c r="AB68" s="122" cm="1">
        <f t="array" ref="AB68">CONDT("AHP55",V68,W68,X68,Y68,Z68)</f>
        <v>120.54700548217333</v>
      </c>
      <c r="AC68" s="122">
        <f t="shared" si="8"/>
        <v>5.5470054821733328</v>
      </c>
    </row>
    <row r="69" spans="1:29" ht="13.5" customHeight="1" x14ac:dyDescent="0.25">
      <c r="A69" s="338"/>
      <c r="B69" s="328" t="s">
        <v>75</v>
      </c>
      <c r="C69" s="328"/>
      <c r="D69" s="328"/>
      <c r="E69" s="125"/>
      <c r="F69" s="340"/>
      <c r="G69" s="340"/>
      <c r="H69" s="341"/>
      <c r="I69" s="189"/>
      <c r="J69" s="342">
        <v>300</v>
      </c>
      <c r="K69" s="340"/>
      <c r="L69" s="341"/>
      <c r="M69" s="188"/>
      <c r="N69" s="342">
        <v>300</v>
      </c>
      <c r="O69" s="340"/>
      <c r="P69" s="341"/>
      <c r="AC69" s="122">
        <f t="shared" si="8"/>
        <v>0</v>
      </c>
    </row>
    <row r="70" spans="1:29" ht="13.5" customHeight="1" x14ac:dyDescent="0.25">
      <c r="A70" s="338"/>
      <c r="B70" s="328" t="s">
        <v>76</v>
      </c>
      <c r="C70" s="328"/>
      <c r="D70" s="328"/>
      <c r="E70" s="125"/>
      <c r="F70" s="343"/>
      <c r="G70" s="343"/>
      <c r="H70" s="344"/>
      <c r="I70" s="188"/>
      <c r="J70" s="345">
        <v>3.57</v>
      </c>
      <c r="K70" s="343"/>
      <c r="L70" s="344"/>
      <c r="M70" s="188"/>
      <c r="N70" s="345">
        <v>3.48</v>
      </c>
      <c r="O70" s="343"/>
      <c r="P70" s="344"/>
    </row>
    <row r="71" spans="1:29" ht="13.5" customHeight="1" x14ac:dyDescent="0.25">
      <c r="A71" s="338"/>
      <c r="B71" s="328" t="s">
        <v>77</v>
      </c>
      <c r="C71" s="328"/>
      <c r="D71" s="328"/>
      <c r="E71" s="125"/>
      <c r="F71" s="131">
        <v>54</v>
      </c>
      <c r="G71" s="131">
        <v>50</v>
      </c>
      <c r="H71" s="190">
        <f t="shared" ref="H71:H72" si="9">CONVERT(F71,"F","C")</f>
        <v>12.222222222222221</v>
      </c>
      <c r="I71" s="188"/>
      <c r="J71" s="195">
        <v>47.3</v>
      </c>
      <c r="K71" s="131">
        <v>50</v>
      </c>
      <c r="L71" s="190">
        <f t="shared" ref="L71:L72" si="10">CONVERT(J71,"F","C")</f>
        <v>8.4999999999999982</v>
      </c>
      <c r="M71" s="188"/>
      <c r="N71" s="195">
        <v>46.8</v>
      </c>
      <c r="O71" s="131">
        <v>50</v>
      </c>
      <c r="P71" s="190">
        <f t="shared" ref="P71:P72" si="11">CONVERT(N71,"F","C")</f>
        <v>8.2222222222222197</v>
      </c>
    </row>
    <row r="72" spans="1:29" ht="13.5" customHeight="1" x14ac:dyDescent="0.25">
      <c r="A72" s="338"/>
      <c r="B72" s="328" t="s">
        <v>78</v>
      </c>
      <c r="C72" s="328"/>
      <c r="D72" s="328"/>
      <c r="E72" s="125"/>
      <c r="F72" s="131">
        <v>40</v>
      </c>
      <c r="G72" s="131">
        <v>140</v>
      </c>
      <c r="H72" s="190">
        <f t="shared" si="9"/>
        <v>4.4444444444444446</v>
      </c>
      <c r="I72" s="188"/>
      <c r="J72" s="195">
        <v>40</v>
      </c>
      <c r="K72" s="131">
        <v>140</v>
      </c>
      <c r="L72" s="190">
        <f t="shared" si="10"/>
        <v>4.4444444444444446</v>
      </c>
      <c r="M72" s="188"/>
      <c r="N72" s="195">
        <v>40</v>
      </c>
      <c r="O72" s="131">
        <v>140</v>
      </c>
      <c r="P72" s="190">
        <f t="shared" si="11"/>
        <v>4.4444444444444446</v>
      </c>
    </row>
    <row r="73" spans="1:29" ht="13.5" customHeight="1" x14ac:dyDescent="0.25">
      <c r="A73" s="338"/>
      <c r="B73" s="328" t="s">
        <v>79</v>
      </c>
      <c r="C73" s="328"/>
      <c r="D73" s="328"/>
      <c r="E73" s="125"/>
      <c r="F73" s="340">
        <v>240.2</v>
      </c>
      <c r="G73" s="340"/>
      <c r="H73" s="341"/>
      <c r="I73" s="188"/>
      <c r="J73" s="342">
        <v>433</v>
      </c>
      <c r="K73" s="340"/>
      <c r="L73" s="341"/>
      <c r="M73" s="188"/>
      <c r="N73" s="342">
        <v>433</v>
      </c>
      <c r="O73" s="340"/>
      <c r="P73" s="341"/>
    </row>
    <row r="74" spans="1:29" ht="14.25" customHeight="1" x14ac:dyDescent="0.25">
      <c r="A74" s="338"/>
      <c r="B74" s="328" t="s">
        <v>80</v>
      </c>
      <c r="C74" s="328"/>
      <c r="D74" s="328"/>
      <c r="E74" s="125"/>
      <c r="F74" s="343">
        <v>1.94</v>
      </c>
      <c r="G74" s="343"/>
      <c r="H74" s="344"/>
      <c r="I74" s="188"/>
      <c r="J74" s="345">
        <v>3.27</v>
      </c>
      <c r="K74" s="343"/>
      <c r="L74" s="344"/>
      <c r="M74" s="188"/>
      <c r="N74" s="345">
        <v>3.2709999999999999</v>
      </c>
      <c r="O74" s="343"/>
      <c r="P74" s="344"/>
    </row>
    <row r="75" spans="1:29" ht="14.1" customHeight="1" x14ac:dyDescent="0.25">
      <c r="A75" s="179"/>
      <c r="B75" s="165"/>
      <c r="C75" s="165"/>
      <c r="D75" s="165"/>
      <c r="E75" s="125"/>
      <c r="F75" s="171"/>
      <c r="G75" s="171"/>
      <c r="H75" s="171"/>
      <c r="I75" s="121"/>
      <c r="J75" s="121"/>
      <c r="K75" s="121"/>
      <c r="L75" s="121"/>
      <c r="M75" s="121"/>
      <c r="N75" s="121"/>
      <c r="O75" s="121"/>
      <c r="P75" s="121"/>
    </row>
    <row r="76" spans="1:29" ht="14.1" customHeight="1" x14ac:dyDescent="0.25">
      <c r="A76" s="346" t="s">
        <v>81</v>
      </c>
      <c r="B76" s="346"/>
      <c r="C76" s="346"/>
      <c r="D76" s="346"/>
      <c r="E76" s="346"/>
      <c r="F76" s="346"/>
      <c r="G76" s="346"/>
      <c r="H76" s="346"/>
      <c r="I76" s="346"/>
      <c r="J76" s="346"/>
      <c r="K76" s="346"/>
      <c r="L76" s="346"/>
      <c r="M76" s="346"/>
      <c r="N76" s="346"/>
      <c r="O76" s="346"/>
      <c r="P76" s="346"/>
    </row>
    <row r="77" spans="1:29" ht="14.1" customHeight="1" x14ac:dyDescent="0.25">
      <c r="A77" s="324" t="s">
        <v>82</v>
      </c>
      <c r="B77" s="324"/>
      <c r="C77" s="324"/>
      <c r="D77" s="324"/>
      <c r="E77" s="324"/>
      <c r="F77" s="324"/>
      <c r="G77" s="324"/>
      <c r="H77" s="324"/>
      <c r="I77" s="324"/>
      <c r="J77" s="324"/>
      <c r="K77" s="324"/>
      <c r="L77" s="324"/>
      <c r="M77" s="324"/>
      <c r="N77" s="324"/>
      <c r="O77" s="324"/>
      <c r="P77" s="324"/>
      <c r="R77" s="122">
        <v>1</v>
      </c>
      <c r="S77" s="122" t="s">
        <v>83</v>
      </c>
    </row>
    <row r="78" spans="1:29" ht="14.1" customHeight="1" x14ac:dyDescent="0.25">
      <c r="A78" s="180"/>
      <c r="B78" s="180"/>
      <c r="C78" s="180"/>
      <c r="D78" s="180"/>
      <c r="E78" s="180"/>
      <c r="F78" s="347">
        <v>47</v>
      </c>
      <c r="G78" s="347"/>
      <c r="H78" s="348"/>
      <c r="I78" s="180"/>
      <c r="J78" s="349">
        <v>10</v>
      </c>
      <c r="K78" s="347"/>
      <c r="L78" s="350"/>
      <c r="M78" s="180"/>
      <c r="N78" s="349">
        <v>0</v>
      </c>
      <c r="O78" s="347"/>
      <c r="P78" s="350"/>
      <c r="R78" s="122">
        <v>2</v>
      </c>
      <c r="S78" s="122" t="s">
        <v>84</v>
      </c>
      <c r="X78" s="122" t="s">
        <v>85</v>
      </c>
      <c r="Y78" s="122">
        <f>238*3</f>
        <v>714</v>
      </c>
      <c r="Z78" s="122">
        <f>Y78/6</f>
        <v>119</v>
      </c>
    </row>
    <row r="79" spans="1:29" ht="14.1" customHeight="1" x14ac:dyDescent="0.25">
      <c r="A79" s="355"/>
      <c r="B79" s="328" t="s">
        <v>61</v>
      </c>
      <c r="C79" s="328"/>
      <c r="D79" s="328"/>
      <c r="E79" s="125"/>
      <c r="F79" s="131">
        <v>62.3</v>
      </c>
      <c r="G79" s="131">
        <v>50</v>
      </c>
      <c r="H79" s="201">
        <f t="shared" ref="H79:H80" si="12">CONVERT(F79,"F","C")</f>
        <v>16.833333333333332</v>
      </c>
      <c r="I79" s="121"/>
      <c r="J79" s="195">
        <v>33.799999999999997</v>
      </c>
      <c r="K79" s="131">
        <v>50</v>
      </c>
      <c r="L79" s="190">
        <f t="shared" ref="L79:L80" si="13">CONVERT(J79,"F","C")</f>
        <v>0.99999999999999845</v>
      </c>
      <c r="M79" s="121"/>
      <c r="N79" s="195">
        <v>7.4</v>
      </c>
      <c r="O79" s="131">
        <v>50</v>
      </c>
      <c r="P79" s="190">
        <f t="shared" ref="P79:P80" si="14">CONVERT(N79,"F","C")</f>
        <v>-13.666666666666668</v>
      </c>
      <c r="S79" s="122">
        <v>77</v>
      </c>
      <c r="U79" s="122">
        <v>47</v>
      </c>
      <c r="V79" s="122">
        <v>17</v>
      </c>
      <c r="X79" s="122" t="s">
        <v>86</v>
      </c>
      <c r="Y79" s="122">
        <f>238+2*174</f>
        <v>586</v>
      </c>
      <c r="Z79" s="122">
        <f>Y79/6</f>
        <v>97.666666666666671</v>
      </c>
    </row>
    <row r="80" spans="1:29" ht="14.1" customHeight="1" x14ac:dyDescent="0.25">
      <c r="A80" s="355"/>
      <c r="B80" s="328" t="s">
        <v>62</v>
      </c>
      <c r="C80" s="328"/>
      <c r="D80" s="328"/>
      <c r="E80" s="125"/>
      <c r="F80" s="131">
        <v>123.3</v>
      </c>
      <c r="G80" s="131">
        <v>140</v>
      </c>
      <c r="H80" s="201">
        <f t="shared" si="12"/>
        <v>50.722222222222221</v>
      </c>
      <c r="I80" s="121"/>
      <c r="J80" s="195">
        <v>121.2</v>
      </c>
      <c r="K80" s="131">
        <v>140</v>
      </c>
      <c r="L80" s="190">
        <f t="shared" si="13"/>
        <v>49.555555555555557</v>
      </c>
      <c r="M80" s="121"/>
      <c r="N80" s="195">
        <v>119.1</v>
      </c>
      <c r="O80" s="131">
        <v>140</v>
      </c>
      <c r="P80" s="190">
        <f t="shared" si="14"/>
        <v>48.388888888888886</v>
      </c>
      <c r="S80" s="122">
        <f>325+2*255</f>
        <v>835</v>
      </c>
      <c r="U80" s="122">
        <f>235+2*167.5</f>
        <v>570</v>
      </c>
      <c r="V80" s="122">
        <f>146.5+2*104.5</f>
        <v>355.5</v>
      </c>
    </row>
    <row r="81" spans="1:22" ht="13.5" customHeight="1" x14ac:dyDescent="0.25">
      <c r="A81" s="355"/>
      <c r="B81" s="328" t="s">
        <v>64</v>
      </c>
      <c r="C81" s="328"/>
      <c r="D81" s="328"/>
      <c r="E81" s="125"/>
      <c r="F81" s="133">
        <f>284*6</f>
        <v>1704</v>
      </c>
      <c r="G81" s="134"/>
      <c r="H81" s="202">
        <f>F81/12</f>
        <v>142</v>
      </c>
      <c r="I81" s="123"/>
      <c r="J81" s="194">
        <f>195*2+164.5*4</f>
        <v>1048</v>
      </c>
      <c r="K81" s="134"/>
      <c r="L81" s="191">
        <f>J81/12</f>
        <v>87.333333333333329</v>
      </c>
      <c r="M81" s="121"/>
      <c r="N81" s="194">
        <v>623.27200000000005</v>
      </c>
      <c r="O81" s="134"/>
      <c r="P81" s="191">
        <f>N81/12</f>
        <v>51.939333333333337</v>
      </c>
      <c r="S81" s="122">
        <f>22.1+2*15.55</f>
        <v>53.2</v>
      </c>
      <c r="U81" s="122">
        <f>21.6+2*15.5</f>
        <v>52.6</v>
      </c>
      <c r="V81" s="122">
        <f>20.5+2*14.15</f>
        <v>48.8</v>
      </c>
    </row>
    <row r="82" spans="1:22" ht="14.1" customHeight="1" x14ac:dyDescent="0.25">
      <c r="A82" s="355"/>
      <c r="B82" s="328" t="s">
        <v>65</v>
      </c>
      <c r="C82" s="328"/>
      <c r="D82" s="328"/>
      <c r="E82" s="125"/>
      <c r="F82" s="136">
        <f>F81</f>
        <v>1704</v>
      </c>
      <c r="G82" s="134"/>
      <c r="H82" s="202">
        <f>F82/12</f>
        <v>142</v>
      </c>
      <c r="I82" s="123"/>
      <c r="J82" s="194">
        <f>J81</f>
        <v>1048</v>
      </c>
      <c r="K82" s="134"/>
      <c r="L82" s="191">
        <f>J82/12</f>
        <v>87.333333333333329</v>
      </c>
      <c r="M82" s="121"/>
      <c r="N82" s="194">
        <f>N81</f>
        <v>623.27200000000005</v>
      </c>
      <c r="O82" s="134"/>
      <c r="P82" s="191">
        <f>N82/12</f>
        <v>51.939333333333337</v>
      </c>
    </row>
    <row r="83" spans="1:22" ht="13.5" customHeight="1" x14ac:dyDescent="0.25">
      <c r="A83" s="355"/>
      <c r="B83" s="328" t="s">
        <v>67</v>
      </c>
      <c r="C83" s="328"/>
      <c r="D83" s="328"/>
      <c r="E83" s="125"/>
      <c r="F83" s="326">
        <f>19.75*6</f>
        <v>118.5</v>
      </c>
      <c r="G83" s="326"/>
      <c r="H83" s="352"/>
      <c r="I83" s="123"/>
      <c r="J83" s="339">
        <f>6*19.66</f>
        <v>117.96000000000001</v>
      </c>
      <c r="K83" s="326"/>
      <c r="L83" s="327"/>
      <c r="M83" s="121"/>
      <c r="N83" s="339">
        <v>91.653999999999996</v>
      </c>
      <c r="O83" s="326"/>
      <c r="P83" s="327"/>
      <c r="S83" s="122">
        <f>2*(S80+S81*3.413)</f>
        <v>2033.1432</v>
      </c>
      <c r="U83" s="122">
        <f>2*(U80+U81*3.413)</f>
        <v>1499.0475999999999</v>
      </c>
      <c r="V83" s="122">
        <f>2*(V80+V81*3.413)</f>
        <v>1044.1088</v>
      </c>
    </row>
    <row r="84" spans="1:22" ht="13.5" customHeight="1" x14ac:dyDescent="0.25">
      <c r="A84" s="355"/>
      <c r="B84" s="328" t="s">
        <v>68</v>
      </c>
      <c r="C84" s="328"/>
      <c r="D84" s="328"/>
      <c r="E84" s="125"/>
      <c r="F84" s="326" t="e">
        <f>$F$62</f>
        <v>#REF!</v>
      </c>
      <c r="G84" s="326"/>
      <c r="H84" s="352"/>
      <c r="I84" s="123"/>
      <c r="J84" s="339" t="e">
        <f>#REF!</f>
        <v>#REF!</v>
      </c>
      <c r="K84" s="326"/>
      <c r="L84" s="327"/>
      <c r="M84" s="121"/>
      <c r="N84" s="339" t="e">
        <f>$F$62</f>
        <v>#REF!</v>
      </c>
      <c r="O84" s="326"/>
      <c r="P84" s="327"/>
      <c r="S84" s="122">
        <f>S80/12</f>
        <v>69.583333333333329</v>
      </c>
    </row>
    <row r="85" spans="1:22" ht="14.1" customHeight="1" x14ac:dyDescent="0.25">
      <c r="A85" s="355"/>
      <c r="B85" s="328" t="s">
        <v>69</v>
      </c>
      <c r="C85" s="328"/>
      <c r="D85" s="328"/>
      <c r="E85" s="125"/>
      <c r="F85" s="133">
        <f>H85*3.413</f>
        <v>2108.4405000000002</v>
      </c>
      <c r="G85" s="137"/>
      <c r="H85" s="203">
        <f>IF(F81+3.413*F83=0,"",(F81+3.413*F83)/3.413)</f>
        <v>617.76750659244078</v>
      </c>
      <c r="I85" s="123"/>
      <c r="J85" s="193">
        <f>L85*3.413</f>
        <v>1450.5974799999999</v>
      </c>
      <c r="K85" s="137"/>
      <c r="L85" s="192">
        <f>IF(J81+3.413*J83=0,"",(J81+3.413*J83)/3.413)</f>
        <v>425.02123644887195</v>
      </c>
      <c r="M85" s="121"/>
      <c r="N85" s="193">
        <v>890.22699999999998</v>
      </c>
      <c r="O85" s="137"/>
      <c r="P85" s="192">
        <f>N85/3.413</f>
        <v>260.83416349252855</v>
      </c>
    </row>
    <row r="86" spans="1:22" ht="14.1" customHeight="1" x14ac:dyDescent="0.25">
      <c r="A86" s="355"/>
      <c r="B86" s="328" t="s">
        <v>70</v>
      </c>
      <c r="C86" s="328"/>
      <c r="D86" s="328"/>
      <c r="E86" s="125"/>
      <c r="F86" s="329" t="str">
        <f>IFERROR(H85/(F83+F84),"")</f>
        <v/>
      </c>
      <c r="G86" s="329"/>
      <c r="H86" s="351"/>
      <c r="I86" s="123"/>
      <c r="J86" s="331" t="str">
        <f>IFERROR(L85/(J83+J84),"")</f>
        <v/>
      </c>
      <c r="K86" s="329"/>
      <c r="L86" s="330"/>
      <c r="M86" s="121"/>
      <c r="N86" s="331" t="str">
        <f>IFERROR(P85/(N83+N84),"")</f>
        <v/>
      </c>
      <c r="O86" s="329"/>
      <c r="P86" s="330"/>
    </row>
    <row r="87" spans="1:22" ht="14.1" customHeight="1" x14ac:dyDescent="0.25">
      <c r="A87" s="355"/>
      <c r="B87" s="328" t="s">
        <v>71</v>
      </c>
      <c r="C87" s="328"/>
      <c r="D87" s="328"/>
      <c r="E87" s="125"/>
      <c r="F87" s="329">
        <f>IFERROR(F81/(F83*3.413),"")</f>
        <v>4.2132279037336771</v>
      </c>
      <c r="G87" s="329"/>
      <c r="H87" s="351"/>
      <c r="I87" s="123"/>
      <c r="J87" s="331">
        <f>IFERROR(J81/(J83*3.413),"")</f>
        <v>2.6030962737272971</v>
      </c>
      <c r="K87" s="329"/>
      <c r="L87" s="330"/>
      <c r="M87" s="121"/>
      <c r="N87" s="331">
        <f>IFERROR(N81/(N83*3.413),"")</f>
        <v>1.9924613486212059</v>
      </c>
      <c r="O87" s="329"/>
      <c r="P87" s="330"/>
    </row>
    <row r="88" spans="1:22" ht="14.1" customHeight="1" x14ac:dyDescent="0.25">
      <c r="A88" s="355"/>
      <c r="B88" s="328" t="s">
        <v>87</v>
      </c>
      <c r="C88" s="328"/>
      <c r="D88" s="328"/>
      <c r="E88" s="125"/>
      <c r="F88" s="356"/>
      <c r="G88" s="356"/>
      <c r="H88" s="357"/>
      <c r="I88" s="123"/>
      <c r="J88" s="358"/>
      <c r="K88" s="356"/>
      <c r="L88" s="359"/>
      <c r="M88" s="121"/>
      <c r="N88" s="358"/>
      <c r="O88" s="356"/>
      <c r="P88" s="359"/>
    </row>
    <row r="89" spans="1:22" ht="14.1" customHeight="1" x14ac:dyDescent="0.25">
      <c r="A89" s="355"/>
      <c r="B89" s="328" t="s">
        <v>88</v>
      </c>
      <c r="C89" s="328"/>
      <c r="D89" s="328"/>
      <c r="E89" s="125"/>
      <c r="F89" s="139">
        <v>210.6</v>
      </c>
      <c r="G89" s="140"/>
      <c r="H89" s="201">
        <f>CONVERT(F89,"F","C")</f>
        <v>99.222222222222214</v>
      </c>
      <c r="I89" s="123"/>
      <c r="J89" s="196">
        <v>210.6</v>
      </c>
      <c r="K89" s="140"/>
      <c r="L89" s="190">
        <f>CONVERT(J89,"F","C")</f>
        <v>99.222222222222214</v>
      </c>
      <c r="M89" s="121"/>
      <c r="N89" s="196">
        <v>210.6</v>
      </c>
      <c r="O89" s="140"/>
      <c r="P89" s="190">
        <f>CONVERT(N89,"F","C")</f>
        <v>99.222222222222214</v>
      </c>
    </row>
    <row r="90" spans="1:22" ht="14.1" customHeight="1" x14ac:dyDescent="0.25">
      <c r="A90" s="355"/>
      <c r="B90" s="328" t="s">
        <v>89</v>
      </c>
      <c r="C90" s="328"/>
      <c r="D90" s="328"/>
      <c r="E90" s="125"/>
      <c r="F90" s="139">
        <f>F89-7</f>
        <v>203.6</v>
      </c>
      <c r="G90" s="140"/>
      <c r="H90" s="201">
        <f t="shared" ref="H90" si="15">CONVERT(F90,"F","C")</f>
        <v>95.333333333333329</v>
      </c>
      <c r="I90" s="123"/>
      <c r="J90" s="196">
        <f>J89-7</f>
        <v>203.6</v>
      </c>
      <c r="K90" s="140"/>
      <c r="L90" s="190">
        <f t="shared" ref="L90" si="16">CONVERT(J90,"F","C")</f>
        <v>95.333333333333329</v>
      </c>
      <c r="M90" s="121"/>
      <c r="N90" s="196">
        <f>N89-7</f>
        <v>203.6</v>
      </c>
      <c r="O90" s="140"/>
      <c r="P90" s="190">
        <f t="shared" ref="P90" si="17">CONVERT(N90,"F","C")</f>
        <v>95.333333333333329</v>
      </c>
    </row>
    <row r="91" spans="1:22" ht="13.5" customHeight="1" x14ac:dyDescent="0.25">
      <c r="A91" s="355"/>
      <c r="B91" s="328" t="s">
        <v>90</v>
      </c>
      <c r="C91" s="328"/>
      <c r="D91" s="328"/>
      <c r="E91" s="125"/>
      <c r="F91" s="139">
        <v>13</v>
      </c>
      <c r="G91" s="140"/>
      <c r="H91" s="204">
        <f>F91/1.8</f>
        <v>7.2222222222222223</v>
      </c>
      <c r="I91" s="123"/>
      <c r="J91" s="196">
        <v>13</v>
      </c>
      <c r="K91" s="140"/>
      <c r="L91" s="197">
        <f>J91/1.8</f>
        <v>7.2222222222222223</v>
      </c>
      <c r="M91" s="121"/>
      <c r="N91" s="196">
        <v>13</v>
      </c>
      <c r="O91" s="140"/>
      <c r="P91" s="197">
        <f>N91/1.8</f>
        <v>7.2222222222222223</v>
      </c>
    </row>
    <row r="92" spans="1:22" ht="13.5" customHeight="1" x14ac:dyDescent="0.25">
      <c r="A92" s="355"/>
      <c r="B92" s="328" t="s">
        <v>91</v>
      </c>
      <c r="C92" s="328"/>
      <c r="D92" s="328"/>
      <c r="E92" s="125"/>
      <c r="F92" s="139">
        <v>7</v>
      </c>
      <c r="G92" s="140"/>
      <c r="H92" s="204">
        <f>F92/1.8</f>
        <v>3.8888888888888888</v>
      </c>
      <c r="I92" s="123"/>
      <c r="J92" s="196">
        <v>7</v>
      </c>
      <c r="K92" s="140"/>
      <c r="L92" s="197">
        <f>J92/1.8</f>
        <v>3.8888888888888888</v>
      </c>
      <c r="M92" s="121"/>
      <c r="N92" s="196">
        <v>7</v>
      </c>
      <c r="O92" s="140"/>
      <c r="P92" s="197">
        <f>N92/1.8</f>
        <v>3.8888888888888888</v>
      </c>
      <c r="R92" s="122">
        <v>3</v>
      </c>
      <c r="S92" s="122" t="s">
        <v>83</v>
      </c>
    </row>
    <row r="93" spans="1:22" ht="13.5" customHeight="1" x14ac:dyDescent="0.25">
      <c r="A93" s="355"/>
      <c r="B93" s="328" t="s">
        <v>73</v>
      </c>
      <c r="C93" s="328"/>
      <c r="D93" s="328"/>
      <c r="E93" s="125"/>
      <c r="F93" s="131">
        <v>100</v>
      </c>
      <c r="G93" s="131">
        <v>50</v>
      </c>
      <c r="H93" s="201">
        <f t="shared" ref="H93:H94" si="18">CONVERT(F93,"F","C")</f>
        <v>37.777777777777779</v>
      </c>
      <c r="I93" s="123"/>
      <c r="J93" s="195">
        <v>100</v>
      </c>
      <c r="K93" s="131">
        <v>50</v>
      </c>
      <c r="L93" s="190">
        <f t="shared" ref="L93:L94" si="19">CONVERT(J93,"F","C")</f>
        <v>37.777777777777779</v>
      </c>
      <c r="M93" s="121"/>
      <c r="N93" s="195">
        <v>100</v>
      </c>
      <c r="O93" s="131">
        <v>50</v>
      </c>
      <c r="P93" s="190">
        <f t="shared" ref="P93:P94" si="20">CONVERT(N93,"F","C")</f>
        <v>37.777777777777779</v>
      </c>
      <c r="S93" s="122">
        <v>77</v>
      </c>
      <c r="U93" s="122">
        <v>47</v>
      </c>
      <c r="V93" s="122">
        <v>17</v>
      </c>
    </row>
    <row r="94" spans="1:22" ht="13.5" customHeight="1" x14ac:dyDescent="0.25">
      <c r="A94" s="355"/>
      <c r="B94" s="328" t="s">
        <v>74</v>
      </c>
      <c r="C94" s="328"/>
      <c r="D94" s="328"/>
      <c r="E94" s="125"/>
      <c r="F94" s="131">
        <v>120</v>
      </c>
      <c r="G94" s="131">
        <v>140</v>
      </c>
      <c r="H94" s="201">
        <f t="shared" si="18"/>
        <v>48.888888888888886</v>
      </c>
      <c r="I94" s="123"/>
      <c r="J94" s="195">
        <v>120</v>
      </c>
      <c r="K94" s="131">
        <v>140</v>
      </c>
      <c r="L94" s="190">
        <f t="shared" si="19"/>
        <v>48.888888888888886</v>
      </c>
      <c r="M94" s="121"/>
      <c r="N94" s="195">
        <v>120</v>
      </c>
      <c r="O94" s="131">
        <v>140</v>
      </c>
      <c r="P94" s="190">
        <f t="shared" si="20"/>
        <v>48.888888888888886</v>
      </c>
      <c r="S94" s="122">
        <f>325*3</f>
        <v>975</v>
      </c>
      <c r="U94" s="122">
        <f>235*3</f>
        <v>705</v>
      </c>
      <c r="V94" s="122">
        <f>146.5*3</f>
        <v>439.5</v>
      </c>
    </row>
    <row r="95" spans="1:22" ht="14.1" customHeight="1" x14ac:dyDescent="0.25">
      <c r="A95" s="355"/>
      <c r="B95" s="328" t="s">
        <v>75</v>
      </c>
      <c r="C95" s="328"/>
      <c r="D95" s="328"/>
      <c r="E95" s="125"/>
      <c r="F95" s="340">
        <v>201.7</v>
      </c>
      <c r="G95" s="340"/>
      <c r="H95" s="354"/>
      <c r="I95" s="123"/>
      <c r="J95" s="342">
        <v>134.6</v>
      </c>
      <c r="K95" s="340"/>
      <c r="L95" s="341"/>
      <c r="M95" s="121"/>
      <c r="N95" s="342">
        <v>96.04</v>
      </c>
      <c r="O95" s="340"/>
      <c r="P95" s="341"/>
      <c r="S95" s="122">
        <f>22.1*3</f>
        <v>66.300000000000011</v>
      </c>
      <c r="U95" s="122">
        <f>21.6*3</f>
        <v>64.800000000000011</v>
      </c>
      <c r="V95" s="122">
        <f>20.5*3</f>
        <v>61.5</v>
      </c>
    </row>
    <row r="96" spans="1:22" ht="14.1" customHeight="1" x14ac:dyDescent="0.25">
      <c r="A96" s="355"/>
      <c r="B96" s="328" t="s">
        <v>76</v>
      </c>
      <c r="C96" s="328"/>
      <c r="D96" s="328"/>
      <c r="E96" s="125"/>
      <c r="F96" s="343">
        <v>2.3740000000000001</v>
      </c>
      <c r="G96" s="343"/>
      <c r="H96" s="353"/>
      <c r="I96" s="121"/>
      <c r="J96" s="345">
        <v>1.107</v>
      </c>
      <c r="K96" s="343"/>
      <c r="L96" s="344"/>
      <c r="M96" s="121"/>
      <c r="N96" s="345">
        <v>0.5857</v>
      </c>
      <c r="O96" s="343"/>
      <c r="P96" s="344"/>
    </row>
    <row r="97" spans="1:22" ht="14.1" customHeight="1" x14ac:dyDescent="0.25">
      <c r="A97" s="355"/>
      <c r="B97" s="328" t="s">
        <v>77</v>
      </c>
      <c r="C97" s="328"/>
      <c r="D97" s="328"/>
      <c r="E97" s="125"/>
      <c r="F97" s="131">
        <v>55</v>
      </c>
      <c r="G97" s="131">
        <v>50</v>
      </c>
      <c r="H97" s="132">
        <f t="shared" ref="H97:H98" si="21">CONVERT(F97,"F","C")</f>
        <v>12.777777777777777</v>
      </c>
      <c r="I97" s="121"/>
      <c r="J97" s="121"/>
      <c r="K97" s="121"/>
      <c r="L97" s="121"/>
      <c r="M97" s="121"/>
      <c r="N97" s="121"/>
      <c r="O97" s="121"/>
      <c r="P97" s="121"/>
      <c r="S97" s="122">
        <f>2*(S94+S95*3.413)</f>
        <v>2402.5637999999999</v>
      </c>
      <c r="U97" s="122">
        <f>2*(U94+U95*3.413)</f>
        <v>1852.3248000000001</v>
      </c>
      <c r="V97" s="122">
        <f>2*(V94+V95*3.413)</f>
        <v>1298.799</v>
      </c>
    </row>
    <row r="98" spans="1:22" ht="14.1" customHeight="1" x14ac:dyDescent="0.25">
      <c r="A98" s="355"/>
      <c r="B98" s="328" t="s">
        <v>78</v>
      </c>
      <c r="C98" s="328"/>
      <c r="D98" s="328"/>
      <c r="E98" s="125"/>
      <c r="F98" s="131">
        <v>45</v>
      </c>
      <c r="G98" s="131">
        <v>140</v>
      </c>
      <c r="H98" s="132">
        <f t="shared" si="21"/>
        <v>7.2222222222222223</v>
      </c>
      <c r="I98" s="121"/>
      <c r="J98" s="121"/>
      <c r="K98" s="121"/>
      <c r="L98" s="121"/>
      <c r="M98" s="121"/>
      <c r="N98" s="121"/>
      <c r="O98" s="121"/>
      <c r="P98" s="121"/>
      <c r="S98" s="122">
        <f>2*(S95+S96*3.413)</f>
        <v>132.60000000000002</v>
      </c>
      <c r="U98" s="122">
        <f>2*(U95+U96*3.413)</f>
        <v>129.60000000000002</v>
      </c>
      <c r="V98" s="122">
        <f>2*(V95+V96*3.413)</f>
        <v>123</v>
      </c>
    </row>
    <row r="99" spans="1:22" ht="1.1499999999999999" customHeight="1" x14ac:dyDescent="0.25">
      <c r="A99" s="355"/>
      <c r="B99" s="328" t="s">
        <v>79</v>
      </c>
      <c r="C99" s="328"/>
      <c r="D99" s="328"/>
      <c r="E99" s="125"/>
      <c r="F99" s="340">
        <v>56.15</v>
      </c>
      <c r="G99" s="340"/>
      <c r="H99" s="340"/>
      <c r="I99" s="121"/>
      <c r="J99" s="121"/>
      <c r="K99" s="121"/>
      <c r="L99" s="121"/>
      <c r="M99" s="121"/>
      <c r="N99" s="121"/>
      <c r="O99" s="121"/>
      <c r="P99" s="121"/>
    </row>
    <row r="100" spans="1:22" ht="14.1" customHeight="1" x14ac:dyDescent="0.25">
      <c r="A100" s="355"/>
      <c r="B100" s="328" t="s">
        <v>80</v>
      </c>
      <c r="C100" s="328"/>
      <c r="D100" s="328"/>
      <c r="E100" s="125"/>
      <c r="F100" s="343">
        <v>0.32</v>
      </c>
      <c r="G100" s="343"/>
      <c r="H100" s="343"/>
      <c r="I100" s="121"/>
      <c r="J100" s="121"/>
      <c r="K100" s="121"/>
      <c r="L100" s="121"/>
      <c r="M100" s="121"/>
      <c r="N100" s="121"/>
      <c r="O100" s="121"/>
      <c r="P100" s="121"/>
    </row>
    <row r="101" spans="1:22" ht="14.1" customHeight="1" x14ac:dyDescent="0.25">
      <c r="A101" s="175"/>
      <c r="B101" s="165"/>
      <c r="C101" s="165"/>
      <c r="D101" s="165"/>
      <c r="E101" s="125"/>
      <c r="F101" s="171"/>
      <c r="G101" s="171"/>
      <c r="H101" s="171"/>
      <c r="I101" s="121"/>
      <c r="J101" s="121"/>
      <c r="K101" s="121"/>
      <c r="L101" s="121"/>
      <c r="M101" s="121"/>
      <c r="N101" s="121"/>
      <c r="O101" s="121"/>
      <c r="P101" s="121"/>
    </row>
    <row r="102" spans="1:22" ht="14.1" customHeight="1" x14ac:dyDescent="0.25">
      <c r="A102" s="324" t="s">
        <v>92</v>
      </c>
      <c r="B102" s="324"/>
      <c r="C102" s="324"/>
      <c r="D102" s="324"/>
      <c r="E102" s="324"/>
      <c r="F102" s="324"/>
      <c r="G102" s="324"/>
      <c r="H102" s="324"/>
      <c r="I102" s="324"/>
      <c r="J102" s="324"/>
      <c r="K102" s="324"/>
      <c r="L102" s="324"/>
      <c r="M102" s="324"/>
      <c r="N102" s="324"/>
      <c r="O102" s="324"/>
      <c r="P102" s="324"/>
    </row>
    <row r="103" spans="1:22" ht="14.1" customHeight="1" x14ac:dyDescent="0.25">
      <c r="A103" s="355" t="s">
        <v>93</v>
      </c>
      <c r="B103" s="328" t="s">
        <v>61</v>
      </c>
      <c r="C103" s="328"/>
      <c r="D103" s="328"/>
      <c r="E103" s="125"/>
      <c r="F103" s="131">
        <v>41</v>
      </c>
      <c r="G103" s="131">
        <v>50</v>
      </c>
      <c r="H103" s="132">
        <f t="shared" ref="H103:H104" si="22">CONVERT(F103,"F","C")</f>
        <v>5</v>
      </c>
      <c r="I103" s="123"/>
      <c r="J103" s="123"/>
      <c r="K103" s="121"/>
      <c r="L103" s="121"/>
      <c r="M103" s="121"/>
      <c r="N103" s="121"/>
      <c r="O103" s="121"/>
      <c r="P103" s="121"/>
    </row>
    <row r="104" spans="1:22" ht="14.1" customHeight="1" x14ac:dyDescent="0.25">
      <c r="A104" s="355"/>
      <c r="B104" s="328" t="s">
        <v>62</v>
      </c>
      <c r="C104" s="328"/>
      <c r="D104" s="328"/>
      <c r="E104" s="125"/>
      <c r="F104" s="131">
        <v>115</v>
      </c>
      <c r="G104" s="131">
        <v>140</v>
      </c>
      <c r="H104" s="132">
        <f t="shared" si="22"/>
        <v>46.111111111111107</v>
      </c>
      <c r="I104" s="123"/>
      <c r="J104" s="123"/>
      <c r="K104" s="121"/>
      <c r="L104" s="121"/>
      <c r="M104" s="121"/>
      <c r="N104" s="121"/>
      <c r="O104" s="121"/>
      <c r="P104" s="121"/>
    </row>
    <row r="105" spans="1:22" ht="14.1" customHeight="1" x14ac:dyDescent="0.25">
      <c r="A105" s="355"/>
      <c r="B105" s="328" t="s">
        <v>64</v>
      </c>
      <c r="C105" s="328"/>
      <c r="D105" s="328"/>
      <c r="E105" s="125"/>
      <c r="F105" s="133">
        <f>2*12*11.72</f>
        <v>281.28000000000003</v>
      </c>
      <c r="G105" s="134"/>
      <c r="H105" s="135">
        <f>F105/12</f>
        <v>23.44</v>
      </c>
      <c r="I105" s="123"/>
      <c r="J105" s="123"/>
      <c r="K105" s="121"/>
      <c r="L105" s="121"/>
      <c r="M105" s="121"/>
      <c r="N105" s="121"/>
      <c r="O105" s="121"/>
      <c r="P105" s="121"/>
    </row>
    <row r="106" spans="1:22" ht="14.1" customHeight="1" x14ac:dyDescent="0.25">
      <c r="A106" s="355"/>
      <c r="B106" s="328" t="s">
        <v>65</v>
      </c>
      <c r="C106" s="328"/>
      <c r="D106" s="328"/>
      <c r="E106" s="125"/>
      <c r="F106" s="136">
        <f>F105</f>
        <v>281.28000000000003</v>
      </c>
      <c r="G106" s="134"/>
      <c r="H106" s="135">
        <f>F106/12</f>
        <v>23.44</v>
      </c>
      <c r="I106" s="123"/>
      <c r="J106" s="123"/>
      <c r="K106" s="121"/>
      <c r="L106" s="121"/>
      <c r="M106" s="121"/>
      <c r="N106" s="121"/>
      <c r="O106" s="121"/>
      <c r="P106" s="121"/>
    </row>
    <row r="107" spans="1:22" ht="14.1" customHeight="1" x14ac:dyDescent="0.25">
      <c r="A107" s="355"/>
      <c r="B107" s="328" t="s">
        <v>67</v>
      </c>
      <c r="C107" s="328"/>
      <c r="D107" s="328"/>
      <c r="E107" s="125"/>
      <c r="F107" s="326">
        <f>2*32.32</f>
        <v>64.64</v>
      </c>
      <c r="G107" s="326"/>
      <c r="H107" s="326"/>
      <c r="I107" s="123"/>
      <c r="J107" s="123"/>
      <c r="K107" s="121"/>
      <c r="L107" s="121"/>
      <c r="M107" s="121"/>
      <c r="N107" s="121"/>
      <c r="O107" s="121"/>
      <c r="P107" s="121"/>
    </row>
    <row r="108" spans="1:22" ht="14.1" customHeight="1" x14ac:dyDescent="0.25">
      <c r="A108" s="355"/>
      <c r="B108" s="328" t="s">
        <v>68</v>
      </c>
      <c r="C108" s="328"/>
      <c r="D108" s="328"/>
      <c r="E108" s="125"/>
      <c r="F108" s="326" t="e">
        <f>$F$62</f>
        <v>#REF!</v>
      </c>
      <c r="G108" s="326"/>
      <c r="H108" s="326"/>
      <c r="I108" s="123"/>
      <c r="J108" s="123"/>
      <c r="K108" s="121"/>
      <c r="L108" s="121"/>
      <c r="M108" s="121"/>
      <c r="N108" s="121"/>
      <c r="O108" s="121"/>
      <c r="P108" s="121"/>
    </row>
    <row r="109" spans="1:22" ht="14.1" customHeight="1" x14ac:dyDescent="0.25">
      <c r="A109" s="355"/>
      <c r="B109" s="328" t="s">
        <v>69</v>
      </c>
      <c r="C109" s="328"/>
      <c r="D109" s="328"/>
      <c r="E109" s="125"/>
      <c r="F109" s="133">
        <f>H109*3.413</f>
        <v>501.89632000000006</v>
      </c>
      <c r="G109" s="137"/>
      <c r="H109" s="138">
        <f>IF(F105+3.413*F107=0,"",(F105+3.413*F107)/3.413)</f>
        <v>147.05429827131559</v>
      </c>
      <c r="I109" s="123"/>
      <c r="J109" s="123"/>
      <c r="K109" s="121"/>
      <c r="L109" s="121"/>
      <c r="M109" s="121"/>
      <c r="N109" s="121"/>
      <c r="O109" s="121"/>
      <c r="P109" s="121"/>
    </row>
    <row r="110" spans="1:22" ht="14.1" customHeight="1" x14ac:dyDescent="0.25">
      <c r="A110" s="355"/>
      <c r="B110" s="328" t="s">
        <v>70</v>
      </c>
      <c r="C110" s="328"/>
      <c r="D110" s="328"/>
      <c r="E110" s="125"/>
      <c r="F110" s="329" t="str">
        <f>IFERROR(H109/(F107+F108),"")</f>
        <v/>
      </c>
      <c r="G110" s="329"/>
      <c r="H110" s="329"/>
      <c r="I110" s="123"/>
      <c r="J110" s="123"/>
      <c r="K110" s="121"/>
      <c r="L110" s="121"/>
      <c r="M110" s="121"/>
      <c r="N110" s="121"/>
      <c r="O110" s="121"/>
      <c r="P110" s="121"/>
    </row>
    <row r="111" spans="1:22" ht="14.1" customHeight="1" x14ac:dyDescent="0.25">
      <c r="A111" s="355"/>
      <c r="B111" s="328" t="s">
        <v>71</v>
      </c>
      <c r="C111" s="328"/>
      <c r="D111" s="328"/>
      <c r="E111" s="125"/>
      <c r="F111" s="329">
        <f>IFERROR(F105/(F107*3.413),"")</f>
        <v>1.2749736737517878</v>
      </c>
      <c r="G111" s="329"/>
      <c r="H111" s="329"/>
      <c r="I111" s="123"/>
      <c r="J111" s="123"/>
      <c r="K111" s="121"/>
      <c r="L111" s="121"/>
      <c r="M111" s="121"/>
      <c r="N111" s="121"/>
      <c r="O111" s="121"/>
      <c r="P111" s="121"/>
    </row>
    <row r="112" spans="1:22" ht="14.1" customHeight="1" x14ac:dyDescent="0.25">
      <c r="A112" s="355"/>
      <c r="B112" s="328" t="s">
        <v>87</v>
      </c>
      <c r="C112" s="328"/>
      <c r="D112" s="328"/>
      <c r="E112" s="125"/>
      <c r="F112" s="356"/>
      <c r="G112" s="356"/>
      <c r="H112" s="356"/>
      <c r="I112" s="123"/>
      <c r="J112" s="123"/>
      <c r="K112" s="121"/>
      <c r="L112" s="121"/>
      <c r="M112" s="121"/>
      <c r="N112" s="121"/>
      <c r="O112" s="121"/>
      <c r="P112" s="121"/>
    </row>
    <row r="113" spans="1:16" ht="14.1" customHeight="1" x14ac:dyDescent="0.25">
      <c r="A113" s="355"/>
      <c r="B113" s="328" t="s">
        <v>88</v>
      </c>
      <c r="C113" s="328"/>
      <c r="D113" s="328"/>
      <c r="E113" s="125"/>
      <c r="F113" s="139">
        <v>210.6</v>
      </c>
      <c r="G113" s="140"/>
      <c r="H113" s="132">
        <f>CONVERT(F113,"F","C")</f>
        <v>99.222222222222214</v>
      </c>
      <c r="I113" s="123"/>
      <c r="J113" s="123"/>
      <c r="K113" s="121"/>
      <c r="L113" s="121"/>
      <c r="M113" s="121"/>
      <c r="N113" s="121"/>
      <c r="O113" s="121"/>
      <c r="P113" s="121"/>
    </row>
    <row r="114" spans="1:16" ht="14.1" customHeight="1" x14ac:dyDescent="0.25">
      <c r="A114" s="355"/>
      <c r="B114" s="328" t="s">
        <v>89</v>
      </c>
      <c r="C114" s="328"/>
      <c r="D114" s="328"/>
      <c r="E114" s="125"/>
      <c r="F114" s="139">
        <f>F113-7</f>
        <v>203.6</v>
      </c>
      <c r="G114" s="140"/>
      <c r="H114" s="132">
        <f t="shared" ref="H114" si="23">CONVERT(F114,"F","C")</f>
        <v>95.333333333333329</v>
      </c>
      <c r="I114" s="123"/>
      <c r="J114" s="123"/>
      <c r="K114" s="121"/>
      <c r="L114" s="121"/>
      <c r="M114" s="121"/>
      <c r="N114" s="121"/>
      <c r="O114" s="121"/>
      <c r="P114" s="121"/>
    </row>
    <row r="115" spans="1:16" ht="14.1" customHeight="1" x14ac:dyDescent="0.25">
      <c r="A115" s="355"/>
      <c r="B115" s="328" t="s">
        <v>90</v>
      </c>
      <c r="C115" s="328"/>
      <c r="D115" s="328"/>
      <c r="E115" s="125"/>
      <c r="F115" s="139">
        <v>13</v>
      </c>
      <c r="G115" s="140"/>
      <c r="H115" s="144">
        <f>F115/1.8</f>
        <v>7.2222222222222223</v>
      </c>
      <c r="I115" s="123"/>
      <c r="J115" s="123"/>
      <c r="K115" s="121"/>
      <c r="L115" s="121"/>
      <c r="M115" s="121"/>
      <c r="N115" s="121"/>
      <c r="O115" s="121"/>
      <c r="P115" s="121"/>
    </row>
    <row r="116" spans="1:16" ht="14.1" customHeight="1" x14ac:dyDescent="0.25">
      <c r="A116" s="355"/>
      <c r="B116" s="328" t="s">
        <v>91</v>
      </c>
      <c r="C116" s="328"/>
      <c r="D116" s="328"/>
      <c r="E116" s="125"/>
      <c r="F116" s="139">
        <v>7</v>
      </c>
      <c r="G116" s="140"/>
      <c r="H116" s="144">
        <f>F116/1.8</f>
        <v>3.8888888888888888</v>
      </c>
      <c r="I116" s="123"/>
      <c r="J116" s="123"/>
      <c r="K116" s="121"/>
      <c r="L116" s="121"/>
      <c r="M116" s="121"/>
      <c r="N116" s="121"/>
      <c r="O116" s="121"/>
      <c r="P116" s="121"/>
    </row>
    <row r="117" spans="1:16" ht="14.1" hidden="1" customHeight="1" x14ac:dyDescent="0.25">
      <c r="A117" s="355"/>
      <c r="B117" s="328" t="s">
        <v>73</v>
      </c>
      <c r="C117" s="328"/>
      <c r="D117" s="328"/>
      <c r="E117" s="125"/>
      <c r="F117" s="131">
        <v>156</v>
      </c>
      <c r="G117" s="131">
        <v>50</v>
      </c>
      <c r="H117" s="132">
        <f t="shared" ref="H117:H118" si="24">CONVERT(F117,"F","C")</f>
        <v>68.888888888888886</v>
      </c>
      <c r="I117" s="123"/>
      <c r="J117" s="123"/>
      <c r="K117" s="121"/>
      <c r="L117" s="121"/>
      <c r="M117" s="121"/>
      <c r="N117" s="121"/>
      <c r="O117" s="121"/>
      <c r="P117" s="121"/>
    </row>
    <row r="118" spans="1:16" ht="14.1" hidden="1" customHeight="1" x14ac:dyDescent="0.25">
      <c r="A118" s="355"/>
      <c r="B118" s="328" t="s">
        <v>74</v>
      </c>
      <c r="C118" s="328"/>
      <c r="D118" s="328"/>
      <c r="E118" s="125"/>
      <c r="F118" s="131">
        <v>176</v>
      </c>
      <c r="G118" s="131">
        <v>140</v>
      </c>
      <c r="H118" s="132">
        <f t="shared" si="24"/>
        <v>80</v>
      </c>
      <c r="I118" s="121"/>
      <c r="J118" s="121"/>
      <c r="K118" s="121"/>
      <c r="L118" s="121"/>
      <c r="M118" s="121"/>
      <c r="N118" s="121"/>
      <c r="O118" s="121"/>
      <c r="P118" s="121"/>
    </row>
    <row r="119" spans="1:16" ht="14.1" hidden="1" customHeight="1" x14ac:dyDescent="0.25">
      <c r="A119" s="355"/>
      <c r="B119" s="328" t="s">
        <v>75</v>
      </c>
      <c r="C119" s="328"/>
      <c r="D119" s="328"/>
      <c r="E119" s="125"/>
      <c r="F119" s="340">
        <v>50.08</v>
      </c>
      <c r="G119" s="340"/>
      <c r="H119" s="340"/>
      <c r="I119" s="121"/>
      <c r="J119" s="121"/>
      <c r="K119" s="121"/>
      <c r="L119" s="121"/>
      <c r="M119" s="121"/>
      <c r="N119" s="121"/>
      <c r="O119" s="121"/>
      <c r="P119" s="121"/>
    </row>
    <row r="120" spans="1:16" ht="14.1" hidden="1" customHeight="1" x14ac:dyDescent="0.25">
      <c r="A120" s="355"/>
      <c r="B120" s="328" t="s">
        <v>76</v>
      </c>
      <c r="C120" s="328"/>
      <c r="D120" s="328"/>
      <c r="E120" s="125"/>
      <c r="F120" s="343">
        <v>0.186</v>
      </c>
      <c r="G120" s="343"/>
      <c r="H120" s="343"/>
      <c r="I120" s="121"/>
      <c r="J120" s="121"/>
      <c r="K120" s="121"/>
      <c r="L120" s="121"/>
      <c r="M120" s="121"/>
      <c r="N120" s="121"/>
      <c r="O120" s="121"/>
      <c r="P120" s="121"/>
    </row>
    <row r="121" spans="1:16" ht="14.1" customHeight="1" x14ac:dyDescent="0.25">
      <c r="A121" s="355"/>
      <c r="B121" s="328" t="s">
        <v>77</v>
      </c>
      <c r="C121" s="328"/>
      <c r="D121" s="328"/>
      <c r="E121" s="125"/>
      <c r="F121" s="131">
        <v>55</v>
      </c>
      <c r="G121" s="131">
        <v>50</v>
      </c>
      <c r="H121" s="132">
        <f t="shared" ref="H121:H122" si="25">CONVERT(F121,"F","C")</f>
        <v>12.777777777777777</v>
      </c>
      <c r="I121" s="121"/>
      <c r="J121" s="121"/>
      <c r="K121" s="121"/>
      <c r="L121" s="121"/>
      <c r="M121" s="121"/>
      <c r="N121" s="121"/>
      <c r="O121" s="121"/>
      <c r="P121" s="121"/>
    </row>
    <row r="122" spans="1:16" ht="14.1" customHeight="1" x14ac:dyDescent="0.25">
      <c r="A122" s="355"/>
      <c r="B122" s="328" t="s">
        <v>78</v>
      </c>
      <c r="C122" s="328"/>
      <c r="D122" s="328"/>
      <c r="E122" s="125"/>
      <c r="F122" s="131">
        <v>45</v>
      </c>
      <c r="G122" s="131">
        <v>140</v>
      </c>
      <c r="H122" s="132">
        <f t="shared" si="25"/>
        <v>7.2222222222222223</v>
      </c>
      <c r="I122" s="121"/>
      <c r="J122" s="121"/>
      <c r="K122" s="121"/>
      <c r="L122" s="121"/>
      <c r="M122" s="121"/>
      <c r="N122" s="121"/>
      <c r="O122" s="121"/>
      <c r="P122" s="121"/>
    </row>
    <row r="123" spans="1:16" ht="14.1" customHeight="1" x14ac:dyDescent="0.25">
      <c r="A123" s="355"/>
      <c r="B123" s="328" t="s">
        <v>79</v>
      </c>
      <c r="C123" s="328"/>
      <c r="D123" s="328"/>
      <c r="E123" s="125"/>
      <c r="F123" s="340">
        <v>56.15</v>
      </c>
      <c r="G123" s="340"/>
      <c r="H123" s="340"/>
      <c r="I123" s="121"/>
      <c r="J123" s="121"/>
      <c r="K123" s="121"/>
      <c r="L123" s="121"/>
      <c r="M123" s="121"/>
      <c r="N123" s="121"/>
      <c r="O123" s="121"/>
      <c r="P123" s="121"/>
    </row>
    <row r="124" spans="1:16" ht="14.1" customHeight="1" x14ac:dyDescent="0.25">
      <c r="A124" s="355"/>
      <c r="B124" s="328" t="s">
        <v>80</v>
      </c>
      <c r="C124" s="328"/>
      <c r="D124" s="328"/>
      <c r="E124" s="125"/>
      <c r="F124" s="343">
        <v>0.32</v>
      </c>
      <c r="G124" s="343"/>
      <c r="H124" s="343"/>
      <c r="I124" s="121"/>
      <c r="J124" s="121"/>
      <c r="K124" s="121"/>
      <c r="L124" s="121"/>
      <c r="M124" s="121"/>
      <c r="N124" s="121"/>
      <c r="O124" s="121"/>
      <c r="P124" s="121"/>
    </row>
    <row r="125" spans="1:16" ht="14.1" customHeight="1" x14ac:dyDescent="0.25">
      <c r="A125" s="175"/>
      <c r="B125" s="165"/>
      <c r="C125" s="165"/>
      <c r="D125" s="165"/>
      <c r="E125" s="125"/>
      <c r="F125" s="171"/>
      <c r="G125" s="171"/>
      <c r="H125" s="171"/>
      <c r="I125" s="121"/>
      <c r="J125" s="121"/>
      <c r="K125" s="121"/>
      <c r="L125" s="121"/>
      <c r="M125" s="121"/>
      <c r="N125" s="121"/>
      <c r="O125" s="121"/>
      <c r="P125" s="121"/>
    </row>
    <row r="126" spans="1:16" ht="14.1" customHeight="1" x14ac:dyDescent="0.25">
      <c r="A126" s="324" t="s">
        <v>94</v>
      </c>
      <c r="B126" s="324"/>
      <c r="C126" s="324"/>
      <c r="D126" s="324"/>
      <c r="E126" s="324"/>
      <c r="F126" s="324"/>
      <c r="G126" s="324"/>
      <c r="H126" s="324"/>
      <c r="I126" s="324"/>
      <c r="J126" s="324"/>
      <c r="K126" s="324"/>
      <c r="L126" s="324"/>
      <c r="M126" s="324"/>
      <c r="N126" s="324"/>
      <c r="O126" s="324"/>
      <c r="P126" s="324"/>
    </row>
    <row r="127" spans="1:16" ht="14.1" customHeight="1" x14ac:dyDescent="0.25">
      <c r="A127" s="180"/>
      <c r="B127" s="180"/>
      <c r="C127" s="180"/>
      <c r="D127" s="180"/>
      <c r="E127" s="180"/>
      <c r="F127" s="335"/>
      <c r="G127" s="335"/>
      <c r="H127" s="335"/>
      <c r="I127" s="180"/>
      <c r="J127" s="180"/>
      <c r="K127" s="335"/>
      <c r="L127" s="335"/>
      <c r="M127" s="335"/>
      <c r="N127" s="180"/>
      <c r="O127" s="180"/>
      <c r="P127" s="180"/>
    </row>
    <row r="128" spans="1:16" ht="14.1" customHeight="1" x14ac:dyDescent="0.25">
      <c r="A128" s="355" t="s">
        <v>95</v>
      </c>
      <c r="B128" s="328" t="s">
        <v>61</v>
      </c>
      <c r="C128" s="328"/>
      <c r="D128" s="328"/>
      <c r="E128" s="125"/>
      <c r="F128" s="131">
        <v>41</v>
      </c>
      <c r="G128" s="131">
        <v>50</v>
      </c>
      <c r="H128" s="132">
        <f t="shared" ref="H128:H129" si="26">CONVERT(F128,"F","C")</f>
        <v>5</v>
      </c>
      <c r="I128" s="123"/>
      <c r="J128" s="123"/>
      <c r="K128" s="131">
        <v>41</v>
      </c>
      <c r="L128" s="131">
        <v>50</v>
      </c>
      <c r="M128" s="132">
        <f t="shared" ref="M128:M129" si="27">CONVERT(K128,"F","C")</f>
        <v>5</v>
      </c>
      <c r="N128" s="121"/>
      <c r="O128" s="121"/>
      <c r="P128" s="121"/>
    </row>
    <row r="129" spans="1:16" ht="14.1" customHeight="1" x14ac:dyDescent="0.25">
      <c r="A129" s="355"/>
      <c r="B129" s="328" t="s">
        <v>62</v>
      </c>
      <c r="C129" s="328"/>
      <c r="D129" s="328"/>
      <c r="E129" s="125"/>
      <c r="F129" s="131">
        <v>115</v>
      </c>
      <c r="G129" s="131">
        <v>140</v>
      </c>
      <c r="H129" s="132">
        <f t="shared" si="26"/>
        <v>46.111111111111107</v>
      </c>
      <c r="I129" s="123"/>
      <c r="J129" s="123"/>
      <c r="K129" s="131">
        <v>115</v>
      </c>
      <c r="L129" s="131">
        <v>140</v>
      </c>
      <c r="M129" s="132">
        <f t="shared" si="27"/>
        <v>46.111111111111107</v>
      </c>
      <c r="N129" s="121"/>
      <c r="O129" s="121"/>
      <c r="P129" s="121"/>
    </row>
    <row r="130" spans="1:16" ht="14.1" customHeight="1" x14ac:dyDescent="0.25">
      <c r="A130" s="355"/>
      <c r="B130" s="328" t="s">
        <v>64</v>
      </c>
      <c r="C130" s="328"/>
      <c r="D130" s="328"/>
      <c r="E130" s="125"/>
      <c r="F130" s="133">
        <f>2*12*11.72</f>
        <v>281.28000000000003</v>
      </c>
      <c r="G130" s="134"/>
      <c r="H130" s="135">
        <f>F130/12</f>
        <v>23.44</v>
      </c>
      <c r="I130" s="123"/>
      <c r="J130" s="123"/>
      <c r="K130" s="133">
        <f>2*12*11.72</f>
        <v>281.28000000000003</v>
      </c>
      <c r="L130" s="134"/>
      <c r="M130" s="135">
        <f>K130/12</f>
        <v>23.44</v>
      </c>
      <c r="N130" s="121"/>
      <c r="O130" s="121"/>
      <c r="P130" s="121"/>
    </row>
    <row r="131" spans="1:16" ht="14.1" customHeight="1" x14ac:dyDescent="0.25">
      <c r="A131" s="355"/>
      <c r="B131" s="328" t="s">
        <v>65</v>
      </c>
      <c r="C131" s="328"/>
      <c r="D131" s="328"/>
      <c r="E131" s="125"/>
      <c r="F131" s="136">
        <f>F130</f>
        <v>281.28000000000003</v>
      </c>
      <c r="G131" s="134"/>
      <c r="H131" s="135">
        <f>F131/12</f>
        <v>23.44</v>
      </c>
      <c r="I131" s="123"/>
      <c r="J131" s="123"/>
      <c r="K131" s="136">
        <f>K130</f>
        <v>281.28000000000003</v>
      </c>
      <c r="L131" s="134"/>
      <c r="M131" s="135">
        <f>K131/12</f>
        <v>23.44</v>
      </c>
      <c r="N131" s="121"/>
      <c r="O131" s="121"/>
      <c r="P131" s="121"/>
    </row>
    <row r="132" spans="1:16" ht="14.1" customHeight="1" x14ac:dyDescent="0.25">
      <c r="A132" s="355"/>
      <c r="B132" s="328" t="s">
        <v>67</v>
      </c>
      <c r="C132" s="328"/>
      <c r="D132" s="328"/>
      <c r="E132" s="125"/>
      <c r="F132" s="326">
        <f>2*32.32</f>
        <v>64.64</v>
      </c>
      <c r="G132" s="326"/>
      <c r="H132" s="326"/>
      <c r="I132" s="123"/>
      <c r="J132" s="123"/>
      <c r="K132" s="326">
        <f>2*32.32</f>
        <v>64.64</v>
      </c>
      <c r="L132" s="326"/>
      <c r="M132" s="326"/>
      <c r="N132" s="121"/>
      <c r="O132" s="121"/>
      <c r="P132" s="121"/>
    </row>
    <row r="133" spans="1:16" ht="14.1" customHeight="1" x14ac:dyDescent="0.25">
      <c r="A133" s="355"/>
      <c r="B133" s="328" t="s">
        <v>68</v>
      </c>
      <c r="C133" s="328"/>
      <c r="D133" s="328"/>
      <c r="E133" s="125"/>
      <c r="F133" s="326" t="e">
        <f>$F$62</f>
        <v>#REF!</v>
      </c>
      <c r="G133" s="326"/>
      <c r="H133" s="326"/>
      <c r="I133" s="123"/>
      <c r="J133" s="123"/>
      <c r="K133" s="326" t="e">
        <f>$F$62</f>
        <v>#REF!</v>
      </c>
      <c r="L133" s="326"/>
      <c r="M133" s="326"/>
      <c r="N133" s="121"/>
      <c r="O133" s="121"/>
      <c r="P133" s="121"/>
    </row>
    <row r="134" spans="1:16" ht="14.1" customHeight="1" x14ac:dyDescent="0.25">
      <c r="A134" s="355"/>
      <c r="B134" s="328" t="s">
        <v>69</v>
      </c>
      <c r="C134" s="328"/>
      <c r="D134" s="328"/>
      <c r="E134" s="125"/>
      <c r="F134" s="133">
        <f>H134*3.413</f>
        <v>501.89632000000006</v>
      </c>
      <c r="G134" s="137"/>
      <c r="H134" s="138">
        <f>IF(F130+3.413*F132=0,"",(F130+3.413*F132)/3.413)</f>
        <v>147.05429827131559</v>
      </c>
      <c r="I134" s="123"/>
      <c r="J134" s="123"/>
      <c r="K134" s="133">
        <f>M134*3.413</f>
        <v>501.89632000000006</v>
      </c>
      <c r="L134" s="137"/>
      <c r="M134" s="138">
        <f>IF(K130+3.413*K132=0,"",(K130+3.413*K132)/3.413)</f>
        <v>147.05429827131559</v>
      </c>
      <c r="N134" s="121"/>
      <c r="O134" s="121"/>
      <c r="P134" s="121"/>
    </row>
    <row r="135" spans="1:16" ht="14.1" customHeight="1" x14ac:dyDescent="0.25">
      <c r="A135" s="355"/>
      <c r="B135" s="328" t="s">
        <v>70</v>
      </c>
      <c r="C135" s="328"/>
      <c r="D135" s="328"/>
      <c r="E135" s="125"/>
      <c r="F135" s="329" t="str">
        <f>IFERROR(H134/(F132+F133),"")</f>
        <v/>
      </c>
      <c r="G135" s="329"/>
      <c r="H135" s="329"/>
      <c r="I135" s="123"/>
      <c r="J135" s="123"/>
      <c r="K135" s="329" t="str">
        <f>IFERROR(M134/(K132+K133),"")</f>
        <v/>
      </c>
      <c r="L135" s="329"/>
      <c r="M135" s="329"/>
      <c r="N135" s="121"/>
      <c r="O135" s="121"/>
      <c r="P135" s="121"/>
    </row>
    <row r="136" spans="1:16" ht="14.1" customHeight="1" x14ac:dyDescent="0.25">
      <c r="A136" s="355"/>
      <c r="B136" s="328" t="s">
        <v>71</v>
      </c>
      <c r="C136" s="328"/>
      <c r="D136" s="328"/>
      <c r="E136" s="125"/>
      <c r="F136" s="329">
        <f>IFERROR(F130/(F132*3.413),"")</f>
        <v>1.2749736737517878</v>
      </c>
      <c r="G136" s="329"/>
      <c r="H136" s="329"/>
      <c r="I136" s="123"/>
      <c r="J136" s="123"/>
      <c r="K136" s="329">
        <f>IFERROR(K130/(K132*3.413),"")</f>
        <v>1.2749736737517878</v>
      </c>
      <c r="L136" s="329"/>
      <c r="M136" s="329"/>
      <c r="N136" s="121"/>
      <c r="O136" s="121"/>
      <c r="P136" s="121"/>
    </row>
    <row r="137" spans="1:16" ht="14.1" customHeight="1" x14ac:dyDescent="0.25">
      <c r="A137" s="355"/>
      <c r="B137" s="328" t="s">
        <v>87</v>
      </c>
      <c r="C137" s="328"/>
      <c r="D137" s="328"/>
      <c r="E137" s="125"/>
      <c r="F137" s="356"/>
      <c r="G137" s="356"/>
      <c r="H137" s="356"/>
      <c r="I137" s="123"/>
      <c r="J137" s="123"/>
      <c r="K137" s="356"/>
      <c r="L137" s="356"/>
      <c r="M137" s="356"/>
      <c r="N137" s="121"/>
      <c r="O137" s="121"/>
      <c r="P137" s="121"/>
    </row>
    <row r="138" spans="1:16" ht="14.1" customHeight="1" x14ac:dyDescent="0.25">
      <c r="A138" s="355"/>
      <c r="B138" s="328" t="s">
        <v>88</v>
      </c>
      <c r="C138" s="328"/>
      <c r="D138" s="328"/>
      <c r="E138" s="125"/>
      <c r="F138" s="139">
        <v>210.6</v>
      </c>
      <c r="G138" s="140"/>
      <c r="H138" s="132">
        <f>CONVERT(F138,"F","C")</f>
        <v>99.222222222222214</v>
      </c>
      <c r="I138" s="123"/>
      <c r="J138" s="123"/>
      <c r="K138" s="139">
        <v>210.6</v>
      </c>
      <c r="L138" s="140"/>
      <c r="M138" s="132">
        <f>CONVERT(K138,"F","C")</f>
        <v>99.222222222222214</v>
      </c>
      <c r="N138" s="121"/>
      <c r="O138" s="121"/>
      <c r="P138" s="121"/>
    </row>
    <row r="139" spans="1:16" ht="14.1" customHeight="1" x14ac:dyDescent="0.25">
      <c r="A139" s="355"/>
      <c r="B139" s="328" t="s">
        <v>89</v>
      </c>
      <c r="C139" s="328"/>
      <c r="D139" s="328"/>
      <c r="E139" s="125"/>
      <c r="F139" s="139">
        <f>F138-7</f>
        <v>203.6</v>
      </c>
      <c r="G139" s="140"/>
      <c r="H139" s="132">
        <f t="shared" ref="H139" si="28">CONVERT(F139,"F","C")</f>
        <v>95.333333333333329</v>
      </c>
      <c r="I139" s="123"/>
      <c r="J139" s="123"/>
      <c r="K139" s="139">
        <f>K138-7</f>
        <v>203.6</v>
      </c>
      <c r="L139" s="140"/>
      <c r="M139" s="132">
        <f t="shared" ref="M139" si="29">CONVERT(K139,"F","C")</f>
        <v>95.333333333333329</v>
      </c>
      <c r="N139" s="121"/>
      <c r="O139" s="121"/>
      <c r="P139" s="121"/>
    </row>
    <row r="140" spans="1:16" ht="14.1" customHeight="1" x14ac:dyDescent="0.25">
      <c r="A140" s="355"/>
      <c r="B140" s="328" t="s">
        <v>90</v>
      </c>
      <c r="C140" s="328"/>
      <c r="D140" s="328"/>
      <c r="E140" s="125"/>
      <c r="F140" s="139">
        <v>13</v>
      </c>
      <c r="G140" s="140"/>
      <c r="H140" s="144">
        <f>F140/1.8</f>
        <v>7.2222222222222223</v>
      </c>
      <c r="I140" s="123"/>
      <c r="J140" s="123"/>
      <c r="K140" s="139">
        <v>13</v>
      </c>
      <c r="L140" s="140"/>
      <c r="M140" s="144">
        <f>K140/1.8</f>
        <v>7.2222222222222223</v>
      </c>
      <c r="N140" s="121"/>
      <c r="O140" s="121"/>
      <c r="P140" s="121"/>
    </row>
    <row r="141" spans="1:16" ht="14.1" customHeight="1" x14ac:dyDescent="0.25">
      <c r="A141" s="355"/>
      <c r="B141" s="328" t="s">
        <v>91</v>
      </c>
      <c r="C141" s="328"/>
      <c r="D141" s="328"/>
      <c r="E141" s="125"/>
      <c r="F141" s="139">
        <v>7</v>
      </c>
      <c r="G141" s="140"/>
      <c r="H141" s="144">
        <f>F141/1.8</f>
        <v>3.8888888888888888</v>
      </c>
      <c r="I141" s="123"/>
      <c r="J141" s="123"/>
      <c r="K141" s="139">
        <v>7</v>
      </c>
      <c r="L141" s="140"/>
      <c r="M141" s="144">
        <f>K141/1.8</f>
        <v>3.8888888888888888</v>
      </c>
      <c r="N141" s="121"/>
      <c r="O141" s="121"/>
      <c r="P141" s="121"/>
    </row>
    <row r="142" spans="1:16" ht="14.1" customHeight="1" x14ac:dyDescent="0.25">
      <c r="A142" s="355"/>
      <c r="B142" s="328" t="s">
        <v>73</v>
      </c>
      <c r="C142" s="328"/>
      <c r="D142" s="328"/>
      <c r="E142" s="125"/>
      <c r="F142" s="131">
        <v>156</v>
      </c>
      <c r="G142" s="131">
        <v>50</v>
      </c>
      <c r="H142" s="132">
        <f t="shared" ref="H142:H143" si="30">CONVERT(F142,"F","C")</f>
        <v>68.888888888888886</v>
      </c>
      <c r="I142" s="123"/>
      <c r="J142" s="123"/>
      <c r="K142" s="131">
        <v>156</v>
      </c>
      <c r="L142" s="131">
        <v>50</v>
      </c>
      <c r="M142" s="132">
        <f t="shared" ref="M142:M143" si="31">CONVERT(K142,"F","C")</f>
        <v>68.888888888888886</v>
      </c>
      <c r="N142" s="121"/>
      <c r="O142" s="121"/>
      <c r="P142" s="121"/>
    </row>
    <row r="143" spans="1:16" ht="14.1" customHeight="1" x14ac:dyDescent="0.25">
      <c r="A143" s="355"/>
      <c r="B143" s="328" t="s">
        <v>74</v>
      </c>
      <c r="C143" s="328"/>
      <c r="D143" s="328"/>
      <c r="E143" s="125"/>
      <c r="F143" s="131">
        <v>176</v>
      </c>
      <c r="G143" s="131">
        <v>140</v>
      </c>
      <c r="H143" s="132">
        <f t="shared" si="30"/>
        <v>80</v>
      </c>
      <c r="I143" s="121"/>
      <c r="J143" s="121"/>
      <c r="K143" s="131">
        <v>176</v>
      </c>
      <c r="L143" s="131">
        <v>140</v>
      </c>
      <c r="M143" s="132">
        <f t="shared" si="31"/>
        <v>80</v>
      </c>
      <c r="N143" s="121"/>
      <c r="O143" s="121"/>
      <c r="P143" s="121"/>
    </row>
    <row r="144" spans="1:16" ht="14.1" customHeight="1" x14ac:dyDescent="0.25">
      <c r="A144" s="355"/>
      <c r="B144" s="328" t="s">
        <v>75</v>
      </c>
      <c r="C144" s="328"/>
      <c r="D144" s="328"/>
      <c r="E144" s="125"/>
      <c r="F144" s="340">
        <v>50.08</v>
      </c>
      <c r="G144" s="340"/>
      <c r="H144" s="340"/>
      <c r="I144" s="121"/>
      <c r="J144" s="121"/>
      <c r="K144" s="340">
        <v>50.08</v>
      </c>
      <c r="L144" s="340"/>
      <c r="M144" s="340"/>
      <c r="N144" s="121"/>
      <c r="O144" s="121"/>
      <c r="P144" s="121"/>
    </row>
    <row r="145" spans="1:16" ht="14.1" customHeight="1" x14ac:dyDescent="0.25">
      <c r="A145" s="355"/>
      <c r="B145" s="328" t="s">
        <v>76</v>
      </c>
      <c r="C145" s="328"/>
      <c r="D145" s="328"/>
      <c r="E145" s="125"/>
      <c r="F145" s="343">
        <v>0.186</v>
      </c>
      <c r="G145" s="343"/>
      <c r="H145" s="343"/>
      <c r="I145" s="121"/>
      <c r="J145" s="121"/>
      <c r="K145" s="343">
        <v>0.186</v>
      </c>
      <c r="L145" s="343"/>
      <c r="M145" s="343"/>
      <c r="N145" s="121"/>
      <c r="O145" s="121"/>
      <c r="P145" s="121"/>
    </row>
    <row r="146" spans="1:16" ht="14.1" customHeight="1" x14ac:dyDescent="0.25">
      <c r="A146" s="355"/>
      <c r="B146" s="328" t="s">
        <v>77</v>
      </c>
      <c r="C146" s="328"/>
      <c r="D146" s="328"/>
      <c r="E146" s="125"/>
      <c r="F146" s="131">
        <v>55</v>
      </c>
      <c r="G146" s="131">
        <v>50</v>
      </c>
      <c r="H146" s="132">
        <f t="shared" ref="H146:H147" si="32">CONVERT(F146,"F","C")</f>
        <v>12.777777777777777</v>
      </c>
      <c r="I146" s="121"/>
      <c r="J146" s="121"/>
      <c r="K146" s="131">
        <v>55</v>
      </c>
      <c r="L146" s="131">
        <v>50</v>
      </c>
      <c r="M146" s="132">
        <f t="shared" ref="M146:M147" si="33">CONVERT(K146,"F","C")</f>
        <v>12.777777777777777</v>
      </c>
      <c r="N146" s="121"/>
      <c r="O146" s="121"/>
      <c r="P146" s="121"/>
    </row>
    <row r="147" spans="1:16" ht="14.1" customHeight="1" x14ac:dyDescent="0.25">
      <c r="A147" s="355"/>
      <c r="B147" s="328" t="s">
        <v>78</v>
      </c>
      <c r="C147" s="328"/>
      <c r="D147" s="328"/>
      <c r="E147" s="125"/>
      <c r="F147" s="131">
        <v>45</v>
      </c>
      <c r="G147" s="131">
        <v>140</v>
      </c>
      <c r="H147" s="132">
        <f t="shared" si="32"/>
        <v>7.2222222222222223</v>
      </c>
      <c r="I147" s="121"/>
      <c r="J147" s="121"/>
      <c r="K147" s="131">
        <v>45</v>
      </c>
      <c r="L147" s="131">
        <v>140</v>
      </c>
      <c r="M147" s="132">
        <f t="shared" si="33"/>
        <v>7.2222222222222223</v>
      </c>
      <c r="N147" s="121"/>
      <c r="O147" s="121"/>
      <c r="P147" s="121"/>
    </row>
    <row r="148" spans="1:16" ht="14.1" customHeight="1" x14ac:dyDescent="0.25">
      <c r="A148" s="355"/>
      <c r="B148" s="328" t="s">
        <v>79</v>
      </c>
      <c r="C148" s="328"/>
      <c r="D148" s="328"/>
      <c r="E148" s="125"/>
      <c r="F148" s="340">
        <v>56.15</v>
      </c>
      <c r="G148" s="340"/>
      <c r="H148" s="340"/>
      <c r="I148" s="121"/>
      <c r="J148" s="121"/>
      <c r="K148" s="340">
        <v>56.15</v>
      </c>
      <c r="L148" s="340"/>
      <c r="M148" s="340"/>
      <c r="N148" s="121"/>
      <c r="O148" s="121"/>
      <c r="P148" s="121"/>
    </row>
    <row r="149" spans="1:16" ht="14.1" customHeight="1" x14ac:dyDescent="0.25">
      <c r="A149" s="355"/>
      <c r="B149" s="328" t="s">
        <v>80</v>
      </c>
      <c r="C149" s="328"/>
      <c r="D149" s="328"/>
      <c r="E149" s="125"/>
      <c r="F149" s="343">
        <v>0.32</v>
      </c>
      <c r="G149" s="343"/>
      <c r="H149" s="343"/>
      <c r="I149" s="121"/>
      <c r="J149" s="121"/>
      <c r="K149" s="343">
        <v>0.32</v>
      </c>
      <c r="L149" s="343"/>
      <c r="M149" s="343"/>
      <c r="N149" s="121"/>
      <c r="O149" s="121"/>
      <c r="P149" s="121"/>
    </row>
    <row r="150" spans="1:16" ht="14.1" customHeight="1" x14ac:dyDescent="0.25">
      <c r="A150" s="175"/>
      <c r="B150" s="165"/>
      <c r="C150" s="165"/>
      <c r="D150" s="165"/>
      <c r="E150" s="125"/>
      <c r="F150" s="171"/>
      <c r="G150" s="171"/>
      <c r="H150" s="171"/>
      <c r="I150" s="121"/>
      <c r="J150" s="121"/>
      <c r="K150" s="121"/>
      <c r="L150" s="121"/>
      <c r="M150" s="121"/>
      <c r="N150" s="121"/>
      <c r="O150" s="121"/>
      <c r="P150" s="121"/>
    </row>
    <row r="151" spans="1:16" ht="14.1" customHeight="1" x14ac:dyDescent="0.25">
      <c r="A151" s="324" t="s">
        <v>96</v>
      </c>
      <c r="B151" s="324"/>
      <c r="C151" s="324"/>
      <c r="D151" s="324"/>
      <c r="E151" s="324"/>
      <c r="F151" s="324"/>
      <c r="G151" s="324"/>
      <c r="H151" s="324"/>
      <c r="I151" s="324"/>
      <c r="J151" s="324"/>
      <c r="K151" s="324"/>
      <c r="L151" s="324"/>
      <c r="M151" s="324"/>
      <c r="N151" s="324"/>
      <c r="O151" s="324"/>
      <c r="P151" s="324"/>
    </row>
    <row r="152" spans="1:16" ht="14.1" customHeight="1" x14ac:dyDescent="0.25">
      <c r="A152" s="355" t="s">
        <v>97</v>
      </c>
      <c r="B152" s="328" t="s">
        <v>61</v>
      </c>
      <c r="C152" s="328"/>
      <c r="D152" s="328"/>
      <c r="E152" s="125"/>
      <c r="F152" s="131">
        <v>41</v>
      </c>
      <c r="G152" s="131">
        <v>50</v>
      </c>
      <c r="H152" s="132">
        <f t="shared" ref="H152:H153" si="34">CONVERT(F152,"F","C")</f>
        <v>5</v>
      </c>
      <c r="I152" s="123"/>
      <c r="J152" s="123"/>
      <c r="K152" s="121"/>
      <c r="L152" s="121"/>
      <c r="M152" s="121"/>
      <c r="N152" s="121"/>
      <c r="O152" s="121"/>
      <c r="P152" s="121"/>
    </row>
    <row r="153" spans="1:16" ht="14.1" customHeight="1" x14ac:dyDescent="0.25">
      <c r="A153" s="355"/>
      <c r="B153" s="328" t="s">
        <v>62</v>
      </c>
      <c r="C153" s="328"/>
      <c r="D153" s="328"/>
      <c r="E153" s="125"/>
      <c r="F153" s="131">
        <v>115</v>
      </c>
      <c r="G153" s="131">
        <v>140</v>
      </c>
      <c r="H153" s="132">
        <f t="shared" si="34"/>
        <v>46.111111111111107</v>
      </c>
      <c r="I153" s="123"/>
      <c r="J153" s="123"/>
      <c r="K153" s="121"/>
      <c r="L153" s="121"/>
      <c r="M153" s="121"/>
      <c r="N153" s="121"/>
      <c r="O153" s="121"/>
      <c r="P153" s="121"/>
    </row>
    <row r="154" spans="1:16" ht="14.1" customHeight="1" x14ac:dyDescent="0.25">
      <c r="A154" s="355"/>
      <c r="B154" s="328" t="s">
        <v>64</v>
      </c>
      <c r="C154" s="328"/>
      <c r="D154" s="328"/>
      <c r="E154" s="125"/>
      <c r="F154" s="133">
        <f>2*12*11.72</f>
        <v>281.28000000000003</v>
      </c>
      <c r="G154" s="134"/>
      <c r="H154" s="135">
        <f>F154/12</f>
        <v>23.44</v>
      </c>
      <c r="I154" s="123"/>
      <c r="J154" s="123"/>
      <c r="K154" s="121"/>
      <c r="L154" s="121"/>
      <c r="M154" s="121"/>
      <c r="N154" s="121"/>
      <c r="O154" s="121"/>
      <c r="P154" s="121"/>
    </row>
    <row r="155" spans="1:16" ht="14.1" customHeight="1" x14ac:dyDescent="0.25">
      <c r="A155" s="355"/>
      <c r="B155" s="328" t="s">
        <v>65</v>
      </c>
      <c r="C155" s="328"/>
      <c r="D155" s="328"/>
      <c r="E155" s="125"/>
      <c r="F155" s="136">
        <f>F154</f>
        <v>281.28000000000003</v>
      </c>
      <c r="G155" s="134"/>
      <c r="H155" s="135">
        <f>F155/12</f>
        <v>23.44</v>
      </c>
      <c r="I155" s="123"/>
      <c r="J155" s="123"/>
      <c r="K155" s="121"/>
      <c r="L155" s="121"/>
      <c r="M155" s="121"/>
      <c r="N155" s="121"/>
      <c r="O155" s="121"/>
      <c r="P155" s="121"/>
    </row>
    <row r="156" spans="1:16" ht="14.1" customHeight="1" x14ac:dyDescent="0.25">
      <c r="A156" s="355"/>
      <c r="B156" s="328" t="s">
        <v>67</v>
      </c>
      <c r="C156" s="328"/>
      <c r="D156" s="328"/>
      <c r="E156" s="125"/>
      <c r="F156" s="326">
        <f>2*32.32</f>
        <v>64.64</v>
      </c>
      <c r="G156" s="326"/>
      <c r="H156" s="326"/>
      <c r="I156" s="123"/>
      <c r="J156" s="123"/>
      <c r="K156" s="121"/>
      <c r="L156" s="121"/>
      <c r="M156" s="121"/>
      <c r="N156" s="121"/>
      <c r="O156" s="121"/>
      <c r="P156" s="121"/>
    </row>
    <row r="157" spans="1:16" ht="14.1" customHeight="1" x14ac:dyDescent="0.25">
      <c r="A157" s="355"/>
      <c r="B157" s="328" t="s">
        <v>68</v>
      </c>
      <c r="C157" s="328"/>
      <c r="D157" s="328"/>
      <c r="E157" s="125"/>
      <c r="F157" s="326" t="e">
        <f>$F$62</f>
        <v>#REF!</v>
      </c>
      <c r="G157" s="326"/>
      <c r="H157" s="326"/>
      <c r="I157" s="123"/>
      <c r="J157" s="123"/>
      <c r="K157" s="121"/>
      <c r="L157" s="121"/>
      <c r="M157" s="121"/>
      <c r="N157" s="121"/>
      <c r="O157" s="121"/>
      <c r="P157" s="121"/>
    </row>
    <row r="158" spans="1:16" ht="14.1" customHeight="1" x14ac:dyDescent="0.25">
      <c r="A158" s="355"/>
      <c r="B158" s="328" t="s">
        <v>69</v>
      </c>
      <c r="C158" s="328"/>
      <c r="D158" s="328"/>
      <c r="E158" s="125"/>
      <c r="F158" s="133">
        <f>H158*3.413</f>
        <v>501.89632000000006</v>
      </c>
      <c r="G158" s="137"/>
      <c r="H158" s="138">
        <f>IF(F154+3.413*F156=0,"",(F154+3.413*F156)/3.413)</f>
        <v>147.05429827131559</v>
      </c>
      <c r="I158" s="123"/>
      <c r="J158" s="123"/>
      <c r="K158" s="121"/>
      <c r="L158" s="121"/>
      <c r="M158" s="121"/>
      <c r="N158" s="121"/>
      <c r="O158" s="121"/>
      <c r="P158" s="121"/>
    </row>
    <row r="159" spans="1:16" ht="14.1" customHeight="1" x14ac:dyDescent="0.25">
      <c r="A159" s="355"/>
      <c r="B159" s="328" t="s">
        <v>70</v>
      </c>
      <c r="C159" s="328"/>
      <c r="D159" s="328"/>
      <c r="E159" s="125"/>
      <c r="F159" s="329" t="str">
        <f>IFERROR(H158/(F156+F157),"")</f>
        <v/>
      </c>
      <c r="G159" s="329"/>
      <c r="H159" s="329"/>
      <c r="I159" s="123"/>
      <c r="J159" s="123"/>
      <c r="K159" s="121"/>
      <c r="L159" s="121"/>
      <c r="M159" s="121"/>
      <c r="N159" s="121"/>
      <c r="O159" s="121"/>
      <c r="P159" s="121"/>
    </row>
    <row r="160" spans="1:16" ht="14.1" customHeight="1" x14ac:dyDescent="0.25">
      <c r="A160" s="355"/>
      <c r="B160" s="328" t="s">
        <v>71</v>
      </c>
      <c r="C160" s="328"/>
      <c r="D160" s="328"/>
      <c r="E160" s="125"/>
      <c r="F160" s="329">
        <f>IFERROR(F154/(F156*3.413),"")</f>
        <v>1.2749736737517878</v>
      </c>
      <c r="G160" s="329"/>
      <c r="H160" s="329"/>
      <c r="I160" s="123"/>
      <c r="J160" s="123"/>
      <c r="K160" s="121"/>
      <c r="L160" s="121"/>
      <c r="M160" s="121"/>
      <c r="N160" s="121"/>
      <c r="O160" s="121"/>
      <c r="P160" s="121"/>
    </row>
    <row r="161" spans="1:16" ht="14.1" customHeight="1" x14ac:dyDescent="0.25">
      <c r="A161" s="355"/>
      <c r="B161" s="328" t="s">
        <v>87</v>
      </c>
      <c r="C161" s="328"/>
      <c r="D161" s="328"/>
      <c r="E161" s="125"/>
      <c r="F161" s="356"/>
      <c r="G161" s="356"/>
      <c r="H161" s="356"/>
      <c r="I161" s="123"/>
      <c r="J161" s="123"/>
      <c r="K161" s="121"/>
      <c r="L161" s="121"/>
      <c r="M161" s="121"/>
      <c r="N161" s="121"/>
      <c r="O161" s="121"/>
      <c r="P161" s="121"/>
    </row>
    <row r="162" spans="1:16" ht="14.1" customHeight="1" x14ac:dyDescent="0.25">
      <c r="A162" s="355"/>
      <c r="B162" s="328" t="s">
        <v>88</v>
      </c>
      <c r="C162" s="328"/>
      <c r="D162" s="328"/>
      <c r="E162" s="125"/>
      <c r="F162" s="139">
        <v>210.6</v>
      </c>
      <c r="G162" s="140"/>
      <c r="H162" s="132">
        <f>CONVERT(F162,"F","C")</f>
        <v>99.222222222222214</v>
      </c>
      <c r="I162" s="123"/>
      <c r="J162" s="123"/>
      <c r="K162" s="121"/>
      <c r="L162" s="121"/>
      <c r="M162" s="121"/>
      <c r="N162" s="121"/>
      <c r="O162" s="121"/>
      <c r="P162" s="121"/>
    </row>
    <row r="163" spans="1:16" ht="14.1" customHeight="1" x14ac:dyDescent="0.25">
      <c r="A163" s="355"/>
      <c r="B163" s="328" t="s">
        <v>89</v>
      </c>
      <c r="C163" s="328"/>
      <c r="D163" s="328"/>
      <c r="E163" s="125"/>
      <c r="F163" s="139">
        <f>F162-7</f>
        <v>203.6</v>
      </c>
      <c r="G163" s="140"/>
      <c r="H163" s="132">
        <f t="shared" ref="H163" si="35">CONVERT(F163,"F","C")</f>
        <v>95.333333333333329</v>
      </c>
      <c r="I163" s="123"/>
      <c r="J163" s="123"/>
      <c r="K163" s="121"/>
      <c r="L163" s="121"/>
      <c r="M163" s="121"/>
      <c r="N163" s="121"/>
      <c r="O163" s="121"/>
      <c r="P163" s="121"/>
    </row>
    <row r="164" spans="1:16" ht="14.1" customHeight="1" x14ac:dyDescent="0.25">
      <c r="A164" s="355"/>
      <c r="B164" s="328" t="s">
        <v>90</v>
      </c>
      <c r="C164" s="328"/>
      <c r="D164" s="328"/>
      <c r="E164" s="125"/>
      <c r="F164" s="139">
        <v>13</v>
      </c>
      <c r="G164" s="140"/>
      <c r="H164" s="144">
        <f>F164/1.8</f>
        <v>7.2222222222222223</v>
      </c>
      <c r="I164" s="123"/>
      <c r="J164" s="123"/>
      <c r="K164" s="121"/>
      <c r="L164" s="121"/>
      <c r="M164" s="121"/>
      <c r="N164" s="121"/>
      <c r="O164" s="121"/>
      <c r="P164" s="121"/>
    </row>
    <row r="165" spans="1:16" ht="14.1" customHeight="1" x14ac:dyDescent="0.25">
      <c r="A165" s="355"/>
      <c r="B165" s="328" t="s">
        <v>91</v>
      </c>
      <c r="C165" s="328"/>
      <c r="D165" s="328"/>
      <c r="E165" s="125"/>
      <c r="F165" s="139">
        <v>7</v>
      </c>
      <c r="G165" s="140"/>
      <c r="H165" s="144">
        <f>F165/1.8</f>
        <v>3.8888888888888888</v>
      </c>
      <c r="I165" s="123"/>
      <c r="J165" s="123"/>
      <c r="K165" s="121"/>
      <c r="L165" s="121"/>
      <c r="M165" s="121"/>
      <c r="N165" s="121"/>
      <c r="O165" s="121"/>
      <c r="P165" s="121"/>
    </row>
    <row r="166" spans="1:16" ht="14.1" customHeight="1" x14ac:dyDescent="0.25">
      <c r="A166" s="355"/>
      <c r="B166" s="328" t="s">
        <v>73</v>
      </c>
      <c r="C166" s="328"/>
      <c r="D166" s="328"/>
      <c r="E166" s="125"/>
      <c r="F166" s="131">
        <v>156</v>
      </c>
      <c r="G166" s="131">
        <v>50</v>
      </c>
      <c r="H166" s="132">
        <f t="shared" ref="H166:H167" si="36">CONVERT(F166,"F","C")</f>
        <v>68.888888888888886</v>
      </c>
      <c r="I166" s="123"/>
      <c r="J166" s="123"/>
      <c r="K166" s="121"/>
      <c r="L166" s="121"/>
      <c r="M166" s="121"/>
      <c r="N166" s="121"/>
      <c r="O166" s="121"/>
      <c r="P166" s="121"/>
    </row>
    <row r="167" spans="1:16" ht="14.1" customHeight="1" x14ac:dyDescent="0.25">
      <c r="A167" s="355"/>
      <c r="B167" s="328" t="s">
        <v>74</v>
      </c>
      <c r="C167" s="328"/>
      <c r="D167" s="328"/>
      <c r="E167" s="125"/>
      <c r="F167" s="131">
        <v>176</v>
      </c>
      <c r="G167" s="131">
        <v>140</v>
      </c>
      <c r="H167" s="132">
        <f t="shared" si="36"/>
        <v>80</v>
      </c>
      <c r="I167" s="121"/>
      <c r="J167" s="121"/>
      <c r="K167" s="121"/>
      <c r="L167" s="121"/>
      <c r="M167" s="121"/>
      <c r="N167" s="121"/>
      <c r="O167" s="121"/>
      <c r="P167" s="121"/>
    </row>
    <row r="168" spans="1:16" ht="14.1" customHeight="1" x14ac:dyDescent="0.25">
      <c r="A168" s="355"/>
      <c r="B168" s="328" t="s">
        <v>75</v>
      </c>
      <c r="C168" s="328"/>
      <c r="D168" s="328"/>
      <c r="E168" s="125"/>
      <c r="F168" s="340">
        <v>50.08</v>
      </c>
      <c r="G168" s="340"/>
      <c r="H168" s="340"/>
      <c r="I168" s="121"/>
      <c r="J168" s="121"/>
      <c r="K168" s="121"/>
      <c r="L168" s="121"/>
      <c r="M168" s="121"/>
      <c r="N168" s="121"/>
      <c r="O168" s="121"/>
      <c r="P168" s="121"/>
    </row>
    <row r="169" spans="1:16" ht="14.1" customHeight="1" x14ac:dyDescent="0.25">
      <c r="A169" s="355"/>
      <c r="B169" s="328" t="s">
        <v>76</v>
      </c>
      <c r="C169" s="328"/>
      <c r="D169" s="328"/>
      <c r="E169" s="125"/>
      <c r="F169" s="343">
        <v>0.186</v>
      </c>
      <c r="G169" s="343"/>
      <c r="H169" s="343"/>
      <c r="I169" s="121"/>
      <c r="J169" s="121"/>
      <c r="K169" s="121"/>
      <c r="L169" s="121"/>
      <c r="M169" s="121"/>
      <c r="N169" s="121"/>
      <c r="O169" s="121"/>
      <c r="P169" s="121"/>
    </row>
    <row r="170" spans="1:16" ht="14.1" customHeight="1" x14ac:dyDescent="0.25">
      <c r="A170" s="355"/>
      <c r="B170" s="328" t="s">
        <v>77</v>
      </c>
      <c r="C170" s="328"/>
      <c r="D170" s="328"/>
      <c r="E170" s="125"/>
      <c r="F170" s="131">
        <v>55</v>
      </c>
      <c r="G170" s="131">
        <v>50</v>
      </c>
      <c r="H170" s="132">
        <f t="shared" ref="H170:H171" si="37">CONVERT(F170,"F","C")</f>
        <v>12.777777777777777</v>
      </c>
      <c r="I170" s="121"/>
      <c r="J170" s="121"/>
      <c r="K170" s="121"/>
      <c r="L170" s="121"/>
      <c r="M170" s="121"/>
      <c r="N170" s="121"/>
      <c r="O170" s="121"/>
      <c r="P170" s="121"/>
    </row>
    <row r="171" spans="1:16" ht="14.1" customHeight="1" x14ac:dyDescent="0.25">
      <c r="A171" s="355"/>
      <c r="B171" s="328" t="s">
        <v>78</v>
      </c>
      <c r="C171" s="328"/>
      <c r="D171" s="328"/>
      <c r="E171" s="125"/>
      <c r="F171" s="131">
        <v>45</v>
      </c>
      <c r="G171" s="131">
        <v>140</v>
      </c>
      <c r="H171" s="132">
        <f t="shared" si="37"/>
        <v>7.2222222222222223</v>
      </c>
      <c r="I171" s="121"/>
      <c r="J171" s="121"/>
      <c r="K171" s="121"/>
      <c r="L171" s="121"/>
      <c r="M171" s="121"/>
      <c r="N171" s="121"/>
      <c r="O171" s="121"/>
      <c r="P171" s="121"/>
    </row>
    <row r="172" spans="1:16" ht="14.1" customHeight="1" x14ac:dyDescent="0.25">
      <c r="A172" s="355"/>
      <c r="B172" s="328" t="s">
        <v>79</v>
      </c>
      <c r="C172" s="328"/>
      <c r="D172" s="328"/>
      <c r="E172" s="125"/>
      <c r="F172" s="340">
        <v>56.15</v>
      </c>
      <c r="G172" s="340"/>
      <c r="H172" s="340"/>
      <c r="I172" s="121"/>
      <c r="J172" s="121"/>
      <c r="K172" s="121"/>
      <c r="L172" s="121"/>
      <c r="M172" s="121"/>
      <c r="N172" s="121"/>
      <c r="O172" s="121"/>
      <c r="P172" s="121"/>
    </row>
    <row r="173" spans="1:16" ht="14.1" customHeight="1" x14ac:dyDescent="0.25">
      <c r="A173" s="355"/>
      <c r="B173" s="328" t="s">
        <v>80</v>
      </c>
      <c r="C173" s="328"/>
      <c r="D173" s="328"/>
      <c r="E173" s="125"/>
      <c r="F173" s="343">
        <v>0.32</v>
      </c>
      <c r="G173" s="343"/>
      <c r="H173" s="343"/>
      <c r="I173" s="121"/>
      <c r="J173" s="121"/>
      <c r="K173" s="121"/>
      <c r="L173" s="121"/>
      <c r="M173" s="121"/>
      <c r="N173" s="121"/>
      <c r="O173" s="121"/>
      <c r="P173" s="121"/>
    </row>
    <row r="174" spans="1:16" ht="14.1" customHeight="1" x14ac:dyDescent="0.25">
      <c r="A174" s="175"/>
      <c r="B174" s="165"/>
      <c r="C174" s="165"/>
      <c r="D174" s="165"/>
      <c r="E174" s="125"/>
      <c r="F174" s="171"/>
      <c r="G174" s="171"/>
      <c r="H174" s="171"/>
      <c r="I174" s="121"/>
      <c r="J174" s="121"/>
      <c r="K174" s="121"/>
      <c r="L174" s="121"/>
      <c r="M174" s="121"/>
      <c r="N174" s="121"/>
      <c r="O174" s="121"/>
      <c r="P174" s="121"/>
    </row>
    <row r="175" spans="1:16" ht="14.1" customHeight="1" x14ac:dyDescent="0.25">
      <c r="A175" s="175"/>
      <c r="B175" s="165"/>
      <c r="C175" s="165"/>
      <c r="D175" s="165"/>
      <c r="E175" s="125"/>
      <c r="F175" s="171"/>
      <c r="G175" s="171"/>
      <c r="H175" s="171"/>
      <c r="I175" s="121"/>
      <c r="J175" s="121"/>
      <c r="K175" s="121"/>
      <c r="L175" s="121"/>
      <c r="M175" s="121"/>
      <c r="N175" s="121"/>
      <c r="O175" s="121"/>
      <c r="P175" s="121"/>
    </row>
    <row r="176" spans="1:16" ht="14.1" customHeight="1" x14ac:dyDescent="0.25">
      <c r="A176" s="175"/>
      <c r="B176" s="165"/>
      <c r="C176" s="165"/>
      <c r="D176" s="165"/>
      <c r="E176" s="125"/>
      <c r="F176" s="171"/>
      <c r="G176" s="171"/>
      <c r="H176" s="171"/>
      <c r="I176" s="121"/>
      <c r="J176" s="121"/>
      <c r="K176" s="121"/>
      <c r="L176" s="121"/>
      <c r="M176" s="121"/>
      <c r="N176" s="121"/>
      <c r="O176" s="121"/>
      <c r="P176" s="121"/>
    </row>
    <row r="177" spans="1:16" ht="14.1" customHeight="1" x14ac:dyDescent="0.25">
      <c r="A177" s="175"/>
      <c r="B177" s="165"/>
      <c r="C177" s="165"/>
      <c r="D177" s="165"/>
      <c r="E177" s="125"/>
      <c r="F177" s="171"/>
      <c r="G177" s="171"/>
      <c r="H177" s="171"/>
      <c r="I177" s="121"/>
      <c r="J177" s="121"/>
      <c r="K177" s="121"/>
      <c r="L177" s="121"/>
      <c r="M177" s="121"/>
      <c r="N177" s="121"/>
      <c r="O177" s="121"/>
      <c r="P177" s="121"/>
    </row>
    <row r="178" spans="1:16" ht="14.1" customHeight="1" x14ac:dyDescent="0.25">
      <c r="A178" s="175"/>
      <c r="B178" s="165"/>
      <c r="C178" s="165"/>
      <c r="D178" s="165"/>
      <c r="E178" s="125"/>
      <c r="F178" s="171"/>
      <c r="G178" s="171"/>
      <c r="H178" s="171"/>
      <c r="I178" s="121"/>
      <c r="J178" s="121"/>
      <c r="K178" s="121"/>
      <c r="L178" s="121"/>
      <c r="M178" s="121"/>
      <c r="N178" s="121"/>
      <c r="O178" s="121"/>
      <c r="P178" s="121"/>
    </row>
    <row r="179" spans="1:16" ht="14.1" customHeight="1" x14ac:dyDescent="0.25">
      <c r="A179" s="175"/>
      <c r="B179" s="165"/>
      <c r="C179" s="165"/>
      <c r="D179" s="165"/>
      <c r="E179" s="125"/>
      <c r="F179" s="171"/>
      <c r="G179" s="171"/>
      <c r="H179" s="171"/>
      <c r="I179" s="121"/>
      <c r="J179" s="121"/>
      <c r="K179" s="121"/>
      <c r="L179" s="121"/>
      <c r="M179" s="121"/>
      <c r="N179" s="121"/>
      <c r="O179" s="121"/>
      <c r="P179" s="121"/>
    </row>
    <row r="180" spans="1:16" ht="14.1" customHeight="1" x14ac:dyDescent="0.25">
      <c r="A180" s="175"/>
      <c r="B180" s="165"/>
      <c r="C180" s="165"/>
      <c r="D180" s="165"/>
      <c r="E180" s="125"/>
      <c r="F180" s="171"/>
      <c r="G180" s="171"/>
      <c r="H180" s="171"/>
      <c r="I180" s="121"/>
      <c r="J180" s="121"/>
      <c r="K180" s="121"/>
      <c r="L180" s="121"/>
      <c r="M180" s="121"/>
      <c r="N180" s="121"/>
      <c r="O180" s="121"/>
      <c r="P180" s="121"/>
    </row>
    <row r="181" spans="1:16" ht="14.1" customHeight="1" x14ac:dyDescent="0.25">
      <c r="A181" s="175"/>
      <c r="B181" s="165"/>
      <c r="C181" s="165"/>
      <c r="D181" s="165"/>
      <c r="E181" s="125"/>
      <c r="F181" s="171"/>
      <c r="G181" s="171"/>
      <c r="H181" s="171"/>
      <c r="I181" s="121"/>
      <c r="J181" s="121"/>
      <c r="K181" s="121"/>
      <c r="L181" s="121"/>
      <c r="M181" s="121"/>
      <c r="N181" s="121"/>
      <c r="O181" s="121"/>
      <c r="P181" s="121"/>
    </row>
    <row r="182" spans="1:16" ht="14.1" customHeight="1" x14ac:dyDescent="0.25">
      <c r="A182" s="175"/>
      <c r="B182" s="165"/>
      <c r="C182" s="165"/>
      <c r="D182" s="165"/>
      <c r="E182" s="125"/>
      <c r="F182" s="171"/>
      <c r="G182" s="171"/>
      <c r="H182" s="171"/>
      <c r="I182" s="121"/>
      <c r="J182" s="121"/>
      <c r="K182" s="121"/>
      <c r="L182" s="121"/>
      <c r="M182" s="121"/>
      <c r="N182" s="121"/>
      <c r="O182" s="121"/>
      <c r="P182" s="121"/>
    </row>
    <row r="183" spans="1:16" ht="14.1" customHeight="1" x14ac:dyDescent="0.25">
      <c r="A183" s="175"/>
      <c r="B183" s="165"/>
      <c r="C183" s="165"/>
      <c r="D183" s="165"/>
      <c r="E183" s="125"/>
      <c r="F183" s="171"/>
      <c r="G183" s="171"/>
      <c r="H183" s="171"/>
      <c r="I183" s="121"/>
      <c r="J183" s="121"/>
      <c r="K183" s="121"/>
      <c r="L183" s="121"/>
      <c r="M183" s="121"/>
      <c r="N183" s="121"/>
      <c r="O183" s="121"/>
      <c r="P183" s="121"/>
    </row>
    <row r="184" spans="1:16" ht="14.1" customHeight="1" x14ac:dyDescent="0.25">
      <c r="A184" s="175"/>
      <c r="B184" s="165"/>
      <c r="C184" s="165"/>
      <c r="D184" s="165"/>
      <c r="E184" s="125"/>
      <c r="F184" s="171"/>
      <c r="G184" s="171"/>
      <c r="H184" s="171"/>
      <c r="I184" s="121"/>
      <c r="J184" s="121"/>
      <c r="K184" s="121"/>
      <c r="L184" s="121"/>
      <c r="M184" s="121"/>
      <c r="N184" s="121"/>
      <c r="O184" s="121"/>
      <c r="P184" s="121"/>
    </row>
    <row r="185" spans="1:16" ht="14.1" hidden="1" customHeight="1" x14ac:dyDescent="0.25">
      <c r="A185" s="175"/>
      <c r="B185" s="165"/>
      <c r="C185" s="165"/>
      <c r="D185" s="165"/>
      <c r="E185" s="125"/>
      <c r="F185" s="171"/>
      <c r="G185" s="171"/>
      <c r="H185" s="171"/>
      <c r="I185" s="121"/>
      <c r="J185" s="121"/>
      <c r="K185" s="121"/>
      <c r="L185" s="121"/>
      <c r="M185" s="121"/>
      <c r="N185" s="121"/>
      <c r="O185" s="121"/>
      <c r="P185" s="121"/>
    </row>
    <row r="186" spans="1:16" ht="14.1" hidden="1" customHeight="1" x14ac:dyDescent="0.25">
      <c r="A186" s="175"/>
      <c r="B186" s="165"/>
      <c r="C186" s="165"/>
      <c r="D186" s="165"/>
      <c r="E186" s="125"/>
      <c r="F186" s="171"/>
      <c r="G186" s="171"/>
      <c r="H186" s="171"/>
      <c r="I186" s="121"/>
      <c r="J186" s="121"/>
      <c r="K186" s="121"/>
      <c r="L186" s="121"/>
      <c r="M186" s="121"/>
      <c r="N186" s="121"/>
      <c r="O186" s="121"/>
      <c r="P186" s="121"/>
    </row>
    <row r="187" spans="1:16" ht="14.1" hidden="1" customHeight="1" x14ac:dyDescent="0.25">
      <c r="A187" s="175"/>
      <c r="B187" s="165"/>
      <c r="C187" s="165"/>
      <c r="D187" s="165"/>
      <c r="E187" s="125"/>
      <c r="F187" s="171"/>
      <c r="G187" s="171"/>
      <c r="H187" s="171"/>
      <c r="I187" s="121"/>
      <c r="J187" s="121"/>
      <c r="K187" s="121"/>
      <c r="L187" s="121"/>
      <c r="M187" s="121"/>
      <c r="N187" s="121"/>
      <c r="O187" s="121"/>
      <c r="P187" s="121"/>
    </row>
    <row r="188" spans="1:16" ht="14.1" hidden="1" customHeight="1" x14ac:dyDescent="0.25">
      <c r="A188" s="175"/>
      <c r="B188" s="165"/>
      <c r="C188" s="165"/>
      <c r="D188" s="165"/>
      <c r="E188" s="125"/>
      <c r="F188" s="171"/>
      <c r="G188" s="171"/>
      <c r="H188" s="171"/>
      <c r="I188" s="121"/>
      <c r="J188" s="121"/>
      <c r="K188" s="121"/>
      <c r="L188" s="121"/>
      <c r="M188" s="121"/>
      <c r="N188" s="121"/>
      <c r="O188" s="121"/>
      <c r="P188" s="121"/>
    </row>
    <row r="189" spans="1:16" ht="14.1" hidden="1" customHeight="1" x14ac:dyDescent="0.25">
      <c r="A189" s="175"/>
      <c r="B189" s="165"/>
      <c r="C189" s="165"/>
      <c r="D189" s="165"/>
      <c r="E189" s="125"/>
      <c r="F189" s="171"/>
      <c r="G189" s="171"/>
      <c r="H189" s="171"/>
      <c r="I189" s="121"/>
      <c r="J189" s="121"/>
      <c r="K189" s="121"/>
      <c r="L189" s="121"/>
      <c r="M189" s="121"/>
      <c r="N189" s="121"/>
      <c r="O189" s="121"/>
      <c r="P189" s="121"/>
    </row>
    <row r="190" spans="1:16" ht="14.1" hidden="1" customHeight="1" x14ac:dyDescent="0.25">
      <c r="A190" s="175"/>
      <c r="B190" s="165"/>
      <c r="C190" s="165"/>
      <c r="D190" s="165"/>
      <c r="E190" s="125"/>
      <c r="F190" s="171"/>
      <c r="G190" s="171"/>
      <c r="H190" s="171"/>
      <c r="I190" s="121"/>
      <c r="J190" s="121"/>
      <c r="K190" s="121"/>
      <c r="L190" s="121"/>
      <c r="M190" s="121"/>
      <c r="N190" s="121"/>
      <c r="O190" s="121"/>
      <c r="P190" s="121"/>
    </row>
    <row r="191" spans="1:16" ht="14.1" hidden="1" customHeight="1" x14ac:dyDescent="0.25">
      <c r="A191" s="175"/>
      <c r="B191" s="165"/>
      <c r="C191" s="165"/>
      <c r="D191" s="165"/>
      <c r="E191" s="125"/>
      <c r="F191" s="171"/>
      <c r="G191" s="171"/>
      <c r="H191" s="171"/>
      <c r="I191" s="121"/>
      <c r="J191" s="121"/>
      <c r="K191" s="121"/>
      <c r="L191" s="121"/>
      <c r="M191" s="121"/>
      <c r="N191" s="121"/>
      <c r="O191" s="121"/>
      <c r="P191" s="121"/>
    </row>
    <row r="192" spans="1:16" ht="14.1" hidden="1" customHeight="1" x14ac:dyDescent="0.25">
      <c r="A192" s="163"/>
      <c r="B192" s="168"/>
      <c r="C192" s="168"/>
      <c r="D192" s="168"/>
      <c r="E192" s="169"/>
      <c r="F192" s="170"/>
      <c r="G192" s="170"/>
      <c r="H192" s="170"/>
      <c r="I192" s="162"/>
      <c r="J192" s="162"/>
      <c r="K192" s="162"/>
      <c r="L192" s="162"/>
      <c r="M192" s="162"/>
      <c r="N192" s="162"/>
      <c r="O192" s="162"/>
      <c r="P192" s="162"/>
    </row>
    <row r="193" spans="1:16" ht="14.1" hidden="1" customHeight="1" x14ac:dyDescent="0.25">
      <c r="A193" s="361" t="s">
        <v>98</v>
      </c>
      <c r="B193" s="328" t="s">
        <v>64</v>
      </c>
      <c r="C193" s="328"/>
      <c r="D193" s="328"/>
      <c r="E193" s="125"/>
      <c r="F193" s="133">
        <v>636.11800000000005</v>
      </c>
      <c r="G193" s="134"/>
      <c r="H193" s="135">
        <f>F193/12</f>
        <v>53.00983333333334</v>
      </c>
      <c r="I193" s="121"/>
      <c r="J193" s="121"/>
      <c r="K193" s="121"/>
      <c r="L193" s="121"/>
      <c r="M193" s="121"/>
      <c r="N193" s="121"/>
      <c r="O193" s="121"/>
      <c r="P193" s="121"/>
    </row>
    <row r="194" spans="1:16" ht="14.1" customHeight="1" x14ac:dyDescent="0.25">
      <c r="A194" s="361"/>
      <c r="B194" s="328" t="s">
        <v>65</v>
      </c>
      <c r="C194" s="328"/>
      <c r="D194" s="328"/>
      <c r="E194" s="125"/>
      <c r="F194" s="136">
        <f>F193</f>
        <v>636.11800000000005</v>
      </c>
      <c r="G194" s="134"/>
      <c r="H194" s="135">
        <f>F194/12</f>
        <v>53.00983333333334</v>
      </c>
      <c r="I194" s="121"/>
      <c r="J194" s="121"/>
      <c r="K194" s="121"/>
      <c r="L194" s="121"/>
      <c r="M194" s="121"/>
      <c r="N194" s="121"/>
      <c r="O194" s="121"/>
      <c r="P194" s="121"/>
    </row>
    <row r="195" spans="1:16" ht="14.1" customHeight="1" x14ac:dyDescent="0.25">
      <c r="A195" s="361"/>
      <c r="B195" s="328" t="s">
        <v>67</v>
      </c>
      <c r="C195" s="328"/>
      <c r="D195" s="328"/>
      <c r="E195" s="125"/>
      <c r="F195" s="326">
        <v>45.136000000000003</v>
      </c>
      <c r="G195" s="326"/>
      <c r="H195" s="326"/>
      <c r="I195" s="123"/>
      <c r="J195" s="123"/>
      <c r="K195" s="121"/>
      <c r="L195" s="121"/>
      <c r="M195" s="121"/>
      <c r="N195" s="121"/>
      <c r="O195" s="121"/>
      <c r="P195" s="121"/>
    </row>
    <row r="196" spans="1:16" ht="14.1" customHeight="1" x14ac:dyDescent="0.25">
      <c r="A196" s="361"/>
      <c r="B196" s="328" t="s">
        <v>68</v>
      </c>
      <c r="C196" s="328"/>
      <c r="D196" s="328"/>
      <c r="E196" s="125"/>
      <c r="F196" s="326" t="e">
        <f>F62</f>
        <v>#REF!</v>
      </c>
      <c r="G196" s="326"/>
      <c r="H196" s="326"/>
      <c r="I196" s="123"/>
      <c r="J196" s="123"/>
      <c r="K196" s="121"/>
      <c r="L196" s="121"/>
      <c r="M196" s="121"/>
      <c r="N196" s="121"/>
      <c r="O196" s="121"/>
      <c r="P196" s="121"/>
    </row>
    <row r="197" spans="1:16" ht="14.1" customHeight="1" x14ac:dyDescent="0.25">
      <c r="A197" s="361"/>
      <c r="B197" s="328" t="s">
        <v>69</v>
      </c>
      <c r="C197" s="328"/>
      <c r="D197" s="328"/>
      <c r="E197" s="125"/>
      <c r="F197" s="133">
        <f>H197*3.413</f>
        <v>790.16716800000006</v>
      </c>
      <c r="G197" s="137"/>
      <c r="H197" s="138">
        <f>IF(F194+3.413*F195=0,"",(F194+3.413*F195)/3.413)</f>
        <v>231.51689657193089</v>
      </c>
      <c r="I197" s="123"/>
      <c r="J197" s="123"/>
      <c r="K197" s="121"/>
      <c r="L197" s="121"/>
      <c r="M197" s="121"/>
      <c r="N197" s="121"/>
      <c r="O197" s="121"/>
      <c r="P197" s="121"/>
    </row>
    <row r="198" spans="1:16" ht="14.1" customHeight="1" x14ac:dyDescent="0.25">
      <c r="A198" s="361"/>
      <c r="B198" s="328" t="s">
        <v>70</v>
      </c>
      <c r="C198" s="328"/>
      <c r="D198" s="328"/>
      <c r="E198" s="125"/>
      <c r="F198" s="329" t="str">
        <f>IFERROR(H197/(F195+F196),"")</f>
        <v/>
      </c>
      <c r="G198" s="329"/>
      <c r="H198" s="329"/>
      <c r="I198" s="123"/>
      <c r="J198" s="123"/>
      <c r="K198" s="121"/>
      <c r="L198" s="121"/>
      <c r="M198" s="121"/>
      <c r="N198" s="121"/>
      <c r="O198" s="121"/>
      <c r="P198" s="121"/>
    </row>
    <row r="199" spans="1:16" ht="14.1" customHeight="1" x14ac:dyDescent="0.25">
      <c r="A199" s="361"/>
      <c r="B199" s="328" t="s">
        <v>71</v>
      </c>
      <c r="C199" s="328"/>
      <c r="D199" s="328"/>
      <c r="E199" s="125"/>
      <c r="F199" s="360">
        <f>IFERROR(F194/(F195*3.413),"")</f>
        <v>4.12931798502151</v>
      </c>
      <c r="G199" s="360"/>
      <c r="H199" s="360"/>
      <c r="I199" s="123"/>
      <c r="J199" s="123"/>
      <c r="K199" s="121"/>
      <c r="L199" s="121"/>
      <c r="M199" s="121"/>
      <c r="N199" s="121"/>
      <c r="O199" s="121"/>
      <c r="P199" s="121"/>
    </row>
    <row r="200" spans="1:16" ht="14.1" customHeight="1" x14ac:dyDescent="0.25">
      <c r="A200" s="361"/>
      <c r="B200" s="328" t="s">
        <v>87</v>
      </c>
      <c r="C200" s="328"/>
      <c r="D200" s="328"/>
      <c r="E200" s="125"/>
      <c r="F200" s="356"/>
      <c r="G200" s="356"/>
      <c r="H200" s="356"/>
      <c r="I200" s="123"/>
      <c r="J200" s="123"/>
      <c r="K200" s="121"/>
      <c r="L200" s="121"/>
      <c r="M200" s="121"/>
      <c r="N200" s="121"/>
      <c r="O200" s="121"/>
      <c r="P200" s="121"/>
    </row>
    <row r="201" spans="1:16" ht="14.1" customHeight="1" x14ac:dyDescent="0.25">
      <c r="A201" s="361"/>
      <c r="B201" s="328" t="s">
        <v>88</v>
      </c>
      <c r="C201" s="328"/>
      <c r="D201" s="328"/>
      <c r="E201" s="125"/>
      <c r="F201" s="139">
        <v>264.8</v>
      </c>
      <c r="G201" s="140"/>
      <c r="H201" s="132">
        <f>CONVERT(F201,"F","C")</f>
        <v>129.33333333333334</v>
      </c>
      <c r="I201" s="123"/>
      <c r="J201" s="123"/>
      <c r="K201" s="121"/>
      <c r="L201" s="121"/>
      <c r="M201" s="121"/>
      <c r="N201" s="121"/>
      <c r="O201" s="121"/>
      <c r="P201" s="121"/>
    </row>
    <row r="202" spans="1:16" ht="14.1" customHeight="1" x14ac:dyDescent="0.25">
      <c r="A202" s="361"/>
      <c r="B202" s="328" t="s">
        <v>89</v>
      </c>
      <c r="C202" s="328"/>
      <c r="D202" s="328"/>
      <c r="E202" s="125"/>
      <c r="F202" s="139">
        <v>134</v>
      </c>
      <c r="G202" s="140"/>
      <c r="H202" s="132">
        <f t="shared" ref="H202:H203" si="38">CONVERT(F202,"F","C")</f>
        <v>56.666666666666664</v>
      </c>
      <c r="I202" s="123"/>
      <c r="J202" s="123"/>
      <c r="K202" s="121"/>
      <c r="L202" s="121"/>
      <c r="M202" s="121"/>
      <c r="N202" s="121"/>
      <c r="O202" s="121"/>
      <c r="P202" s="121"/>
    </row>
    <row r="203" spans="1:16" ht="14.1" customHeight="1" x14ac:dyDescent="0.25">
      <c r="A203" s="361"/>
      <c r="B203" s="328"/>
      <c r="C203" s="328"/>
      <c r="D203" s="328"/>
      <c r="E203" s="125"/>
      <c r="F203" s="139">
        <v>38</v>
      </c>
      <c r="G203" s="140"/>
      <c r="H203" s="132">
        <f t="shared" si="38"/>
        <v>3.333333333333333</v>
      </c>
      <c r="I203" s="123"/>
      <c r="J203" s="123"/>
      <c r="K203" s="121"/>
      <c r="L203" s="121"/>
      <c r="M203" s="121"/>
      <c r="N203" s="121"/>
      <c r="O203" s="121"/>
      <c r="P203" s="121"/>
    </row>
    <row r="204" spans="1:16" ht="14.1" hidden="1" customHeight="1" x14ac:dyDescent="0.25">
      <c r="A204" s="361"/>
      <c r="B204" s="328" t="s">
        <v>90</v>
      </c>
      <c r="C204" s="328"/>
      <c r="D204" s="328"/>
      <c r="E204" s="125"/>
      <c r="F204" s="139">
        <v>40</v>
      </c>
      <c r="G204" s="140"/>
      <c r="H204" s="144">
        <f>F204/1.8</f>
        <v>22.222222222222221</v>
      </c>
      <c r="I204" s="123"/>
      <c r="J204" s="123"/>
      <c r="K204" s="121"/>
      <c r="L204" s="121"/>
      <c r="M204" s="121"/>
      <c r="N204" s="121"/>
      <c r="O204" s="121"/>
      <c r="P204" s="121"/>
    </row>
    <row r="205" spans="1:16" ht="14.1" hidden="1" customHeight="1" x14ac:dyDescent="0.25">
      <c r="A205" s="361"/>
      <c r="B205" s="328" t="s">
        <v>91</v>
      </c>
      <c r="C205" s="328"/>
      <c r="D205" s="328"/>
      <c r="E205" s="125"/>
      <c r="F205" s="139">
        <v>35</v>
      </c>
      <c r="G205" s="140"/>
      <c r="H205" s="144">
        <f>F205/1.8</f>
        <v>19.444444444444443</v>
      </c>
      <c r="I205" s="123"/>
      <c r="J205" s="123"/>
      <c r="K205" s="121"/>
      <c r="L205" s="121"/>
      <c r="M205" s="121"/>
      <c r="N205" s="121"/>
      <c r="O205" s="121"/>
      <c r="P205" s="121"/>
    </row>
    <row r="206" spans="1:16" ht="14.1" hidden="1" customHeight="1" x14ac:dyDescent="0.25">
      <c r="A206" s="361"/>
      <c r="B206" s="328" t="s">
        <v>99</v>
      </c>
      <c r="C206" s="328"/>
      <c r="D206" s="328"/>
      <c r="E206" s="125"/>
      <c r="F206" s="141">
        <v>1710</v>
      </c>
      <c r="G206" s="142"/>
      <c r="H206" s="143">
        <f>F206*0.0689476</f>
        <v>117.900396</v>
      </c>
      <c r="I206" s="123"/>
      <c r="J206" s="123"/>
      <c r="K206" s="121"/>
      <c r="L206" s="121"/>
      <c r="M206" s="121"/>
      <c r="N206" s="121"/>
      <c r="O206" s="121"/>
      <c r="P206" s="121"/>
    </row>
    <row r="207" spans="1:16" ht="14.1" hidden="1" customHeight="1" x14ac:dyDescent="0.25">
      <c r="A207" s="361"/>
      <c r="B207" s="328" t="s">
        <v>73</v>
      </c>
      <c r="C207" s="328"/>
      <c r="D207" s="328"/>
      <c r="E207" s="328"/>
      <c r="F207" s="131">
        <v>85</v>
      </c>
      <c r="G207" s="132">
        <v>14</v>
      </c>
      <c r="H207" s="132">
        <f t="shared" ref="H207:H208" si="39">CONVERT(F207,"F","C")</f>
        <v>29.444444444444443</v>
      </c>
      <c r="I207" s="123"/>
      <c r="J207" s="123"/>
      <c r="K207" s="121"/>
      <c r="L207" s="121"/>
      <c r="M207" s="121"/>
      <c r="N207" s="121"/>
      <c r="O207" s="121"/>
      <c r="P207" s="121"/>
    </row>
    <row r="208" spans="1:16" ht="14.1" hidden="1" customHeight="1" x14ac:dyDescent="0.25">
      <c r="A208" s="361"/>
      <c r="B208" s="328" t="s">
        <v>74</v>
      </c>
      <c r="C208" s="328"/>
      <c r="D208" s="328"/>
      <c r="E208" s="328"/>
      <c r="F208" s="131">
        <v>105</v>
      </c>
      <c r="G208" s="132">
        <v>4.5</v>
      </c>
      <c r="H208" s="132">
        <f t="shared" si="39"/>
        <v>40.555555555555557</v>
      </c>
      <c r="I208" s="123"/>
      <c r="J208" s="123"/>
      <c r="K208" s="121"/>
      <c r="L208" s="121"/>
      <c r="M208" s="121"/>
      <c r="N208" s="121"/>
      <c r="O208" s="121"/>
      <c r="P208" s="121"/>
    </row>
    <row r="209" spans="1:16" ht="14.1" hidden="1" customHeight="1" x14ac:dyDescent="0.25">
      <c r="A209" s="361"/>
      <c r="B209" s="328" t="s">
        <v>100</v>
      </c>
      <c r="C209" s="328"/>
      <c r="D209" s="328"/>
      <c r="E209" s="125"/>
      <c r="F209" s="340">
        <v>85.33</v>
      </c>
      <c r="G209" s="340"/>
      <c r="H209" s="340"/>
      <c r="I209" s="123"/>
      <c r="J209" s="123"/>
      <c r="K209" s="121"/>
      <c r="L209" s="121"/>
      <c r="M209" s="121"/>
      <c r="N209" s="121"/>
      <c r="O209" s="121"/>
      <c r="P209" s="121"/>
    </row>
    <row r="210" spans="1:16" ht="14.1" hidden="1" customHeight="1" x14ac:dyDescent="0.25">
      <c r="A210" s="361"/>
      <c r="B210" s="328" t="s">
        <v>101</v>
      </c>
      <c r="C210" s="328"/>
      <c r="D210" s="328"/>
      <c r="E210" s="125"/>
      <c r="F210" s="362">
        <v>1.73</v>
      </c>
      <c r="G210" s="362"/>
      <c r="H210" s="362"/>
      <c r="I210" s="121"/>
      <c r="J210" s="121"/>
      <c r="K210" s="121"/>
      <c r="L210" s="121"/>
      <c r="M210" s="121"/>
      <c r="N210" s="121"/>
      <c r="O210" s="121"/>
      <c r="P210" s="121"/>
    </row>
    <row r="211" spans="1:16" ht="14.1" hidden="1" customHeight="1" x14ac:dyDescent="0.25">
      <c r="A211" s="164"/>
      <c r="B211" s="162"/>
      <c r="C211" s="162"/>
      <c r="D211" s="162"/>
      <c r="E211" s="162"/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</row>
    <row r="212" spans="1:16" ht="14.1" hidden="1" customHeight="1" x14ac:dyDescent="0.25">
      <c r="A212" s="368" t="s">
        <v>102</v>
      </c>
      <c r="B212" s="363" t="s">
        <v>64</v>
      </c>
      <c r="C212" s="363"/>
      <c r="D212" s="363"/>
      <c r="E212" s="145"/>
      <c r="F212" s="148">
        <v>340.53100000000001</v>
      </c>
      <c r="G212" s="159"/>
      <c r="H212" s="160">
        <f>F212/12</f>
        <v>28.377583333333334</v>
      </c>
      <c r="I212" s="146"/>
      <c r="J212" s="146"/>
      <c r="K212" s="147"/>
      <c r="L212" s="147"/>
      <c r="M212" s="147"/>
      <c r="N212" s="147"/>
      <c r="O212" s="147"/>
      <c r="P212" s="147"/>
    </row>
    <row r="213" spans="1:16" ht="14.1" hidden="1" customHeight="1" x14ac:dyDescent="0.25">
      <c r="A213" s="368"/>
      <c r="B213" s="363" t="s">
        <v>65</v>
      </c>
      <c r="C213" s="363"/>
      <c r="D213" s="363"/>
      <c r="E213" s="145"/>
      <c r="F213" s="161">
        <f>F212</f>
        <v>340.53100000000001</v>
      </c>
      <c r="G213" s="159"/>
      <c r="H213" s="160">
        <f>F213/12</f>
        <v>28.377583333333334</v>
      </c>
      <c r="I213" s="146"/>
      <c r="J213" s="146"/>
      <c r="K213" s="147"/>
      <c r="L213" s="147"/>
      <c r="M213" s="147"/>
      <c r="N213" s="147"/>
      <c r="O213" s="147"/>
      <c r="P213" s="147"/>
    </row>
    <row r="214" spans="1:16" ht="14.1" hidden="1" customHeight="1" x14ac:dyDescent="0.25">
      <c r="A214" s="368"/>
      <c r="B214" s="363" t="s">
        <v>67</v>
      </c>
      <c r="C214" s="363"/>
      <c r="D214" s="363"/>
      <c r="E214" s="145"/>
      <c r="F214" s="369">
        <v>51.43</v>
      </c>
      <c r="G214" s="369"/>
      <c r="H214" s="369"/>
      <c r="I214" s="146"/>
      <c r="J214" s="146"/>
      <c r="K214" s="147"/>
      <c r="L214" s="147"/>
      <c r="M214" s="147"/>
      <c r="N214" s="147"/>
      <c r="O214" s="147"/>
      <c r="P214" s="147"/>
    </row>
    <row r="215" spans="1:16" ht="14.1" hidden="1" customHeight="1" x14ac:dyDescent="0.25">
      <c r="A215" s="368"/>
      <c r="B215" s="363" t="s">
        <v>68</v>
      </c>
      <c r="C215" s="363"/>
      <c r="D215" s="363"/>
      <c r="E215" s="145"/>
      <c r="F215" s="369" t="e">
        <f>F62</f>
        <v>#REF!</v>
      </c>
      <c r="G215" s="369"/>
      <c r="H215" s="369"/>
      <c r="I215" s="146"/>
      <c r="J215" s="146"/>
      <c r="K215" s="147"/>
      <c r="L215" s="147"/>
      <c r="M215" s="147"/>
      <c r="N215" s="147"/>
      <c r="O215" s="147"/>
      <c r="P215" s="147"/>
    </row>
    <row r="216" spans="1:16" ht="14.1" hidden="1" customHeight="1" x14ac:dyDescent="0.25">
      <c r="A216" s="368"/>
      <c r="B216" s="363" t="s">
        <v>69</v>
      </c>
      <c r="C216" s="363"/>
      <c r="D216" s="363"/>
      <c r="E216" s="145"/>
      <c r="F216" s="148">
        <f>H216*3.413</f>
        <v>516.06159000000002</v>
      </c>
      <c r="G216" s="149"/>
      <c r="H216" s="150">
        <f>IF(F212+3.413*F214=0,"",(F212+3.413*F214)/3.413)</f>
        <v>151.20468502783476</v>
      </c>
      <c r="I216" s="146"/>
      <c r="J216" s="146"/>
      <c r="K216" s="147"/>
      <c r="L216" s="147"/>
      <c r="M216" s="147"/>
      <c r="N216" s="147"/>
      <c r="O216" s="147"/>
      <c r="P216" s="147"/>
    </row>
    <row r="217" spans="1:16" ht="14.1" hidden="1" customHeight="1" x14ac:dyDescent="0.25">
      <c r="A217" s="368"/>
      <c r="B217" s="363" t="s">
        <v>70</v>
      </c>
      <c r="C217" s="363"/>
      <c r="D217" s="363"/>
      <c r="E217" s="145"/>
      <c r="F217" s="370" t="str">
        <f>IFERROR(H216/(F214+F215),"")</f>
        <v/>
      </c>
      <c r="G217" s="370"/>
      <c r="H217" s="370"/>
      <c r="I217" s="146"/>
      <c r="J217" s="146"/>
      <c r="K217" s="147"/>
      <c r="L217" s="147"/>
      <c r="M217" s="147"/>
      <c r="N217" s="147"/>
      <c r="O217" s="147"/>
      <c r="P217" s="147"/>
    </row>
    <row r="218" spans="1:16" ht="14.1" hidden="1" customHeight="1" x14ac:dyDescent="0.25">
      <c r="A218" s="368"/>
      <c r="B218" s="363" t="s">
        <v>71</v>
      </c>
      <c r="C218" s="363"/>
      <c r="D218" s="363"/>
      <c r="E218" s="145"/>
      <c r="F218" s="364" t="str">
        <f>IFERROR(F198/(F214*3.413),"")</f>
        <v/>
      </c>
      <c r="G218" s="364"/>
      <c r="H218" s="364"/>
      <c r="I218" s="146"/>
      <c r="J218" s="146"/>
      <c r="K218" s="147"/>
      <c r="L218" s="147"/>
      <c r="M218" s="147"/>
      <c r="N218" s="147"/>
      <c r="O218" s="147"/>
      <c r="P218" s="147"/>
    </row>
    <row r="219" spans="1:16" ht="14.1" hidden="1" customHeight="1" x14ac:dyDescent="0.25">
      <c r="A219" s="368"/>
      <c r="B219" s="363" t="s">
        <v>87</v>
      </c>
      <c r="C219" s="363"/>
      <c r="D219" s="363"/>
      <c r="E219" s="145"/>
      <c r="F219" s="365"/>
      <c r="G219" s="365"/>
      <c r="H219" s="365"/>
      <c r="I219" s="146"/>
      <c r="J219" s="146"/>
      <c r="K219" s="147"/>
      <c r="L219" s="147"/>
      <c r="M219" s="147"/>
      <c r="N219" s="147"/>
      <c r="O219" s="147"/>
      <c r="P219" s="147"/>
    </row>
    <row r="220" spans="1:16" ht="14.1" hidden="1" customHeight="1" x14ac:dyDescent="0.25">
      <c r="A220" s="368"/>
      <c r="B220" s="363" t="s">
        <v>88</v>
      </c>
      <c r="C220" s="363"/>
      <c r="D220" s="363"/>
      <c r="E220" s="145"/>
      <c r="F220" s="151">
        <v>264.8</v>
      </c>
      <c r="G220" s="152"/>
      <c r="H220" s="153">
        <f>CONVERT(F220,"F","C")</f>
        <v>129.33333333333334</v>
      </c>
      <c r="I220" s="146"/>
      <c r="J220" s="146"/>
      <c r="K220" s="147"/>
      <c r="L220" s="147"/>
      <c r="M220" s="147"/>
      <c r="N220" s="147"/>
      <c r="O220" s="147"/>
      <c r="P220" s="147"/>
    </row>
    <row r="221" spans="1:16" ht="14.1" hidden="1" customHeight="1" x14ac:dyDescent="0.25">
      <c r="A221" s="368"/>
      <c r="B221" s="363" t="s">
        <v>89</v>
      </c>
      <c r="C221" s="363"/>
      <c r="D221" s="363"/>
      <c r="E221" s="145"/>
      <c r="F221" s="151">
        <v>134</v>
      </c>
      <c r="G221" s="152"/>
      <c r="H221" s="153">
        <f t="shared" ref="H221:H222" si="40">CONVERT(F221,"F","C")</f>
        <v>56.666666666666664</v>
      </c>
      <c r="I221" s="146"/>
      <c r="J221" s="146"/>
      <c r="K221" s="147"/>
      <c r="L221" s="147"/>
      <c r="M221" s="147"/>
      <c r="N221" s="147"/>
      <c r="O221" s="147"/>
      <c r="P221" s="147"/>
    </row>
    <row r="222" spans="1:16" ht="14.1" customHeight="1" x14ac:dyDescent="0.25">
      <c r="A222" s="368"/>
      <c r="B222" s="363"/>
      <c r="C222" s="363"/>
      <c r="D222" s="363"/>
      <c r="E222" s="145"/>
      <c r="F222" s="151">
        <v>5</v>
      </c>
      <c r="G222" s="152"/>
      <c r="H222" s="153">
        <f t="shared" si="40"/>
        <v>-15</v>
      </c>
      <c r="I222" s="146"/>
      <c r="J222" s="146"/>
      <c r="K222" s="147"/>
      <c r="L222" s="147"/>
      <c r="M222" s="147"/>
      <c r="N222" s="147"/>
      <c r="O222" s="147"/>
      <c r="P222" s="147"/>
    </row>
    <row r="223" spans="1:16" ht="14.1" customHeight="1" x14ac:dyDescent="0.25">
      <c r="A223" s="368"/>
      <c r="B223" s="363" t="s">
        <v>90</v>
      </c>
      <c r="C223" s="363"/>
      <c r="D223" s="363"/>
      <c r="E223" s="145"/>
      <c r="F223" s="151">
        <v>40</v>
      </c>
      <c r="G223" s="152"/>
      <c r="H223" s="154">
        <f>F223/1.8</f>
        <v>22.222222222222221</v>
      </c>
      <c r="I223" s="146"/>
      <c r="J223" s="146"/>
      <c r="K223" s="147"/>
      <c r="L223" s="147"/>
      <c r="M223" s="147"/>
      <c r="N223" s="147"/>
      <c r="O223" s="147"/>
      <c r="P223" s="147"/>
    </row>
    <row r="224" spans="1:16" ht="14.1" hidden="1" customHeight="1" x14ac:dyDescent="0.25">
      <c r="A224" s="368"/>
      <c r="B224" s="363" t="s">
        <v>91</v>
      </c>
      <c r="C224" s="363"/>
      <c r="D224" s="363"/>
      <c r="E224" s="145"/>
      <c r="F224" s="151">
        <v>35</v>
      </c>
      <c r="G224" s="152"/>
      <c r="H224" s="154">
        <f>F224/1.8</f>
        <v>19.444444444444443</v>
      </c>
      <c r="I224" s="146"/>
      <c r="J224" s="146"/>
      <c r="K224" s="147"/>
      <c r="L224" s="147"/>
      <c r="M224" s="147"/>
      <c r="N224" s="147"/>
      <c r="O224" s="147"/>
      <c r="P224" s="147"/>
    </row>
    <row r="225" spans="1:16" ht="14.1" hidden="1" customHeight="1" x14ac:dyDescent="0.25">
      <c r="A225" s="368"/>
      <c r="B225" s="363" t="s">
        <v>99</v>
      </c>
      <c r="C225" s="363"/>
      <c r="D225" s="363"/>
      <c r="E225" s="145"/>
      <c r="F225" s="155">
        <v>1710</v>
      </c>
      <c r="G225" s="156"/>
      <c r="H225" s="157">
        <f>F225*0.0689476</f>
        <v>117.900396</v>
      </c>
      <c r="I225" s="146"/>
      <c r="J225" s="146"/>
      <c r="K225" s="147"/>
      <c r="L225" s="147"/>
      <c r="M225" s="147"/>
      <c r="N225" s="147"/>
      <c r="O225" s="147"/>
      <c r="P225" s="147"/>
    </row>
    <row r="226" spans="1:16" ht="14.1" hidden="1" customHeight="1" x14ac:dyDescent="0.25">
      <c r="A226" s="368"/>
      <c r="B226" s="363" t="s">
        <v>73</v>
      </c>
      <c r="C226" s="363"/>
      <c r="D226" s="363"/>
      <c r="E226" s="145"/>
      <c r="F226" s="166">
        <v>100</v>
      </c>
      <c r="G226" s="153">
        <v>14</v>
      </c>
      <c r="H226" s="153">
        <f t="shared" ref="H226:H227" si="41">CONVERT(F226,"F","C")</f>
        <v>37.777777777777779</v>
      </c>
      <c r="I226" s="146"/>
      <c r="J226" s="146"/>
      <c r="K226" s="147"/>
      <c r="L226" s="147"/>
      <c r="M226" s="147"/>
      <c r="N226" s="147"/>
      <c r="O226" s="147"/>
      <c r="P226" s="147"/>
    </row>
    <row r="227" spans="1:16" ht="14.1" hidden="1" customHeight="1" x14ac:dyDescent="0.25">
      <c r="A227" s="368"/>
      <c r="B227" s="363" t="s">
        <v>74</v>
      </c>
      <c r="C227" s="363"/>
      <c r="D227" s="363"/>
      <c r="E227" s="145"/>
      <c r="F227" s="166">
        <v>120</v>
      </c>
      <c r="G227" s="153">
        <v>4.5</v>
      </c>
      <c r="H227" s="153">
        <f t="shared" si="41"/>
        <v>48.888888888888886</v>
      </c>
      <c r="I227" s="146"/>
      <c r="J227" s="146"/>
      <c r="K227" s="147"/>
      <c r="L227" s="147"/>
      <c r="M227" s="147"/>
      <c r="N227" s="147"/>
      <c r="O227" s="147"/>
      <c r="P227" s="147"/>
    </row>
    <row r="228" spans="1:16" ht="14.1" customHeight="1" x14ac:dyDescent="0.25">
      <c r="A228" s="368"/>
      <c r="B228" s="363" t="s">
        <v>100</v>
      </c>
      <c r="C228" s="363"/>
      <c r="D228" s="363"/>
      <c r="E228" s="145"/>
      <c r="F228" s="366">
        <v>55.68</v>
      </c>
      <c r="G228" s="366"/>
      <c r="H228" s="366"/>
      <c r="I228" s="146"/>
      <c r="J228" s="146"/>
      <c r="K228" s="147"/>
      <c r="L228" s="147"/>
      <c r="M228" s="147"/>
      <c r="N228" s="147"/>
      <c r="O228" s="147"/>
      <c r="P228" s="147"/>
    </row>
    <row r="229" spans="1:16" ht="14.1" customHeight="1" x14ac:dyDescent="0.25">
      <c r="A229" s="368"/>
      <c r="B229" s="363" t="s">
        <v>101</v>
      </c>
      <c r="C229" s="363"/>
      <c r="D229" s="363"/>
      <c r="E229" s="145"/>
      <c r="F229" s="367">
        <v>0.745</v>
      </c>
      <c r="G229" s="367"/>
      <c r="H229" s="367"/>
      <c r="I229" s="147"/>
      <c r="J229" s="147"/>
      <c r="K229" s="147"/>
      <c r="L229" s="147"/>
      <c r="M229" s="147"/>
      <c r="N229" s="147"/>
      <c r="O229" s="147"/>
      <c r="P229" s="147"/>
    </row>
    <row r="230" spans="1:16" ht="14.1" customHeight="1" x14ac:dyDescent="0.25">
      <c r="A230" s="361" t="s">
        <v>103</v>
      </c>
      <c r="B230" s="328" t="s">
        <v>64</v>
      </c>
      <c r="C230" s="328"/>
      <c r="D230" s="328"/>
      <c r="E230" s="125"/>
      <c r="F230" s="133">
        <v>292.44</v>
      </c>
      <c r="G230" s="134"/>
      <c r="H230" s="135">
        <f>F230/12</f>
        <v>24.37</v>
      </c>
      <c r="I230" s="121"/>
      <c r="J230" s="121"/>
      <c r="K230" s="121"/>
      <c r="L230" s="121"/>
      <c r="M230" s="121"/>
      <c r="N230" s="121"/>
      <c r="O230" s="121"/>
      <c r="P230" s="121"/>
    </row>
    <row r="231" spans="1:16" ht="14.1" customHeight="1" x14ac:dyDescent="0.25">
      <c r="A231" s="361"/>
      <c r="B231" s="328" t="s">
        <v>65</v>
      </c>
      <c r="C231" s="328"/>
      <c r="D231" s="328"/>
      <c r="E231" s="125"/>
      <c r="F231" s="136">
        <f>F230</f>
        <v>292.44</v>
      </c>
      <c r="G231" s="134"/>
      <c r="H231" s="135">
        <f>F231/12</f>
        <v>24.37</v>
      </c>
      <c r="I231" s="121"/>
      <c r="J231" s="121"/>
      <c r="K231" s="121"/>
      <c r="L231" s="121"/>
      <c r="M231" s="121"/>
      <c r="N231" s="121"/>
      <c r="O231" s="121"/>
      <c r="P231" s="121"/>
    </row>
    <row r="232" spans="1:16" ht="14.1" customHeight="1" x14ac:dyDescent="0.25">
      <c r="A232" s="361"/>
      <c r="B232" s="328" t="s">
        <v>67</v>
      </c>
      <c r="C232" s="328"/>
      <c r="D232" s="328"/>
      <c r="E232" s="125"/>
      <c r="F232" s="326">
        <v>22.75</v>
      </c>
      <c r="G232" s="326"/>
      <c r="H232" s="326"/>
      <c r="I232" s="123"/>
      <c r="J232" s="123"/>
      <c r="K232" s="121"/>
      <c r="L232" s="121"/>
      <c r="M232" s="121"/>
      <c r="N232" s="121"/>
      <c r="O232" s="121"/>
      <c r="P232" s="121"/>
    </row>
    <row r="233" spans="1:16" ht="14.1" customHeight="1" x14ac:dyDescent="0.25">
      <c r="A233" s="361"/>
      <c r="B233" s="328" t="s">
        <v>69</v>
      </c>
      <c r="C233" s="328"/>
      <c r="D233" s="328"/>
      <c r="E233" s="125"/>
      <c r="F233" s="133">
        <f>H233*3.413</f>
        <v>370.08574999999996</v>
      </c>
      <c r="G233" s="137"/>
      <c r="H233" s="138">
        <f>IF(F231+3.413*F232=0,"",(F231+3.413*F232)/3.413)</f>
        <v>108.43414884266041</v>
      </c>
      <c r="I233" s="123"/>
      <c r="J233" s="123"/>
      <c r="K233" s="121"/>
      <c r="L233" s="121"/>
      <c r="M233" s="121"/>
      <c r="N233" s="121"/>
      <c r="O233" s="121"/>
      <c r="P233" s="121"/>
    </row>
    <row r="234" spans="1:16" ht="14.1" customHeight="1" x14ac:dyDescent="0.25">
      <c r="A234" s="361"/>
      <c r="B234" s="328" t="s">
        <v>70</v>
      </c>
      <c r="C234" s="328"/>
      <c r="D234" s="328"/>
      <c r="E234" s="125"/>
      <c r="F234" s="360">
        <f>IFERROR(H233/(F232+4.6),"")</f>
        <v>3.964685515270947</v>
      </c>
      <c r="G234" s="360"/>
      <c r="H234" s="360"/>
      <c r="I234" s="123"/>
      <c r="J234" s="123"/>
      <c r="K234" s="121"/>
      <c r="L234" s="121"/>
      <c r="M234" s="121"/>
      <c r="N234" s="121"/>
      <c r="O234" s="121"/>
      <c r="P234" s="121"/>
    </row>
    <row r="235" spans="1:16" ht="14.1" customHeight="1" x14ac:dyDescent="0.25">
      <c r="A235" s="361"/>
      <c r="B235" s="328" t="s">
        <v>71</v>
      </c>
      <c r="C235" s="328"/>
      <c r="D235" s="328"/>
      <c r="E235" s="125"/>
      <c r="F235" s="360">
        <f>IFERROR(F231/(F232*3.413),"")</f>
        <v>3.7663362128641946</v>
      </c>
      <c r="G235" s="360"/>
      <c r="H235" s="360"/>
      <c r="I235" s="123"/>
      <c r="J235" s="123"/>
      <c r="K235" s="121"/>
      <c r="L235" s="121"/>
      <c r="M235" s="121"/>
      <c r="N235" s="121"/>
      <c r="O235" s="121"/>
      <c r="P235" s="121"/>
    </row>
    <row r="236" spans="1:16" ht="14.1" customHeight="1" x14ac:dyDescent="0.25">
      <c r="A236" s="361"/>
      <c r="B236" s="328" t="s">
        <v>87</v>
      </c>
      <c r="C236" s="328"/>
      <c r="D236" s="328"/>
      <c r="E236" s="125"/>
      <c r="F236" s="356"/>
      <c r="G236" s="356"/>
      <c r="H236" s="356"/>
      <c r="I236" s="123"/>
      <c r="J236" s="123"/>
      <c r="K236" s="121"/>
      <c r="L236" s="121"/>
      <c r="M236" s="121"/>
      <c r="N236" s="121"/>
      <c r="O236" s="121"/>
      <c r="P236" s="121"/>
    </row>
    <row r="237" spans="1:16" ht="14.1" customHeight="1" x14ac:dyDescent="0.25">
      <c r="A237" s="361"/>
      <c r="B237" s="328" t="s">
        <v>88</v>
      </c>
      <c r="C237" s="328"/>
      <c r="D237" s="328"/>
      <c r="E237" s="125"/>
      <c r="F237" s="139">
        <v>264.8</v>
      </c>
      <c r="G237" s="140"/>
      <c r="H237" s="132">
        <f>CONVERT(F237,"F","C")</f>
        <v>129.33333333333334</v>
      </c>
      <c r="I237" s="123"/>
      <c r="J237" s="123"/>
      <c r="K237" s="121"/>
      <c r="L237" s="121"/>
      <c r="M237" s="121"/>
      <c r="N237" s="121"/>
      <c r="O237" s="121"/>
      <c r="P237" s="121"/>
    </row>
    <row r="238" spans="1:16" ht="14.1" customHeight="1" x14ac:dyDescent="0.25">
      <c r="A238" s="361"/>
      <c r="B238" s="328" t="s">
        <v>89</v>
      </c>
      <c r="C238" s="328"/>
      <c r="D238" s="328"/>
      <c r="E238" s="125"/>
      <c r="F238" s="139">
        <v>134</v>
      </c>
      <c r="G238" s="140"/>
      <c r="H238" s="132">
        <f t="shared" ref="H238:H239" si="42">CONVERT(F238,"F","C")</f>
        <v>56.666666666666664</v>
      </c>
      <c r="I238" s="123"/>
      <c r="J238" s="123"/>
      <c r="K238" s="121"/>
      <c r="L238" s="121"/>
      <c r="M238" s="121"/>
      <c r="N238" s="121"/>
      <c r="O238" s="121"/>
      <c r="P238" s="121"/>
    </row>
    <row r="239" spans="1:16" ht="14.1" hidden="1" customHeight="1" x14ac:dyDescent="0.25">
      <c r="A239" s="361"/>
      <c r="B239" s="328"/>
      <c r="C239" s="328"/>
      <c r="D239" s="328"/>
      <c r="E239" s="125"/>
      <c r="F239" s="139">
        <v>38</v>
      </c>
      <c r="G239" s="140"/>
      <c r="H239" s="132">
        <f t="shared" si="42"/>
        <v>3.333333333333333</v>
      </c>
      <c r="I239" s="123"/>
      <c r="J239" s="123"/>
      <c r="K239" s="121"/>
      <c r="L239" s="121"/>
      <c r="M239" s="121"/>
      <c r="N239" s="121"/>
      <c r="O239" s="121"/>
      <c r="P239" s="121"/>
    </row>
    <row r="240" spans="1:16" ht="2.1" hidden="1" customHeight="1" x14ac:dyDescent="0.25">
      <c r="A240" s="361"/>
      <c r="B240" s="328" t="s">
        <v>90</v>
      </c>
      <c r="C240" s="328"/>
      <c r="D240" s="328"/>
      <c r="E240" s="125"/>
      <c r="F240" s="139">
        <v>40</v>
      </c>
      <c r="G240" s="140"/>
      <c r="H240" s="144">
        <f>F240/1.8</f>
        <v>22.222222222222221</v>
      </c>
      <c r="I240" s="123"/>
      <c r="J240" s="123"/>
      <c r="K240" s="121"/>
      <c r="L240" s="121"/>
      <c r="M240" s="121"/>
      <c r="N240" s="121"/>
      <c r="O240" s="121"/>
      <c r="P240" s="121"/>
    </row>
    <row r="241" spans="1:16" ht="14.1" hidden="1" customHeight="1" x14ac:dyDescent="0.25">
      <c r="A241" s="361"/>
      <c r="B241" s="328" t="s">
        <v>91</v>
      </c>
      <c r="C241" s="328"/>
      <c r="D241" s="328"/>
      <c r="E241" s="125"/>
      <c r="F241" s="139">
        <v>35</v>
      </c>
      <c r="G241" s="140"/>
      <c r="H241" s="144">
        <f>F241/1.8</f>
        <v>19.444444444444443</v>
      </c>
      <c r="I241" s="123"/>
      <c r="J241" s="123"/>
      <c r="K241" s="121"/>
      <c r="L241" s="121"/>
      <c r="M241" s="121"/>
      <c r="N241" s="121"/>
      <c r="O241" s="121"/>
      <c r="P241" s="121"/>
    </row>
    <row r="242" spans="1:16" ht="14.1" hidden="1" customHeight="1" x14ac:dyDescent="0.25">
      <c r="A242" s="361"/>
      <c r="B242" s="328" t="s">
        <v>99</v>
      </c>
      <c r="C242" s="328"/>
      <c r="D242" s="328"/>
      <c r="E242" s="125"/>
      <c r="F242" s="141">
        <v>1710</v>
      </c>
      <c r="G242" s="142"/>
      <c r="H242" s="143">
        <f>F242*0.0689476</f>
        <v>117.900396</v>
      </c>
      <c r="I242" s="123"/>
      <c r="J242" s="123"/>
      <c r="K242" s="121"/>
      <c r="L242" s="121"/>
      <c r="M242" s="121"/>
      <c r="N242" s="121"/>
      <c r="O242" s="121"/>
      <c r="P242" s="121"/>
    </row>
    <row r="243" spans="1:16" ht="14.1" hidden="1" customHeight="1" x14ac:dyDescent="0.25">
      <c r="A243" s="361"/>
      <c r="B243" s="165"/>
      <c r="C243" s="165"/>
      <c r="D243" s="165"/>
      <c r="E243" s="125"/>
      <c r="F243" s="141"/>
      <c r="G243" s="142"/>
      <c r="H243" s="143"/>
      <c r="I243" s="123"/>
      <c r="J243" s="123"/>
      <c r="K243" s="121"/>
      <c r="L243" s="121"/>
      <c r="M243" s="121"/>
      <c r="N243" s="121"/>
      <c r="O243" s="121"/>
      <c r="P243" s="121"/>
    </row>
    <row r="244" spans="1:16" ht="14.1" hidden="1" customHeight="1" x14ac:dyDescent="0.25">
      <c r="A244" s="361"/>
      <c r="B244" s="165"/>
      <c r="C244" s="165"/>
      <c r="D244" s="165"/>
      <c r="E244" s="125"/>
      <c r="F244" s="141"/>
      <c r="G244" s="142"/>
      <c r="H244" s="143"/>
      <c r="I244" s="123"/>
      <c r="J244" s="123"/>
      <c r="K244" s="121"/>
      <c r="L244" s="121"/>
      <c r="M244" s="121"/>
      <c r="N244" s="121"/>
      <c r="O244" s="121"/>
      <c r="P244" s="121"/>
    </row>
    <row r="245" spans="1:16" ht="14.1" hidden="1" customHeight="1" x14ac:dyDescent="0.25">
      <c r="A245" s="361"/>
      <c r="B245" s="328" t="s">
        <v>100</v>
      </c>
      <c r="C245" s="328"/>
      <c r="D245" s="328"/>
      <c r="E245" s="125"/>
      <c r="F245" s="340">
        <v>8.76</v>
      </c>
      <c r="G245" s="340"/>
      <c r="H245" s="340"/>
      <c r="I245" s="123"/>
      <c r="J245" s="123"/>
      <c r="K245" s="121"/>
      <c r="L245" s="121"/>
      <c r="M245" s="121"/>
      <c r="N245" s="121"/>
      <c r="O245" s="121"/>
      <c r="P245" s="121"/>
    </row>
    <row r="246" spans="1:16" ht="14.1" hidden="1" customHeight="1" x14ac:dyDescent="0.25">
      <c r="A246" s="361"/>
      <c r="B246" s="328" t="s">
        <v>101</v>
      </c>
      <c r="C246" s="328"/>
      <c r="D246" s="328"/>
      <c r="E246" s="125"/>
      <c r="F246" s="343">
        <v>0.4</v>
      </c>
      <c r="G246" s="343"/>
      <c r="H246" s="343"/>
      <c r="I246" s="121"/>
      <c r="J246" s="121"/>
      <c r="K246" s="121"/>
      <c r="L246" s="121"/>
      <c r="M246" s="121"/>
      <c r="N246" s="121"/>
      <c r="O246" s="121"/>
      <c r="P246" s="121"/>
    </row>
    <row r="247" spans="1:16" ht="14.1" customHeight="1" x14ac:dyDescent="0.25">
      <c r="A247" s="361" t="s">
        <v>104</v>
      </c>
      <c r="B247" s="328" t="s">
        <v>64</v>
      </c>
      <c r="C247" s="328"/>
      <c r="D247" s="328"/>
      <c r="E247" s="125"/>
      <c r="F247" s="133">
        <v>371.45400000000001</v>
      </c>
      <c r="G247" s="134"/>
      <c r="H247" s="135">
        <f>F247/12</f>
        <v>30.954499999999999</v>
      </c>
      <c r="I247" s="121"/>
      <c r="J247" s="121"/>
      <c r="K247" s="121"/>
      <c r="L247" s="121"/>
      <c r="M247" s="121"/>
      <c r="N247" s="121"/>
      <c r="O247" s="121"/>
      <c r="P247" s="121"/>
    </row>
    <row r="248" spans="1:16" ht="14.1" customHeight="1" x14ac:dyDescent="0.25">
      <c r="A248" s="361"/>
      <c r="B248" s="328" t="s">
        <v>65</v>
      </c>
      <c r="C248" s="328"/>
      <c r="D248" s="328"/>
      <c r="E248" s="125"/>
      <c r="F248" s="136">
        <f>F247</f>
        <v>371.45400000000001</v>
      </c>
      <c r="G248" s="134"/>
      <c r="H248" s="135">
        <f>F248/12</f>
        <v>30.954499999999999</v>
      </c>
      <c r="I248" s="121"/>
      <c r="J248" s="121"/>
      <c r="K248" s="121"/>
      <c r="L248" s="121"/>
      <c r="M248" s="121"/>
      <c r="N248" s="121"/>
      <c r="O248" s="121"/>
      <c r="P248" s="121"/>
    </row>
    <row r="249" spans="1:16" ht="14.1" customHeight="1" x14ac:dyDescent="0.25">
      <c r="A249" s="361"/>
      <c r="B249" s="328" t="s">
        <v>67</v>
      </c>
      <c r="C249" s="328"/>
      <c r="D249" s="328"/>
      <c r="E249" s="125"/>
      <c r="F249" s="326">
        <v>43.433</v>
      </c>
      <c r="G249" s="326"/>
      <c r="H249" s="326"/>
      <c r="I249" s="123"/>
      <c r="J249" s="123"/>
      <c r="K249" s="121"/>
      <c r="L249" s="121"/>
      <c r="M249" s="121"/>
      <c r="N249" s="121"/>
      <c r="O249" s="121"/>
      <c r="P249" s="121"/>
    </row>
    <row r="250" spans="1:16" ht="14.1" customHeight="1" x14ac:dyDescent="0.25">
      <c r="A250" s="361"/>
      <c r="B250" s="328" t="s">
        <v>68</v>
      </c>
      <c r="C250" s="328"/>
      <c r="D250" s="328"/>
      <c r="E250" s="125"/>
      <c r="F250" s="326" t="e">
        <f>F62</f>
        <v>#REF!</v>
      </c>
      <c r="G250" s="326"/>
      <c r="H250" s="326"/>
      <c r="I250" s="123"/>
      <c r="J250" s="123"/>
      <c r="K250" s="121"/>
      <c r="L250" s="121"/>
      <c r="M250" s="121"/>
      <c r="N250" s="121"/>
      <c r="O250" s="121"/>
      <c r="P250" s="121"/>
    </row>
    <row r="251" spans="1:16" ht="14.1" customHeight="1" x14ac:dyDescent="0.25">
      <c r="A251" s="361"/>
      <c r="B251" s="328" t="s">
        <v>69</v>
      </c>
      <c r="C251" s="328"/>
      <c r="D251" s="328"/>
      <c r="E251" s="125"/>
      <c r="F251" s="133">
        <f>H251*3.413</f>
        <v>519.69082900000001</v>
      </c>
      <c r="G251" s="137"/>
      <c r="H251" s="138">
        <f>IF(F248+3.413*F249=0,"",(F248+3.413*F249)/3.413)</f>
        <v>152.26804248461764</v>
      </c>
      <c r="I251" s="123"/>
      <c r="J251" s="123"/>
      <c r="K251" s="121"/>
      <c r="L251" s="121"/>
      <c r="M251" s="121"/>
      <c r="N251" s="121"/>
      <c r="O251" s="121"/>
      <c r="P251" s="121"/>
    </row>
    <row r="252" spans="1:16" ht="14.1" customHeight="1" x14ac:dyDescent="0.25">
      <c r="A252" s="361"/>
      <c r="B252" s="328" t="s">
        <v>70</v>
      </c>
      <c r="C252" s="328"/>
      <c r="D252" s="328"/>
      <c r="E252" s="125"/>
      <c r="F252" s="329" t="str">
        <f>IFERROR(H251/(F249+F250),"")</f>
        <v/>
      </c>
      <c r="G252" s="329"/>
      <c r="H252" s="329"/>
      <c r="I252" s="123"/>
      <c r="J252" s="123"/>
      <c r="K252" s="121"/>
      <c r="L252" s="121"/>
      <c r="M252" s="121"/>
      <c r="N252" s="121"/>
      <c r="O252" s="121"/>
      <c r="P252" s="121"/>
    </row>
    <row r="253" spans="1:16" ht="14.1" customHeight="1" x14ac:dyDescent="0.25">
      <c r="A253" s="361"/>
      <c r="B253" s="328" t="s">
        <v>71</v>
      </c>
      <c r="C253" s="328"/>
      <c r="D253" s="328"/>
      <c r="E253" s="125"/>
      <c r="F253" s="360">
        <f>IFERROR(F248/(F249*3.413),"")</f>
        <v>2.5058145300720107</v>
      </c>
      <c r="G253" s="360"/>
      <c r="H253" s="360"/>
      <c r="I253" s="123"/>
      <c r="J253" s="123"/>
      <c r="K253" s="121"/>
      <c r="L253" s="121"/>
      <c r="M253" s="121"/>
      <c r="N253" s="121"/>
      <c r="O253" s="121"/>
      <c r="P253" s="121"/>
    </row>
    <row r="254" spans="1:16" ht="14.1" customHeight="1" x14ac:dyDescent="0.25">
      <c r="A254" s="361"/>
      <c r="B254" s="328" t="s">
        <v>87</v>
      </c>
      <c r="C254" s="328"/>
      <c r="D254" s="328"/>
      <c r="E254" s="125"/>
      <c r="F254" s="356"/>
      <c r="G254" s="356"/>
      <c r="H254" s="356"/>
      <c r="I254" s="123"/>
      <c r="J254" s="123"/>
      <c r="K254" s="121"/>
      <c r="L254" s="121"/>
      <c r="M254" s="121"/>
      <c r="N254" s="121"/>
      <c r="O254" s="121"/>
      <c r="P254" s="121"/>
    </row>
    <row r="255" spans="1:16" ht="14.1" customHeight="1" x14ac:dyDescent="0.25">
      <c r="A255" s="361"/>
      <c r="B255" s="328" t="s">
        <v>88</v>
      </c>
      <c r="C255" s="328"/>
      <c r="D255" s="328"/>
      <c r="E255" s="125"/>
      <c r="F255" s="139">
        <v>264.8</v>
      </c>
      <c r="G255" s="140"/>
      <c r="H255" s="132">
        <f>CONVERT(F255,"F","C")</f>
        <v>129.33333333333334</v>
      </c>
      <c r="I255" s="123"/>
      <c r="J255" s="123"/>
      <c r="K255" s="121"/>
      <c r="L255" s="121"/>
      <c r="M255" s="121"/>
      <c r="N255" s="121"/>
      <c r="O255" s="121"/>
      <c r="P255" s="121"/>
    </row>
    <row r="256" spans="1:16" ht="14.1" customHeight="1" x14ac:dyDescent="0.25">
      <c r="A256" s="361"/>
      <c r="B256" s="328" t="s">
        <v>89</v>
      </c>
      <c r="C256" s="328"/>
      <c r="D256" s="328"/>
      <c r="E256" s="125"/>
      <c r="F256" s="139">
        <v>134</v>
      </c>
      <c r="G256" s="140"/>
      <c r="H256" s="132">
        <f t="shared" ref="H256:H257" si="43">CONVERT(F256,"F","C")</f>
        <v>56.666666666666664</v>
      </c>
      <c r="I256" s="123"/>
      <c r="J256" s="123"/>
      <c r="K256" s="121"/>
      <c r="L256" s="121"/>
      <c r="M256" s="121"/>
      <c r="N256" s="121"/>
      <c r="O256" s="121"/>
      <c r="P256" s="121"/>
    </row>
    <row r="257" spans="1:16" ht="14.1" hidden="1" customHeight="1" x14ac:dyDescent="0.25">
      <c r="A257" s="361"/>
      <c r="B257" s="328"/>
      <c r="C257" s="328"/>
      <c r="D257" s="328"/>
      <c r="E257" s="125"/>
      <c r="F257" s="139">
        <v>38</v>
      </c>
      <c r="G257" s="140"/>
      <c r="H257" s="132">
        <f t="shared" si="43"/>
        <v>3.333333333333333</v>
      </c>
      <c r="I257" s="123"/>
      <c r="J257" s="123"/>
      <c r="K257" s="121"/>
      <c r="L257" s="121"/>
      <c r="M257" s="121"/>
      <c r="N257" s="121"/>
      <c r="O257" s="121"/>
      <c r="P257" s="121"/>
    </row>
    <row r="258" spans="1:16" ht="14.1" hidden="1" customHeight="1" x14ac:dyDescent="0.25">
      <c r="A258" s="361"/>
      <c r="B258" s="328" t="s">
        <v>90</v>
      </c>
      <c r="C258" s="328"/>
      <c r="D258" s="328"/>
      <c r="E258" s="125"/>
      <c r="F258" s="139">
        <v>40</v>
      </c>
      <c r="G258" s="140"/>
      <c r="H258" s="144">
        <f>F258/1.8</f>
        <v>22.222222222222221</v>
      </c>
      <c r="I258" s="123"/>
      <c r="J258" s="123"/>
      <c r="K258" s="121"/>
      <c r="L258" s="121"/>
      <c r="M258" s="121"/>
      <c r="N258" s="121"/>
      <c r="O258" s="121"/>
      <c r="P258" s="121"/>
    </row>
    <row r="259" spans="1:16" ht="14.1" hidden="1" customHeight="1" x14ac:dyDescent="0.25">
      <c r="A259" s="361"/>
      <c r="B259" s="328" t="s">
        <v>91</v>
      </c>
      <c r="C259" s="328"/>
      <c r="D259" s="328"/>
      <c r="E259" s="125"/>
      <c r="F259" s="139">
        <v>35</v>
      </c>
      <c r="G259" s="140"/>
      <c r="H259" s="144">
        <f>F259/1.8</f>
        <v>19.444444444444443</v>
      </c>
      <c r="I259" s="123"/>
      <c r="J259" s="123"/>
      <c r="K259" s="121"/>
      <c r="L259" s="121"/>
      <c r="M259" s="121"/>
      <c r="N259" s="121"/>
      <c r="O259" s="121"/>
      <c r="P259" s="121"/>
    </row>
    <row r="260" spans="1:16" ht="14.1" hidden="1" customHeight="1" x14ac:dyDescent="0.25">
      <c r="A260" s="361"/>
      <c r="B260" s="328" t="s">
        <v>99</v>
      </c>
      <c r="C260" s="328"/>
      <c r="D260" s="328"/>
      <c r="E260" s="125"/>
      <c r="F260" s="141">
        <v>1710</v>
      </c>
      <c r="G260" s="142"/>
      <c r="H260" s="143">
        <f>F260*0.0689476</f>
        <v>117.900396</v>
      </c>
      <c r="I260" s="123"/>
      <c r="J260" s="123"/>
      <c r="K260" s="121"/>
      <c r="L260" s="121"/>
      <c r="M260" s="121"/>
      <c r="N260" s="121"/>
      <c r="O260" s="121"/>
      <c r="P260" s="121"/>
    </row>
    <row r="261" spans="1:16" ht="14.1" hidden="1" customHeight="1" x14ac:dyDescent="0.25">
      <c r="A261" s="361"/>
      <c r="B261" s="372" t="s">
        <v>73</v>
      </c>
      <c r="C261" s="328"/>
      <c r="D261" s="328"/>
      <c r="E261" s="328"/>
      <c r="F261" s="131">
        <v>85</v>
      </c>
      <c r="G261" s="132">
        <v>14</v>
      </c>
      <c r="H261" s="132">
        <f t="shared" ref="H261:H262" si="44">CONVERT(F261,"F","C")</f>
        <v>29.444444444444443</v>
      </c>
      <c r="I261" s="123"/>
      <c r="J261" s="123"/>
      <c r="K261" s="121"/>
      <c r="L261" s="121"/>
      <c r="M261" s="121"/>
      <c r="N261" s="121"/>
      <c r="O261" s="121"/>
      <c r="P261" s="121"/>
    </row>
    <row r="262" spans="1:16" ht="14.1" hidden="1" customHeight="1" x14ac:dyDescent="0.25">
      <c r="A262" s="361"/>
      <c r="B262" s="372" t="s">
        <v>74</v>
      </c>
      <c r="C262" s="328"/>
      <c r="D262" s="328"/>
      <c r="E262" s="328"/>
      <c r="F262" s="131">
        <v>105</v>
      </c>
      <c r="G262" s="132">
        <v>4.5</v>
      </c>
      <c r="H262" s="132">
        <f t="shared" si="44"/>
        <v>40.555555555555557</v>
      </c>
      <c r="I262" s="123"/>
      <c r="J262" s="123"/>
      <c r="K262" s="121"/>
      <c r="L262" s="121"/>
      <c r="M262" s="121"/>
      <c r="N262" s="121"/>
      <c r="O262" s="121"/>
      <c r="P262" s="121"/>
    </row>
    <row r="263" spans="1:16" ht="14.1" hidden="1" customHeight="1" x14ac:dyDescent="0.25">
      <c r="A263" s="361"/>
      <c r="B263" s="328" t="s">
        <v>100</v>
      </c>
      <c r="C263" s="328"/>
      <c r="D263" s="328"/>
      <c r="E263" s="125"/>
      <c r="F263" s="340">
        <v>56.24</v>
      </c>
      <c r="G263" s="340"/>
      <c r="H263" s="340"/>
      <c r="I263" s="123"/>
      <c r="J263" s="123"/>
      <c r="K263" s="121"/>
      <c r="L263" s="121"/>
      <c r="M263" s="121"/>
      <c r="N263" s="121"/>
      <c r="O263" s="121"/>
      <c r="P263" s="121"/>
    </row>
    <row r="264" spans="1:16" ht="14.1" hidden="1" customHeight="1" x14ac:dyDescent="0.25">
      <c r="A264" s="361"/>
      <c r="B264" s="328" t="s">
        <v>101</v>
      </c>
      <c r="C264" s="328"/>
      <c r="D264" s="328"/>
      <c r="E264" s="125"/>
      <c r="F264" s="343">
        <v>0.79400000000000004</v>
      </c>
      <c r="G264" s="343"/>
      <c r="H264" s="343"/>
      <c r="I264" s="121"/>
      <c r="J264" s="121"/>
      <c r="K264" s="121"/>
      <c r="L264" s="121"/>
      <c r="M264" s="121"/>
      <c r="N264" s="121"/>
      <c r="O264" s="121"/>
      <c r="P264" s="121"/>
    </row>
    <row r="265" spans="1:16" ht="14.1" hidden="1" customHeight="1" x14ac:dyDescent="0.25">
      <c r="A265" s="164"/>
      <c r="B265" s="162"/>
      <c r="C265" s="162"/>
      <c r="D265" s="162"/>
      <c r="E265" s="162"/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</row>
    <row r="266" spans="1:16" ht="14.1" hidden="1" customHeight="1" x14ac:dyDescent="0.25">
      <c r="A266" s="368" t="s">
        <v>105</v>
      </c>
      <c r="B266" s="363" t="s">
        <v>64</v>
      </c>
      <c r="C266" s="363"/>
      <c r="D266" s="363"/>
      <c r="E266" s="145"/>
      <c r="F266" s="148">
        <v>425.13600000000002</v>
      </c>
      <c r="G266" s="159"/>
      <c r="H266" s="160">
        <f>F266/12</f>
        <v>35.428000000000004</v>
      </c>
      <c r="I266" s="146"/>
      <c r="J266" s="146"/>
      <c r="K266" s="147"/>
      <c r="L266" s="147"/>
      <c r="M266" s="147"/>
      <c r="N266" s="147"/>
      <c r="O266" s="147"/>
      <c r="P266" s="147"/>
    </row>
    <row r="267" spans="1:16" ht="14.1" hidden="1" customHeight="1" x14ac:dyDescent="0.25">
      <c r="A267" s="368"/>
      <c r="B267" s="363" t="s">
        <v>65</v>
      </c>
      <c r="C267" s="363"/>
      <c r="D267" s="363"/>
      <c r="E267" s="145"/>
      <c r="F267" s="161">
        <f>F266</f>
        <v>425.13600000000002</v>
      </c>
      <c r="G267" s="159"/>
      <c r="H267" s="160">
        <f>F267/12</f>
        <v>35.428000000000004</v>
      </c>
      <c r="I267" s="146"/>
      <c r="J267" s="146"/>
      <c r="K267" s="147"/>
      <c r="L267" s="147"/>
      <c r="M267" s="147"/>
      <c r="N267" s="147"/>
      <c r="O267" s="147"/>
      <c r="P267" s="147"/>
    </row>
    <row r="268" spans="1:16" ht="14.1" hidden="1" customHeight="1" x14ac:dyDescent="0.25">
      <c r="A268" s="368"/>
      <c r="B268" s="363" t="s">
        <v>67</v>
      </c>
      <c r="C268" s="363"/>
      <c r="D268" s="363"/>
      <c r="E268" s="145"/>
      <c r="F268" s="369">
        <v>22.728999999999999</v>
      </c>
      <c r="G268" s="369"/>
      <c r="H268" s="369"/>
      <c r="I268" s="146"/>
      <c r="J268" s="146"/>
      <c r="K268" s="147"/>
      <c r="L268" s="147"/>
      <c r="M268" s="147"/>
      <c r="N268" s="147"/>
      <c r="O268" s="147"/>
      <c r="P268" s="147"/>
    </row>
    <row r="269" spans="1:16" ht="14.1" hidden="1" customHeight="1" x14ac:dyDescent="0.25">
      <c r="A269" s="368"/>
      <c r="B269" s="363" t="s">
        <v>69</v>
      </c>
      <c r="C269" s="363"/>
      <c r="D269" s="363"/>
      <c r="E269" s="145"/>
      <c r="F269" s="148">
        <f>H269*3.413</f>
        <v>502.71007700000001</v>
      </c>
      <c r="G269" s="149"/>
      <c r="H269" s="150">
        <f>IF(F266+3.413*F268=0,"",(F266+3.413*F268)/3.413)</f>
        <v>147.29272692645768</v>
      </c>
      <c r="I269" s="146"/>
      <c r="J269" s="146"/>
      <c r="K269" s="147"/>
      <c r="L269" s="147"/>
      <c r="M269" s="147"/>
      <c r="N269" s="147"/>
      <c r="O269" s="147"/>
      <c r="P269" s="147"/>
    </row>
    <row r="270" spans="1:16" ht="14.1" hidden="1" customHeight="1" x14ac:dyDescent="0.25">
      <c r="A270" s="368"/>
      <c r="B270" s="363" t="s">
        <v>70</v>
      </c>
      <c r="C270" s="363"/>
      <c r="D270" s="363"/>
      <c r="E270" s="145"/>
      <c r="F270" s="364">
        <f>IFERROR(H269/(F268+4.6),"")</f>
        <v>5.3896127529897795</v>
      </c>
      <c r="G270" s="364"/>
      <c r="H270" s="364"/>
      <c r="I270" s="146"/>
      <c r="J270" s="146"/>
      <c r="K270" s="147"/>
      <c r="L270" s="147"/>
      <c r="M270" s="147"/>
      <c r="N270" s="147"/>
      <c r="O270" s="147"/>
      <c r="P270" s="147"/>
    </row>
    <row r="271" spans="1:16" ht="14.1" hidden="1" customHeight="1" x14ac:dyDescent="0.25">
      <c r="A271" s="368"/>
      <c r="B271" s="363" t="s">
        <v>71</v>
      </c>
      <c r="C271" s="363"/>
      <c r="D271" s="363"/>
      <c r="E271" s="145"/>
      <c r="F271" s="364" t="str">
        <f>IFERROR(F252/(F268*3.413),"")</f>
        <v/>
      </c>
      <c r="G271" s="364"/>
      <c r="H271" s="364"/>
      <c r="I271" s="146"/>
      <c r="J271" s="146"/>
      <c r="K271" s="147"/>
      <c r="L271" s="147"/>
      <c r="M271" s="147"/>
      <c r="N271" s="147"/>
      <c r="O271" s="147"/>
      <c r="P271" s="147"/>
    </row>
    <row r="272" spans="1:16" ht="14.1" hidden="1" customHeight="1" x14ac:dyDescent="0.25">
      <c r="A272" s="368"/>
      <c r="B272" s="363" t="s">
        <v>87</v>
      </c>
      <c r="C272" s="363"/>
      <c r="D272" s="363"/>
      <c r="E272" s="145"/>
      <c r="F272" s="365"/>
      <c r="G272" s="365"/>
      <c r="H272" s="365"/>
      <c r="I272" s="146"/>
      <c r="J272" s="146"/>
      <c r="K272" s="147"/>
      <c r="L272" s="147"/>
      <c r="M272" s="147"/>
      <c r="N272" s="147"/>
      <c r="O272" s="147"/>
      <c r="P272" s="147"/>
    </row>
    <row r="273" spans="1:16" ht="14.1" hidden="1" customHeight="1" x14ac:dyDescent="0.25">
      <c r="A273" s="368"/>
      <c r="B273" s="363" t="s">
        <v>88</v>
      </c>
      <c r="C273" s="363"/>
      <c r="D273" s="363"/>
      <c r="E273" s="145"/>
      <c r="F273" s="151">
        <v>264.8</v>
      </c>
      <c r="G273" s="152"/>
      <c r="H273" s="153">
        <f>CONVERT(F273,"F","C")</f>
        <v>129.33333333333334</v>
      </c>
      <c r="I273" s="146"/>
      <c r="J273" s="146"/>
      <c r="K273" s="147"/>
      <c r="L273" s="147"/>
      <c r="M273" s="147"/>
      <c r="N273" s="147"/>
      <c r="O273" s="147"/>
      <c r="P273" s="147"/>
    </row>
    <row r="274" spans="1:16" ht="14.1" hidden="1" customHeight="1" x14ac:dyDescent="0.25">
      <c r="A274" s="368"/>
      <c r="B274" s="363" t="s">
        <v>89</v>
      </c>
      <c r="C274" s="363"/>
      <c r="D274" s="363"/>
      <c r="E274" s="145"/>
      <c r="F274" s="151">
        <v>134</v>
      </c>
      <c r="G274" s="152"/>
      <c r="H274" s="153">
        <f t="shared" ref="H274:H275" si="45">CONVERT(F274,"F","C")</f>
        <v>56.666666666666664</v>
      </c>
      <c r="I274" s="146"/>
      <c r="J274" s="146"/>
      <c r="K274" s="147"/>
      <c r="L274" s="147"/>
      <c r="M274" s="147"/>
      <c r="N274" s="147"/>
      <c r="O274" s="147"/>
      <c r="P274" s="147"/>
    </row>
    <row r="275" spans="1:16" ht="14.1" hidden="1" customHeight="1" x14ac:dyDescent="0.25">
      <c r="A275" s="368"/>
      <c r="B275" s="363"/>
      <c r="C275" s="363"/>
      <c r="D275" s="363"/>
      <c r="E275" s="145"/>
      <c r="F275" s="151">
        <v>5</v>
      </c>
      <c r="G275" s="152"/>
      <c r="H275" s="153">
        <f t="shared" si="45"/>
        <v>-15</v>
      </c>
      <c r="I275" s="146"/>
      <c r="J275" s="146"/>
      <c r="K275" s="147"/>
      <c r="L275" s="147"/>
      <c r="M275" s="147"/>
      <c r="N275" s="147"/>
      <c r="O275" s="147"/>
      <c r="P275" s="147"/>
    </row>
    <row r="276" spans="1:16" ht="14.1" hidden="1" customHeight="1" x14ac:dyDescent="0.25">
      <c r="A276" s="368"/>
      <c r="B276" s="363" t="s">
        <v>90</v>
      </c>
      <c r="C276" s="363"/>
      <c r="D276" s="363"/>
      <c r="E276" s="145"/>
      <c r="F276" s="151">
        <v>40</v>
      </c>
      <c r="G276" s="152"/>
      <c r="H276" s="154">
        <f>F276/1.8</f>
        <v>22.222222222222221</v>
      </c>
      <c r="I276" s="146"/>
      <c r="J276" s="146"/>
      <c r="K276" s="147"/>
      <c r="L276" s="147"/>
      <c r="M276" s="147"/>
      <c r="N276" s="147"/>
      <c r="O276" s="147"/>
      <c r="P276" s="147"/>
    </row>
    <row r="277" spans="1:16" ht="14.1" hidden="1" customHeight="1" x14ac:dyDescent="0.25">
      <c r="A277" s="368"/>
      <c r="B277" s="363" t="s">
        <v>91</v>
      </c>
      <c r="C277" s="363"/>
      <c r="D277" s="363"/>
      <c r="E277" s="145"/>
      <c r="F277" s="151">
        <v>35</v>
      </c>
      <c r="G277" s="152"/>
      <c r="H277" s="154">
        <f>F277/1.8</f>
        <v>19.444444444444443</v>
      </c>
      <c r="I277" s="146"/>
      <c r="J277" s="146"/>
      <c r="K277" s="147"/>
      <c r="L277" s="147"/>
      <c r="M277" s="147"/>
      <c r="N277" s="147"/>
      <c r="O277" s="147"/>
      <c r="P277" s="147"/>
    </row>
    <row r="278" spans="1:16" ht="14.1" hidden="1" customHeight="1" x14ac:dyDescent="0.25">
      <c r="A278" s="368"/>
      <c r="B278" s="363" t="s">
        <v>99</v>
      </c>
      <c r="C278" s="363"/>
      <c r="D278" s="363"/>
      <c r="E278" s="145"/>
      <c r="F278" s="155">
        <v>1710</v>
      </c>
      <c r="G278" s="156"/>
      <c r="H278" s="157">
        <f>F278*0.0689476</f>
        <v>117.900396</v>
      </c>
      <c r="I278" s="146"/>
      <c r="J278" s="146"/>
      <c r="K278" s="147"/>
      <c r="L278" s="147"/>
      <c r="M278" s="147"/>
      <c r="N278" s="147"/>
      <c r="O278" s="147"/>
      <c r="P278" s="147"/>
    </row>
    <row r="279" spans="1:16" ht="14.1" hidden="1" customHeight="1" x14ac:dyDescent="0.25">
      <c r="A279" s="368"/>
      <c r="B279" s="374" t="s">
        <v>73</v>
      </c>
      <c r="C279" s="363"/>
      <c r="D279" s="363"/>
      <c r="E279" s="363"/>
      <c r="F279" s="166">
        <v>50</v>
      </c>
      <c r="G279" s="153">
        <v>14</v>
      </c>
      <c r="H279" s="153">
        <f t="shared" ref="H279:H280" si="46">CONVERT(F279,"F","C")</f>
        <v>10</v>
      </c>
      <c r="I279" s="146"/>
      <c r="J279" s="146"/>
      <c r="K279" s="147"/>
      <c r="L279" s="147"/>
      <c r="M279" s="147"/>
      <c r="N279" s="147"/>
      <c r="O279" s="147"/>
      <c r="P279" s="147"/>
    </row>
    <row r="280" spans="1:16" hidden="1" x14ac:dyDescent="0.25">
      <c r="A280" s="368"/>
      <c r="B280" s="374" t="s">
        <v>74</v>
      </c>
      <c r="C280" s="363"/>
      <c r="D280" s="363"/>
      <c r="E280" s="363"/>
      <c r="F280" s="166">
        <v>140</v>
      </c>
      <c r="G280" s="153">
        <v>4.5</v>
      </c>
      <c r="H280" s="153">
        <f t="shared" si="46"/>
        <v>60</v>
      </c>
      <c r="I280" s="146"/>
      <c r="J280" s="146"/>
      <c r="K280" s="147"/>
      <c r="L280" s="147"/>
      <c r="M280" s="147"/>
      <c r="N280" s="147"/>
      <c r="O280" s="147"/>
      <c r="P280" s="147"/>
    </row>
    <row r="281" spans="1:16" hidden="1" x14ac:dyDescent="0.25">
      <c r="A281" s="368"/>
      <c r="B281" s="363" t="s">
        <v>100</v>
      </c>
      <c r="C281" s="363"/>
      <c r="D281" s="363"/>
      <c r="E281" s="145"/>
      <c r="F281" s="366">
        <v>11.24</v>
      </c>
      <c r="G281" s="366"/>
      <c r="H281" s="366"/>
      <c r="I281" s="146"/>
      <c r="J281" s="146"/>
      <c r="K281" s="147"/>
      <c r="L281" s="147"/>
      <c r="M281" s="147"/>
      <c r="N281" s="147"/>
      <c r="O281" s="147"/>
      <c r="P281" s="147"/>
    </row>
    <row r="282" spans="1:16" hidden="1" x14ac:dyDescent="0.25">
      <c r="A282" s="368"/>
      <c r="B282" s="363" t="s">
        <v>101</v>
      </c>
      <c r="C282" s="363"/>
      <c r="D282" s="363"/>
      <c r="E282" s="145"/>
      <c r="F282" s="371">
        <v>0.5</v>
      </c>
      <c r="G282" s="371"/>
      <c r="H282" s="371"/>
      <c r="I282" s="147"/>
      <c r="J282" s="147"/>
      <c r="K282" s="147"/>
      <c r="L282" s="147"/>
      <c r="M282" s="147"/>
      <c r="N282" s="147"/>
      <c r="O282" s="147"/>
      <c r="P282" s="147"/>
    </row>
    <row r="283" spans="1:16" hidden="1" x14ac:dyDescent="0.25">
      <c r="A283" s="121"/>
      <c r="B283" s="121"/>
      <c r="C283" s="121"/>
      <c r="D283" s="121"/>
      <c r="E283" s="121"/>
      <c r="F283" s="121"/>
      <c r="G283" s="121"/>
      <c r="H283" s="121"/>
      <c r="I283" s="121"/>
      <c r="J283" s="121"/>
      <c r="K283" s="121"/>
      <c r="L283" s="121"/>
      <c r="M283" s="121"/>
      <c r="N283" s="121"/>
      <c r="O283" s="121"/>
      <c r="P283" s="121"/>
    </row>
    <row r="284" spans="1:16" hidden="1" x14ac:dyDescent="0.25">
      <c r="A284" s="121"/>
      <c r="B284" s="121"/>
      <c r="C284" s="121"/>
      <c r="D284" s="121"/>
      <c r="E284" s="121"/>
      <c r="F284" s="121"/>
      <c r="G284" s="121"/>
      <c r="H284" s="121"/>
      <c r="I284" s="121"/>
      <c r="J284" s="121"/>
      <c r="K284" s="121"/>
      <c r="L284" s="121"/>
      <c r="M284" s="121"/>
      <c r="N284" s="121"/>
      <c r="O284" s="121"/>
      <c r="P284" s="121"/>
    </row>
    <row r="285" spans="1:16" hidden="1" x14ac:dyDescent="0.25">
      <c r="A285" s="121"/>
      <c r="B285" s="121"/>
      <c r="C285" s="121"/>
      <c r="D285" s="121"/>
      <c r="E285" s="121"/>
      <c r="F285" s="121"/>
      <c r="G285" s="121"/>
      <c r="H285" s="121"/>
      <c r="I285" s="121"/>
      <c r="J285" s="121"/>
      <c r="K285" s="121"/>
      <c r="L285" s="121"/>
      <c r="M285" s="121"/>
      <c r="N285" s="121"/>
      <c r="O285" s="121"/>
      <c r="P285" s="121"/>
    </row>
    <row r="286" spans="1:16" hidden="1" x14ac:dyDescent="0.25">
      <c r="A286" s="121"/>
      <c r="B286" s="121"/>
      <c r="C286" s="121"/>
      <c r="D286" s="121"/>
      <c r="E286" s="121"/>
      <c r="F286" s="121"/>
      <c r="G286" s="121"/>
      <c r="H286" s="121"/>
      <c r="I286" s="121"/>
      <c r="J286" s="121"/>
      <c r="K286" s="121"/>
      <c r="L286" s="121"/>
      <c r="M286" s="121"/>
      <c r="N286" s="121"/>
      <c r="O286" s="121"/>
      <c r="P286" s="121"/>
    </row>
    <row r="287" spans="1:16" hidden="1" x14ac:dyDescent="0.25">
      <c r="A287" s="121"/>
      <c r="B287" s="121"/>
      <c r="C287" s="121"/>
      <c r="D287" s="121"/>
      <c r="E287" s="121"/>
      <c r="F287" s="121"/>
      <c r="G287" s="121"/>
      <c r="H287" s="121"/>
      <c r="I287" s="121"/>
      <c r="J287" s="121"/>
      <c r="K287" s="121"/>
      <c r="L287" s="121"/>
      <c r="M287" s="121"/>
      <c r="N287" s="121"/>
      <c r="O287" s="121"/>
      <c r="P287" s="121"/>
    </row>
    <row r="288" spans="1:16" hidden="1" x14ac:dyDescent="0.25">
      <c r="A288" s="121"/>
      <c r="B288" s="121"/>
      <c r="C288" s="121"/>
      <c r="D288" s="121"/>
      <c r="E288" s="121"/>
      <c r="F288" s="121"/>
      <c r="G288" s="121"/>
      <c r="H288" s="121"/>
      <c r="I288" s="121"/>
      <c r="J288" s="121"/>
      <c r="K288" s="121"/>
      <c r="L288" s="121"/>
      <c r="M288" s="121"/>
      <c r="N288" s="121"/>
      <c r="O288" s="121"/>
      <c r="P288" s="121"/>
    </row>
    <row r="289" spans="1:16" hidden="1" x14ac:dyDescent="0.25">
      <c r="A289" s="121"/>
      <c r="B289" s="121"/>
      <c r="C289" s="121"/>
      <c r="D289" s="121"/>
      <c r="E289" s="121"/>
      <c r="F289" s="121"/>
      <c r="G289" s="121"/>
      <c r="H289" s="121"/>
      <c r="I289" s="121"/>
      <c r="J289" s="121"/>
      <c r="K289" s="121"/>
      <c r="L289" s="121"/>
      <c r="M289" s="121"/>
      <c r="N289" s="121"/>
      <c r="O289" s="121"/>
      <c r="P289" s="121"/>
    </row>
    <row r="290" spans="1:16" hidden="1" x14ac:dyDescent="0.25">
      <c r="A290" s="121"/>
      <c r="B290" s="121"/>
      <c r="C290" s="121"/>
      <c r="D290" s="121"/>
      <c r="E290" s="121"/>
      <c r="F290" s="121"/>
      <c r="G290" s="121"/>
      <c r="H290" s="121"/>
      <c r="I290" s="121"/>
      <c r="J290" s="121"/>
      <c r="K290" s="121"/>
      <c r="L290" s="121"/>
      <c r="M290" s="121"/>
      <c r="N290" s="121"/>
      <c r="O290" s="121"/>
      <c r="P290" s="121"/>
    </row>
    <row r="291" spans="1:16" hidden="1" x14ac:dyDescent="0.25">
      <c r="A291" s="121"/>
      <c r="B291" s="121"/>
      <c r="C291" s="121"/>
      <c r="D291" s="121"/>
      <c r="E291" s="121"/>
      <c r="F291" s="121"/>
      <c r="G291" s="121"/>
      <c r="H291" s="121"/>
      <c r="I291" s="121"/>
      <c r="J291" s="121"/>
      <c r="K291" s="121"/>
      <c r="L291" s="121"/>
      <c r="M291" s="121"/>
      <c r="N291" s="121"/>
      <c r="O291" s="121"/>
      <c r="P291" s="121"/>
    </row>
    <row r="292" spans="1:16" hidden="1" x14ac:dyDescent="0.25">
      <c r="A292" s="121"/>
      <c r="B292" s="121"/>
      <c r="C292" s="121"/>
      <c r="D292" s="121"/>
      <c r="E292" s="121"/>
      <c r="F292" s="121"/>
      <c r="G292" s="121"/>
      <c r="H292" s="121"/>
      <c r="I292" s="121"/>
      <c r="J292" s="121"/>
      <c r="K292" s="121"/>
      <c r="L292" s="121"/>
      <c r="M292" s="121"/>
      <c r="N292" s="121"/>
      <c r="O292" s="121"/>
      <c r="P292" s="121"/>
    </row>
    <row r="293" spans="1:16" hidden="1" x14ac:dyDescent="0.25">
      <c r="A293" s="121"/>
      <c r="B293" s="121"/>
      <c r="C293" s="121"/>
      <c r="D293" s="121"/>
      <c r="E293" s="121"/>
      <c r="F293" s="121"/>
      <c r="G293" s="121"/>
      <c r="H293" s="121"/>
      <c r="I293" s="121"/>
      <c r="J293" s="121"/>
      <c r="K293" s="121"/>
      <c r="L293" s="121"/>
      <c r="M293" s="121"/>
      <c r="N293" s="121"/>
      <c r="O293" s="121"/>
      <c r="P293" s="121"/>
    </row>
    <row r="294" spans="1:16" hidden="1" x14ac:dyDescent="0.25">
      <c r="A294" s="121"/>
      <c r="B294" s="121"/>
      <c r="C294" s="121"/>
      <c r="D294" s="121"/>
      <c r="E294" s="121"/>
      <c r="F294" s="121"/>
      <c r="G294" s="121"/>
      <c r="H294" s="121"/>
      <c r="I294" s="121"/>
      <c r="J294" s="121"/>
      <c r="K294" s="121"/>
      <c r="L294" s="121"/>
      <c r="M294" s="121"/>
      <c r="N294" s="121"/>
      <c r="O294" s="121"/>
      <c r="P294" s="121"/>
    </row>
    <row r="295" spans="1:16" hidden="1" x14ac:dyDescent="0.25">
      <c r="A295" s="121"/>
      <c r="B295" s="121"/>
      <c r="C295" s="121"/>
      <c r="D295" s="121"/>
      <c r="E295" s="121"/>
      <c r="F295" s="121"/>
      <c r="G295" s="121"/>
      <c r="H295" s="121"/>
      <c r="I295" s="121"/>
      <c r="J295" s="121"/>
      <c r="K295" s="121"/>
      <c r="L295" s="121"/>
      <c r="M295" s="121"/>
      <c r="N295" s="121"/>
      <c r="O295" s="121"/>
      <c r="P295" s="121"/>
    </row>
    <row r="296" spans="1:16" hidden="1" x14ac:dyDescent="0.25">
      <c r="A296" s="121"/>
      <c r="B296" s="121"/>
      <c r="C296" s="121"/>
      <c r="D296" s="121"/>
      <c r="E296" s="121"/>
      <c r="F296" s="121"/>
      <c r="G296" s="121"/>
      <c r="H296" s="121"/>
      <c r="I296" s="121"/>
      <c r="J296" s="121"/>
      <c r="K296" s="121"/>
      <c r="L296" s="121"/>
      <c r="M296" s="121"/>
      <c r="N296" s="121"/>
      <c r="O296" s="121"/>
      <c r="P296" s="121"/>
    </row>
    <row r="297" spans="1:16" hidden="1" x14ac:dyDescent="0.25">
      <c r="A297" s="121"/>
      <c r="B297" s="121"/>
      <c r="C297" s="121"/>
      <c r="D297" s="121"/>
      <c r="E297" s="121"/>
      <c r="F297" s="121"/>
      <c r="G297" s="121"/>
      <c r="H297" s="121"/>
      <c r="I297" s="121"/>
      <c r="J297" s="121"/>
      <c r="K297" s="121"/>
      <c r="L297" s="121"/>
      <c r="M297" s="121"/>
      <c r="N297" s="121"/>
      <c r="O297" s="121"/>
      <c r="P297" s="121"/>
    </row>
    <row r="298" spans="1:16" hidden="1" x14ac:dyDescent="0.25">
      <c r="A298" s="121"/>
      <c r="B298" s="121"/>
      <c r="C298" s="121"/>
      <c r="D298" s="121"/>
      <c r="E298" s="121"/>
      <c r="F298" s="121"/>
      <c r="G298" s="121"/>
      <c r="H298" s="121"/>
      <c r="I298" s="121"/>
      <c r="J298" s="121"/>
      <c r="K298" s="121"/>
      <c r="L298" s="121"/>
      <c r="M298" s="121"/>
      <c r="N298" s="121"/>
      <c r="O298" s="121"/>
      <c r="P298" s="121"/>
    </row>
    <row r="299" spans="1:16" hidden="1" x14ac:dyDescent="0.25">
      <c r="A299" s="121"/>
      <c r="B299" s="121"/>
      <c r="C299" s="121"/>
      <c r="D299" s="121"/>
      <c r="E299" s="121"/>
      <c r="F299" s="121"/>
      <c r="G299" s="121"/>
      <c r="H299" s="121"/>
      <c r="I299" s="121"/>
      <c r="J299" s="121"/>
      <c r="K299" s="121"/>
      <c r="L299" s="121"/>
      <c r="M299" s="121"/>
      <c r="N299" s="121"/>
      <c r="O299" s="121"/>
      <c r="P299" s="121"/>
    </row>
    <row r="300" spans="1:16" hidden="1" x14ac:dyDescent="0.25">
      <c r="A300" s="121"/>
      <c r="B300" s="121"/>
      <c r="C300" s="121"/>
      <c r="D300" s="121"/>
      <c r="E300" s="121"/>
      <c r="F300" s="121"/>
      <c r="G300" s="121"/>
      <c r="H300" s="121"/>
      <c r="I300" s="121"/>
      <c r="J300" s="121"/>
      <c r="K300" s="121"/>
      <c r="L300" s="121"/>
      <c r="M300" s="121"/>
      <c r="N300" s="121"/>
      <c r="O300" s="121"/>
      <c r="P300" s="121"/>
    </row>
    <row r="301" spans="1:16" hidden="1" x14ac:dyDescent="0.25">
      <c r="A301" s="121"/>
      <c r="B301" s="121"/>
      <c r="C301" s="121"/>
      <c r="D301" s="121"/>
      <c r="E301" s="121"/>
      <c r="F301" s="121"/>
      <c r="G301" s="121"/>
      <c r="H301" s="121"/>
      <c r="I301" s="121"/>
      <c r="J301" s="121"/>
      <c r="K301" s="121"/>
      <c r="L301" s="121"/>
      <c r="M301" s="121"/>
      <c r="N301" s="121"/>
      <c r="O301" s="121"/>
      <c r="P301" s="121"/>
    </row>
    <row r="302" spans="1:16" hidden="1" x14ac:dyDescent="0.25">
      <c r="A302" s="121"/>
      <c r="B302" s="121"/>
      <c r="C302" s="121"/>
      <c r="D302" s="121"/>
      <c r="E302" s="121"/>
      <c r="F302" s="121"/>
      <c r="G302" s="121"/>
      <c r="H302" s="121"/>
      <c r="I302" s="121"/>
      <c r="J302" s="121"/>
      <c r="K302" s="121"/>
      <c r="L302" s="121"/>
      <c r="M302" s="121"/>
      <c r="N302" s="121"/>
      <c r="O302" s="121"/>
      <c r="P302" s="121"/>
    </row>
    <row r="303" spans="1:16" hidden="1" x14ac:dyDescent="0.25">
      <c r="A303" s="121"/>
      <c r="B303" s="121"/>
      <c r="C303" s="121"/>
      <c r="D303" s="121"/>
      <c r="E303" s="121"/>
      <c r="F303" s="121"/>
      <c r="G303" s="121"/>
      <c r="H303" s="121"/>
      <c r="I303" s="121"/>
      <c r="J303" s="121"/>
      <c r="K303" s="121"/>
      <c r="L303" s="121"/>
      <c r="M303" s="121"/>
      <c r="N303" s="121"/>
      <c r="O303" s="121"/>
      <c r="P303" s="121"/>
    </row>
    <row r="304" spans="1:16" hidden="1" x14ac:dyDescent="0.25">
      <c r="A304" s="121"/>
      <c r="B304" s="121"/>
      <c r="C304" s="121"/>
      <c r="D304" s="121"/>
      <c r="E304" s="121"/>
      <c r="F304" s="121"/>
      <c r="G304" s="121"/>
      <c r="H304" s="121"/>
      <c r="I304" s="121"/>
      <c r="J304" s="121"/>
      <c r="K304" s="121"/>
      <c r="L304" s="121"/>
      <c r="M304" s="121"/>
      <c r="N304" s="121"/>
      <c r="O304" s="121"/>
      <c r="P304" s="121"/>
    </row>
    <row r="305" spans="1:22" x14ac:dyDescent="0.25">
      <c r="A305" s="373"/>
      <c r="B305" s="373"/>
      <c r="C305" s="373"/>
      <c r="D305" s="373"/>
      <c r="E305" s="373"/>
      <c r="F305" s="373"/>
      <c r="G305" s="373"/>
      <c r="H305" s="373"/>
      <c r="I305" s="373"/>
      <c r="J305" s="373"/>
      <c r="K305" s="373"/>
      <c r="L305" s="373"/>
      <c r="M305" s="373"/>
      <c r="N305" s="373"/>
      <c r="O305" s="373"/>
      <c r="P305" s="373"/>
      <c r="S305" s="122">
        <f>2*(S94+S95*3.413)</f>
        <v>2402.5637999999999</v>
      </c>
      <c r="U305" s="122">
        <f>2*(U94+U95*3.413)</f>
        <v>1852.3248000000001</v>
      </c>
      <c r="V305" s="122">
        <f>2*(V94+V95*3.413)</f>
        <v>1298.799</v>
      </c>
    </row>
    <row r="306" spans="1:22" x14ac:dyDescent="0.25">
      <c r="A306" s="346" t="s">
        <v>81</v>
      </c>
      <c r="B306" s="346"/>
      <c r="C306" s="346"/>
      <c r="D306" s="346"/>
      <c r="E306" s="346"/>
      <c r="F306" s="346"/>
      <c r="G306" s="346"/>
      <c r="H306" s="346"/>
      <c r="I306" s="346"/>
      <c r="J306" s="346"/>
      <c r="K306" s="346"/>
      <c r="L306" s="346"/>
      <c r="M306" s="346"/>
      <c r="N306" s="346"/>
      <c r="O306" s="346"/>
      <c r="P306" s="346"/>
    </row>
  </sheetData>
  <mergeCells count="405">
    <mergeCell ref="A46:D46"/>
    <mergeCell ref="A56:D56"/>
    <mergeCell ref="F56:H56"/>
    <mergeCell ref="A37:D37"/>
    <mergeCell ref="A38:D38"/>
    <mergeCell ref="A39:D39"/>
    <mergeCell ref="A40:D40"/>
    <mergeCell ref="A41:D41"/>
    <mergeCell ref="A42:D42"/>
    <mergeCell ref="A43:D43"/>
    <mergeCell ref="A44:D44"/>
    <mergeCell ref="A45:D45"/>
    <mergeCell ref="I31:K31"/>
    <mergeCell ref="M31:N31"/>
    <mergeCell ref="M30:N30"/>
    <mergeCell ref="A32:E32"/>
    <mergeCell ref="F32:H32"/>
    <mergeCell ref="I32:K32"/>
    <mergeCell ref="M32:N32"/>
    <mergeCell ref="O4:P4"/>
    <mergeCell ref="D4:M4"/>
    <mergeCell ref="D6:G6"/>
    <mergeCell ref="H6:I6"/>
    <mergeCell ref="J6:M6"/>
    <mergeCell ref="D10:G10"/>
    <mergeCell ref="H10:I10"/>
    <mergeCell ref="J10:M10"/>
    <mergeCell ref="I30:J30"/>
    <mergeCell ref="A28:E28"/>
    <mergeCell ref="I28:K28"/>
    <mergeCell ref="M28:N28"/>
    <mergeCell ref="I16:J16"/>
    <mergeCell ref="O16:P16"/>
    <mergeCell ref="A30:E30"/>
    <mergeCell ref="L16:M16"/>
    <mergeCell ref="F30:H30"/>
    <mergeCell ref="A14:P14"/>
    <mergeCell ref="A16:E16"/>
    <mergeCell ref="A26:E26"/>
    <mergeCell ref="F26:H26"/>
    <mergeCell ref="I20:K20"/>
    <mergeCell ref="I22:K22"/>
    <mergeCell ref="I24:K24"/>
    <mergeCell ref="L20:M20"/>
    <mergeCell ref="L22:M22"/>
    <mergeCell ref="L24:M24"/>
    <mergeCell ref="I26:K26"/>
    <mergeCell ref="O18:P18"/>
    <mergeCell ref="A22:E22"/>
    <mergeCell ref="F22:H22"/>
    <mergeCell ref="A24:E24"/>
    <mergeCell ref="F24:H24"/>
    <mergeCell ref="A18:E18"/>
    <mergeCell ref="F18:H18"/>
    <mergeCell ref="A20:E20"/>
    <mergeCell ref="F20:H20"/>
    <mergeCell ref="A305:P305"/>
    <mergeCell ref="A306:P306"/>
    <mergeCell ref="B275:D275"/>
    <mergeCell ref="B276:D276"/>
    <mergeCell ref="B277:D277"/>
    <mergeCell ref="B278:D278"/>
    <mergeCell ref="B279:E279"/>
    <mergeCell ref="B280:E280"/>
    <mergeCell ref="B271:D271"/>
    <mergeCell ref="F271:H271"/>
    <mergeCell ref="B272:D272"/>
    <mergeCell ref="F272:H272"/>
    <mergeCell ref="B273:D273"/>
    <mergeCell ref="B274:D274"/>
    <mergeCell ref="B264:D264"/>
    <mergeCell ref="F264:H264"/>
    <mergeCell ref="A266:A282"/>
    <mergeCell ref="B266:D266"/>
    <mergeCell ref="B267:D267"/>
    <mergeCell ref="B268:D268"/>
    <mergeCell ref="F268:H268"/>
    <mergeCell ref="B269:D269"/>
    <mergeCell ref="B270:D270"/>
    <mergeCell ref="F270:H270"/>
    <mergeCell ref="A247:A264"/>
    <mergeCell ref="B281:D281"/>
    <mergeCell ref="F281:H281"/>
    <mergeCell ref="B282:D282"/>
    <mergeCell ref="F282:H282"/>
    <mergeCell ref="B259:D259"/>
    <mergeCell ref="B260:D260"/>
    <mergeCell ref="B261:E261"/>
    <mergeCell ref="B262:E262"/>
    <mergeCell ref="B263:D263"/>
    <mergeCell ref="F263:H263"/>
    <mergeCell ref="B254:D254"/>
    <mergeCell ref="F254:H254"/>
    <mergeCell ref="B255:D255"/>
    <mergeCell ref="B256:D256"/>
    <mergeCell ref="B257:D257"/>
    <mergeCell ref="B258:D258"/>
    <mergeCell ref="B253:D253"/>
    <mergeCell ref="F253:H253"/>
    <mergeCell ref="B245:D245"/>
    <mergeCell ref="F245:H245"/>
    <mergeCell ref="B246:D246"/>
    <mergeCell ref="F246:H246"/>
    <mergeCell ref="B247:D247"/>
    <mergeCell ref="B248:D248"/>
    <mergeCell ref="B249:D249"/>
    <mergeCell ref="F249:H249"/>
    <mergeCell ref="B250:D250"/>
    <mergeCell ref="B234:D234"/>
    <mergeCell ref="F234:H234"/>
    <mergeCell ref="B235:D235"/>
    <mergeCell ref="F235:H235"/>
    <mergeCell ref="B236:D236"/>
    <mergeCell ref="F236:H236"/>
    <mergeCell ref="F250:H250"/>
    <mergeCell ref="B251:D251"/>
    <mergeCell ref="B252:D252"/>
    <mergeCell ref="F252:H252"/>
    <mergeCell ref="B229:D229"/>
    <mergeCell ref="F229:H229"/>
    <mergeCell ref="A230:A246"/>
    <mergeCell ref="B230:D230"/>
    <mergeCell ref="B231:D231"/>
    <mergeCell ref="B232:D232"/>
    <mergeCell ref="F232:H232"/>
    <mergeCell ref="B233:D233"/>
    <mergeCell ref="A212:A229"/>
    <mergeCell ref="B212:D212"/>
    <mergeCell ref="B213:D213"/>
    <mergeCell ref="B214:D214"/>
    <mergeCell ref="F214:H214"/>
    <mergeCell ref="B215:D215"/>
    <mergeCell ref="F215:H215"/>
    <mergeCell ref="B216:D216"/>
    <mergeCell ref="B217:D217"/>
    <mergeCell ref="F217:H217"/>
    <mergeCell ref="B237:D237"/>
    <mergeCell ref="B238:D238"/>
    <mergeCell ref="B239:D239"/>
    <mergeCell ref="B240:D240"/>
    <mergeCell ref="B241:D241"/>
    <mergeCell ref="B242:D242"/>
    <mergeCell ref="B227:D227"/>
    <mergeCell ref="B218:D218"/>
    <mergeCell ref="F218:H218"/>
    <mergeCell ref="B219:D219"/>
    <mergeCell ref="F219:H219"/>
    <mergeCell ref="B220:D220"/>
    <mergeCell ref="B221:D221"/>
    <mergeCell ref="B228:D228"/>
    <mergeCell ref="F228:H228"/>
    <mergeCell ref="B203:D203"/>
    <mergeCell ref="B204:D204"/>
    <mergeCell ref="B205:D205"/>
    <mergeCell ref="B206:D206"/>
    <mergeCell ref="B222:D222"/>
    <mergeCell ref="B223:D223"/>
    <mergeCell ref="B224:D224"/>
    <mergeCell ref="B225:D225"/>
    <mergeCell ref="B226:D226"/>
    <mergeCell ref="B198:D198"/>
    <mergeCell ref="F198:H198"/>
    <mergeCell ref="B199:D199"/>
    <mergeCell ref="F199:H199"/>
    <mergeCell ref="B200:D200"/>
    <mergeCell ref="F200:H200"/>
    <mergeCell ref="B173:D173"/>
    <mergeCell ref="F173:H173"/>
    <mergeCell ref="A193:A210"/>
    <mergeCell ref="B193:D193"/>
    <mergeCell ref="B194:D194"/>
    <mergeCell ref="B195:D195"/>
    <mergeCell ref="F195:H195"/>
    <mergeCell ref="B196:D196"/>
    <mergeCell ref="F196:H196"/>
    <mergeCell ref="B197:D197"/>
    <mergeCell ref="B207:E207"/>
    <mergeCell ref="B208:E208"/>
    <mergeCell ref="B209:D209"/>
    <mergeCell ref="F209:H209"/>
    <mergeCell ref="B210:D210"/>
    <mergeCell ref="F210:H210"/>
    <mergeCell ref="B201:D201"/>
    <mergeCell ref="B202:D202"/>
    <mergeCell ref="B171:D171"/>
    <mergeCell ref="B172:D172"/>
    <mergeCell ref="F172:H172"/>
    <mergeCell ref="B164:D164"/>
    <mergeCell ref="B165:D165"/>
    <mergeCell ref="B166:D166"/>
    <mergeCell ref="B167:D167"/>
    <mergeCell ref="B168:D168"/>
    <mergeCell ref="F168:H168"/>
    <mergeCell ref="F156:H156"/>
    <mergeCell ref="B157:D157"/>
    <mergeCell ref="F157:H157"/>
    <mergeCell ref="B158:D158"/>
    <mergeCell ref="B159:D159"/>
    <mergeCell ref="F159:H159"/>
    <mergeCell ref="B169:D169"/>
    <mergeCell ref="F169:H169"/>
    <mergeCell ref="B170:D170"/>
    <mergeCell ref="B149:D149"/>
    <mergeCell ref="F149:H149"/>
    <mergeCell ref="K149:M149"/>
    <mergeCell ref="A151:P151"/>
    <mergeCell ref="A152:A173"/>
    <mergeCell ref="B152:D152"/>
    <mergeCell ref="B153:D153"/>
    <mergeCell ref="B154:D154"/>
    <mergeCell ref="B155:D155"/>
    <mergeCell ref="B156:D156"/>
    <mergeCell ref="A128:A149"/>
    <mergeCell ref="B128:D128"/>
    <mergeCell ref="B129:D129"/>
    <mergeCell ref="B130:D130"/>
    <mergeCell ref="B131:D131"/>
    <mergeCell ref="B138:D138"/>
    <mergeCell ref="B139:D139"/>
    <mergeCell ref="B140:D140"/>
    <mergeCell ref="B160:D160"/>
    <mergeCell ref="F160:H160"/>
    <mergeCell ref="B161:D161"/>
    <mergeCell ref="F161:H161"/>
    <mergeCell ref="B162:D162"/>
    <mergeCell ref="B163:D163"/>
    <mergeCell ref="B145:D145"/>
    <mergeCell ref="F145:H145"/>
    <mergeCell ref="K145:M145"/>
    <mergeCell ref="B146:D146"/>
    <mergeCell ref="B147:D147"/>
    <mergeCell ref="B148:D148"/>
    <mergeCell ref="F148:H148"/>
    <mergeCell ref="K148:M148"/>
    <mergeCell ref="B141:D141"/>
    <mergeCell ref="B142:D142"/>
    <mergeCell ref="B143:D143"/>
    <mergeCell ref="B144:D144"/>
    <mergeCell ref="F144:H144"/>
    <mergeCell ref="K144:M144"/>
    <mergeCell ref="B137:D137"/>
    <mergeCell ref="F137:H137"/>
    <mergeCell ref="K137:M137"/>
    <mergeCell ref="F132:H132"/>
    <mergeCell ref="K132:M132"/>
    <mergeCell ref="B133:D133"/>
    <mergeCell ref="F133:H133"/>
    <mergeCell ref="K133:M133"/>
    <mergeCell ref="B134:D134"/>
    <mergeCell ref="B132:D132"/>
    <mergeCell ref="B135:D135"/>
    <mergeCell ref="F135:H135"/>
    <mergeCell ref="K135:M135"/>
    <mergeCell ref="B136:D136"/>
    <mergeCell ref="F136:H136"/>
    <mergeCell ref="K136:M136"/>
    <mergeCell ref="B124:D124"/>
    <mergeCell ref="F124:H124"/>
    <mergeCell ref="A126:P126"/>
    <mergeCell ref="F127:H127"/>
    <mergeCell ref="K127:M127"/>
    <mergeCell ref="B119:D119"/>
    <mergeCell ref="F119:H119"/>
    <mergeCell ref="B120:D120"/>
    <mergeCell ref="F120:H120"/>
    <mergeCell ref="B121:D121"/>
    <mergeCell ref="B122:D122"/>
    <mergeCell ref="A103:A124"/>
    <mergeCell ref="B103:D103"/>
    <mergeCell ref="B104:D104"/>
    <mergeCell ref="B105:D105"/>
    <mergeCell ref="B106:D106"/>
    <mergeCell ref="B107:D107"/>
    <mergeCell ref="F107:H107"/>
    <mergeCell ref="B108:D108"/>
    <mergeCell ref="B123:D123"/>
    <mergeCell ref="F123:H123"/>
    <mergeCell ref="B117:D117"/>
    <mergeCell ref="B118:D118"/>
    <mergeCell ref="B109:D109"/>
    <mergeCell ref="B110:D110"/>
    <mergeCell ref="F108:H108"/>
    <mergeCell ref="B113:D113"/>
    <mergeCell ref="B114:D114"/>
    <mergeCell ref="B115:D115"/>
    <mergeCell ref="B116:D116"/>
    <mergeCell ref="F110:H110"/>
    <mergeCell ref="B111:D111"/>
    <mergeCell ref="F111:H111"/>
    <mergeCell ref="B112:D112"/>
    <mergeCell ref="F112:H112"/>
    <mergeCell ref="F100:H100"/>
    <mergeCell ref="N95:P95"/>
    <mergeCell ref="B96:D96"/>
    <mergeCell ref="F96:H96"/>
    <mergeCell ref="J96:L96"/>
    <mergeCell ref="N96:P96"/>
    <mergeCell ref="A102:P102"/>
    <mergeCell ref="F95:H95"/>
    <mergeCell ref="J95:L95"/>
    <mergeCell ref="A79:A100"/>
    <mergeCell ref="B79:D79"/>
    <mergeCell ref="B80:D80"/>
    <mergeCell ref="B81:D81"/>
    <mergeCell ref="B82:D82"/>
    <mergeCell ref="B85:D85"/>
    <mergeCell ref="B100:D100"/>
    <mergeCell ref="F88:H88"/>
    <mergeCell ref="J88:L88"/>
    <mergeCell ref="N88:P88"/>
    <mergeCell ref="B97:D97"/>
    <mergeCell ref="B98:D98"/>
    <mergeCell ref="B99:D99"/>
    <mergeCell ref="F99:H99"/>
    <mergeCell ref="B89:D89"/>
    <mergeCell ref="B90:D90"/>
    <mergeCell ref="B88:D88"/>
    <mergeCell ref="B91:D91"/>
    <mergeCell ref="B92:D92"/>
    <mergeCell ref="B93:D93"/>
    <mergeCell ref="B94:D94"/>
    <mergeCell ref="B95:D95"/>
    <mergeCell ref="F86:H86"/>
    <mergeCell ref="J86:L86"/>
    <mergeCell ref="N86:P86"/>
    <mergeCell ref="B87:D87"/>
    <mergeCell ref="F87:H87"/>
    <mergeCell ref="J87:L87"/>
    <mergeCell ref="N87:P87"/>
    <mergeCell ref="B86:D86"/>
    <mergeCell ref="F83:H83"/>
    <mergeCell ref="J83:L83"/>
    <mergeCell ref="N83:P83"/>
    <mergeCell ref="B84:D84"/>
    <mergeCell ref="F84:H84"/>
    <mergeCell ref="J84:L84"/>
    <mergeCell ref="N84:P84"/>
    <mergeCell ref="B83:D83"/>
    <mergeCell ref="A76:P76"/>
    <mergeCell ref="A77:P77"/>
    <mergeCell ref="F78:H78"/>
    <mergeCell ref="J78:L78"/>
    <mergeCell ref="N78:P78"/>
    <mergeCell ref="B74:D74"/>
    <mergeCell ref="F74:H74"/>
    <mergeCell ref="J74:L74"/>
    <mergeCell ref="N74:P74"/>
    <mergeCell ref="B71:D71"/>
    <mergeCell ref="B72:D72"/>
    <mergeCell ref="B73:D73"/>
    <mergeCell ref="F73:H73"/>
    <mergeCell ref="J73:L73"/>
    <mergeCell ref="N73:P73"/>
    <mergeCell ref="B70:D70"/>
    <mergeCell ref="F70:H70"/>
    <mergeCell ref="J70:L70"/>
    <mergeCell ref="N70:P70"/>
    <mergeCell ref="B67:D67"/>
    <mergeCell ref="A36:P36"/>
    <mergeCell ref="F55:H55"/>
    <mergeCell ref="J55:L55"/>
    <mergeCell ref="N55:P55"/>
    <mergeCell ref="A57:A74"/>
    <mergeCell ref="B57:D57"/>
    <mergeCell ref="B58:D58"/>
    <mergeCell ref="B59:D59"/>
    <mergeCell ref="B60:D60"/>
    <mergeCell ref="B61:D61"/>
    <mergeCell ref="F61:H61"/>
    <mergeCell ref="J61:L61"/>
    <mergeCell ref="N61:P61"/>
    <mergeCell ref="B62:D62"/>
    <mergeCell ref="B68:D68"/>
    <mergeCell ref="B69:D69"/>
    <mergeCell ref="F69:H69"/>
    <mergeCell ref="J69:L69"/>
    <mergeCell ref="N69:P69"/>
    <mergeCell ref="B65:D65"/>
    <mergeCell ref="F65:H65"/>
    <mergeCell ref="F62:H62"/>
    <mergeCell ref="J62:L62"/>
    <mergeCell ref="T22:V22"/>
    <mergeCell ref="D8:I8"/>
    <mergeCell ref="M8:N8"/>
    <mergeCell ref="O8:P8"/>
    <mergeCell ref="B1:P1"/>
    <mergeCell ref="A2:P2"/>
    <mergeCell ref="K8:L8"/>
    <mergeCell ref="N62:P62"/>
    <mergeCell ref="B66:D66"/>
    <mergeCell ref="F66:H66"/>
    <mergeCell ref="J66:L66"/>
    <mergeCell ref="F28:H28"/>
    <mergeCell ref="B63:D63"/>
    <mergeCell ref="B64:D64"/>
    <mergeCell ref="F64:H64"/>
    <mergeCell ref="J64:L64"/>
    <mergeCell ref="N64:P64"/>
    <mergeCell ref="J65:L65"/>
    <mergeCell ref="N65:P65"/>
    <mergeCell ref="N66:P66"/>
    <mergeCell ref="A10:B10"/>
    <mergeCell ref="A12:B12"/>
    <mergeCell ref="F16:H16"/>
    <mergeCell ref="I18:J18"/>
  </mergeCells>
  <conditionalFormatting sqref="N18">
    <cfRule type="expression" dxfId="31" priority="15">
      <formula>$L$18="Water"</formula>
    </cfRule>
  </conditionalFormatting>
  <conditionalFormatting sqref="O18:P18">
    <cfRule type="expression" dxfId="30" priority="13">
      <formula>$L$18="Water"</formula>
    </cfRule>
  </conditionalFormatting>
  <conditionalFormatting sqref="N20">
    <cfRule type="expression" dxfId="29" priority="12">
      <formula>$L$18="Water"</formula>
    </cfRule>
  </conditionalFormatting>
  <conditionalFormatting sqref="N22">
    <cfRule type="expression" dxfId="28" priority="11">
      <formula>$L$18="Water"</formula>
    </cfRule>
  </conditionalFormatting>
  <conditionalFormatting sqref="N24">
    <cfRule type="expression" dxfId="27" priority="10">
      <formula>$L$18="Water"</formula>
    </cfRule>
  </conditionalFormatting>
  <conditionalFormatting sqref="N26">
    <cfRule type="expression" dxfId="26" priority="9">
      <formula>$L$18="Water"</formula>
    </cfRule>
  </conditionalFormatting>
  <conditionalFormatting sqref="M28">
    <cfRule type="expression" dxfId="25" priority="8">
      <formula>$L$18="Water"</formula>
    </cfRule>
  </conditionalFormatting>
  <conditionalFormatting sqref="N16">
    <cfRule type="expression" dxfId="24" priority="7">
      <formula>$L$18="Water"</formula>
    </cfRule>
  </conditionalFormatting>
  <conditionalFormatting sqref="O16:P16">
    <cfRule type="expression" dxfId="23" priority="6">
      <formula>$L$18="Water"</formula>
    </cfRule>
  </conditionalFormatting>
  <conditionalFormatting sqref="L16:M16">
    <cfRule type="expression" dxfId="22" priority="5">
      <formula>$L$18="Water"</formula>
    </cfRule>
  </conditionalFormatting>
  <conditionalFormatting sqref="M31">
    <cfRule type="expression" dxfId="21" priority="4">
      <formula>$L$18="Water"</formula>
    </cfRule>
  </conditionalFormatting>
  <conditionalFormatting sqref="M30">
    <cfRule type="expression" dxfId="20" priority="3">
      <formula>$L$18="Water"</formula>
    </cfRule>
  </conditionalFormatting>
  <conditionalFormatting sqref="M32">
    <cfRule type="expression" dxfId="19" priority="2">
      <formula>$L$18="Water"</formula>
    </cfRule>
  </conditionalFormatting>
  <conditionalFormatting sqref="I30">
    <cfRule type="expression" dxfId="18" priority="1">
      <formula>$L$18="Water"</formula>
    </cfRule>
  </conditionalFormatting>
  <dataValidations count="4">
    <dataValidation type="list" allowBlank="1" showInputMessage="1" showErrorMessage="1" sqref="F16:H16" xr:uid="{1F2D9395-FBDE-4CED-A49B-2EE85C0A0A41}">
      <formula1>Application</formula1>
    </dataValidation>
    <dataValidation type="list" allowBlank="1" showInputMessage="1" showErrorMessage="1" sqref="L18" xr:uid="{ABA935F0-2C95-4310-A3BD-AE94A3B470EE}">
      <formula1>Coolant</formula1>
    </dataValidation>
    <dataValidation type="list" allowBlank="1" showInputMessage="1" showErrorMessage="1" sqref="F18:H18" xr:uid="{538E3553-02DD-463D-9269-28DB3293C5AF}">
      <formula1>Power</formula1>
    </dataValidation>
    <dataValidation type="list" allowBlank="1" showInputMessage="1" showErrorMessage="1" sqref="K8:L8" xr:uid="{19E64429-9431-4726-985C-F8BCAD0EFE91}">
      <formula1>Country</formula1>
    </dataValidation>
  </dataValidations>
  <hyperlinks>
    <hyperlink ref="A306" r:id="rId1" xr:uid="{42568A28-14CB-4A7D-964F-827690697BA2}"/>
    <hyperlink ref="A76" r:id="rId2" xr:uid="{EDF1214F-B4D2-4F08-AA71-54C7CD6DBD00}"/>
  </hyperlinks>
  <pageMargins left="0.23622047244094491" right="0.23622047244094491" top="0.35433070866141736" bottom="0.35433070866141736" header="0.31496062992125984" footer="0.31496062992125984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A3500A-8BAD-4056-A54D-F7A735185C1D}">
          <x14:formula1>
            <xm:f>Tables!$A$99:$A$115</xm:f>
          </x14:formula1>
          <xm:sqref>O16:P16 L16:M16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84FEF-82F8-42DF-A146-B906FB0A0921}">
  <sheetPr codeName="Sheet5"/>
  <dimension ref="A1:Z34"/>
  <sheetViews>
    <sheetView topLeftCell="B1" workbookViewId="0">
      <selection activeCell="Y18" sqref="Y18"/>
    </sheetView>
  </sheetViews>
  <sheetFormatPr baseColWidth="10" defaultColWidth="9.140625" defaultRowHeight="15" x14ac:dyDescent="0.25"/>
  <cols>
    <col min="1" max="1" width="21" customWidth="1"/>
    <col min="2" max="2" width="22.7109375" customWidth="1"/>
    <col min="3" max="3" width="6.28515625" bestFit="1" customWidth="1"/>
    <col min="4" max="4" width="11.85546875" bestFit="1" customWidth="1"/>
    <col min="5" max="5" width="12.5703125" bestFit="1" customWidth="1"/>
    <col min="6" max="6" width="12.7109375" bestFit="1" customWidth="1"/>
    <col min="7" max="7" width="20" customWidth="1"/>
    <col min="8" max="8" width="16.5703125" customWidth="1"/>
    <col min="9" max="9" width="13" customWidth="1"/>
    <col min="10" max="10" width="10.28515625" bestFit="1" customWidth="1"/>
    <col min="11" max="11" width="12" customWidth="1"/>
    <col min="12" max="12" width="9.85546875" bestFit="1" customWidth="1"/>
    <col min="18" max="18" width="17.7109375" bestFit="1" customWidth="1"/>
    <col min="19" max="19" width="17.85546875" bestFit="1" customWidth="1"/>
    <col min="20" max="20" width="13.140625" bestFit="1" customWidth="1"/>
    <col min="21" max="21" width="11.140625" bestFit="1" customWidth="1"/>
    <col min="22" max="22" width="8.5703125" bestFit="1" customWidth="1"/>
    <col min="23" max="23" width="22.7109375" bestFit="1" customWidth="1"/>
    <col min="24" max="24" width="11.7109375" customWidth="1"/>
    <col min="25" max="25" width="20.28515625" bestFit="1" customWidth="1"/>
    <col min="26" max="26" width="19.5703125" bestFit="1" customWidth="1"/>
  </cols>
  <sheetData>
    <row r="1" spans="1:26" ht="38.25" x14ac:dyDescent="0.25">
      <c r="A1" s="221" t="s">
        <v>106</v>
      </c>
      <c r="B1" s="221" t="s">
        <v>107</v>
      </c>
      <c r="C1" s="221" t="s">
        <v>108</v>
      </c>
      <c r="D1" s="221" t="s">
        <v>109</v>
      </c>
      <c r="E1" s="221" t="s">
        <v>110</v>
      </c>
      <c r="F1" s="221" t="s">
        <v>111</v>
      </c>
      <c r="G1" s="221" t="s">
        <v>112</v>
      </c>
      <c r="H1" s="221" t="s">
        <v>113</v>
      </c>
      <c r="I1" s="221" t="s">
        <v>114</v>
      </c>
      <c r="J1" s="221" t="s">
        <v>115</v>
      </c>
      <c r="K1" s="221" t="s">
        <v>116</v>
      </c>
      <c r="L1" s="233" t="s">
        <v>117</v>
      </c>
      <c r="M1" s="233" t="s">
        <v>118</v>
      </c>
      <c r="N1" s="233" t="s">
        <v>119</v>
      </c>
      <c r="O1" s="233" t="s">
        <v>120</v>
      </c>
      <c r="P1" s="233" t="s">
        <v>121</v>
      </c>
      <c r="Q1" s="233" t="s">
        <v>122</v>
      </c>
      <c r="R1" s="233" t="s">
        <v>123</v>
      </c>
      <c r="S1" s="233" t="s">
        <v>124</v>
      </c>
      <c r="T1" s="233" t="s">
        <v>125</v>
      </c>
      <c r="U1" s="233" t="s">
        <v>126</v>
      </c>
      <c r="V1" s="233" t="s">
        <v>127</v>
      </c>
      <c r="W1" s="233" t="s">
        <v>128</v>
      </c>
      <c r="X1" s="233" t="s">
        <v>129</v>
      </c>
      <c r="Y1" s="233" t="s">
        <v>130</v>
      </c>
      <c r="Z1" s="233" t="s">
        <v>131</v>
      </c>
    </row>
    <row r="2" spans="1:26" x14ac:dyDescent="0.25">
      <c r="A2" s="222" t="s">
        <v>30</v>
      </c>
      <c r="B2" s="222" t="s">
        <v>132</v>
      </c>
      <c r="C2" s="222" t="s">
        <v>133</v>
      </c>
      <c r="D2" s="222" t="s">
        <v>134</v>
      </c>
      <c r="E2" s="222" t="s">
        <v>135</v>
      </c>
      <c r="F2" s="222" t="s">
        <v>136</v>
      </c>
      <c r="G2" s="222" t="s">
        <v>137</v>
      </c>
      <c r="H2" s="222" t="s">
        <v>138</v>
      </c>
      <c r="I2" s="222" t="s">
        <v>139</v>
      </c>
      <c r="J2" s="222" t="s">
        <v>140</v>
      </c>
      <c r="K2" s="222" t="s">
        <v>141</v>
      </c>
      <c r="L2" s="234" t="s">
        <v>142</v>
      </c>
      <c r="M2" s="234" t="s">
        <v>143</v>
      </c>
      <c r="N2" s="245" t="s">
        <v>11</v>
      </c>
      <c r="O2" s="245" t="s">
        <v>144</v>
      </c>
      <c r="P2" t="s">
        <v>145</v>
      </c>
      <c r="Q2" t="s">
        <v>146</v>
      </c>
      <c r="R2" t="s">
        <v>147</v>
      </c>
      <c r="S2" t="s">
        <v>148</v>
      </c>
      <c r="T2" t="s">
        <v>149</v>
      </c>
      <c r="U2" t="s">
        <v>150</v>
      </c>
      <c r="V2" t="s">
        <v>151</v>
      </c>
      <c r="W2" t="s">
        <v>152</v>
      </c>
      <c r="X2" t="s">
        <v>153</v>
      </c>
      <c r="Y2" t="s">
        <v>154</v>
      </c>
      <c r="Z2" t="s">
        <v>155</v>
      </c>
    </row>
    <row r="3" spans="1:26" x14ac:dyDescent="0.25">
      <c r="A3" s="222" t="s">
        <v>156</v>
      </c>
      <c r="B3" s="222" t="s">
        <v>157</v>
      </c>
      <c r="C3" s="222" t="s">
        <v>158</v>
      </c>
      <c r="D3" s="222" t="s">
        <v>159</v>
      </c>
      <c r="E3" s="222" t="s">
        <v>160</v>
      </c>
      <c r="F3" s="222" t="s">
        <v>161</v>
      </c>
      <c r="G3" s="222" t="s">
        <v>162</v>
      </c>
      <c r="H3" s="222" t="s">
        <v>163</v>
      </c>
      <c r="I3" s="222" t="s">
        <v>109</v>
      </c>
      <c r="J3" s="222" t="s">
        <v>164</v>
      </c>
      <c r="K3" s="222" t="s">
        <v>165</v>
      </c>
      <c r="L3" s="234" t="s">
        <v>166</v>
      </c>
      <c r="M3" s="234" t="s">
        <v>27</v>
      </c>
      <c r="N3" s="245" t="s">
        <v>167</v>
      </c>
      <c r="O3" s="245" t="s">
        <v>168</v>
      </c>
      <c r="P3" t="s">
        <v>169</v>
      </c>
      <c r="Q3" t="s">
        <v>170</v>
      </c>
      <c r="R3" t="s">
        <v>171</v>
      </c>
      <c r="S3" t="s">
        <v>172</v>
      </c>
      <c r="T3" t="s">
        <v>173</v>
      </c>
      <c r="U3" t="s">
        <v>151</v>
      </c>
      <c r="V3" t="s">
        <v>174</v>
      </c>
      <c r="W3" t="s">
        <v>175</v>
      </c>
      <c r="X3" t="s">
        <v>176</v>
      </c>
      <c r="Y3" t="s">
        <v>177</v>
      </c>
      <c r="Z3" t="s">
        <v>178</v>
      </c>
    </row>
    <row r="4" spans="1:26" x14ac:dyDescent="0.25">
      <c r="A4" s="222" t="s">
        <v>179</v>
      </c>
      <c r="B4" s="222" t="s">
        <v>180</v>
      </c>
      <c r="D4" t="s">
        <v>25</v>
      </c>
      <c r="E4" s="222"/>
      <c r="F4" s="222"/>
      <c r="G4" s="222"/>
      <c r="H4" s="222" t="s">
        <v>181</v>
      </c>
      <c r="I4" t="s">
        <v>182</v>
      </c>
      <c r="K4" s="222" t="s">
        <v>183</v>
      </c>
      <c r="L4" s="234" t="s">
        <v>184</v>
      </c>
      <c r="M4" s="235" t="s">
        <v>185</v>
      </c>
      <c r="N4" s="245"/>
      <c r="O4" s="245" t="s">
        <v>186</v>
      </c>
      <c r="Q4" t="s">
        <v>187</v>
      </c>
      <c r="R4" t="s">
        <v>188</v>
      </c>
      <c r="S4" t="s">
        <v>189</v>
      </c>
      <c r="T4" t="s">
        <v>190</v>
      </c>
      <c r="U4" t="s">
        <v>174</v>
      </c>
      <c r="V4" t="s">
        <v>191</v>
      </c>
      <c r="W4" t="s">
        <v>192</v>
      </c>
      <c r="X4" t="s">
        <v>193</v>
      </c>
      <c r="Y4" t="s">
        <v>194</v>
      </c>
      <c r="Z4" t="s">
        <v>195</v>
      </c>
    </row>
    <row r="5" spans="1:26" x14ac:dyDescent="0.25">
      <c r="A5" s="222" t="s">
        <v>196</v>
      </c>
      <c r="G5" s="222"/>
      <c r="H5" s="222" t="s">
        <v>197</v>
      </c>
      <c r="I5" t="s">
        <v>198</v>
      </c>
      <c r="K5" s="222" t="s">
        <v>199</v>
      </c>
      <c r="L5" s="235" t="s">
        <v>200</v>
      </c>
      <c r="M5" s="236"/>
      <c r="N5" s="245"/>
      <c r="Q5" t="s">
        <v>201</v>
      </c>
      <c r="R5" t="s">
        <v>202</v>
      </c>
      <c r="S5" t="s">
        <v>203</v>
      </c>
      <c r="T5" t="s">
        <v>204</v>
      </c>
      <c r="U5" t="s">
        <v>205</v>
      </c>
      <c r="V5" t="s">
        <v>206</v>
      </c>
      <c r="W5" t="s">
        <v>207</v>
      </c>
      <c r="X5" t="s">
        <v>208</v>
      </c>
      <c r="Z5" t="s">
        <v>155</v>
      </c>
    </row>
    <row r="6" spans="1:26" x14ac:dyDescent="0.25">
      <c r="K6" s="223" t="s">
        <v>209</v>
      </c>
      <c r="L6" s="235" t="s">
        <v>21</v>
      </c>
      <c r="M6" s="236"/>
      <c r="N6" s="245"/>
      <c r="R6" t="s">
        <v>210</v>
      </c>
      <c r="S6" t="s">
        <v>211</v>
      </c>
      <c r="U6" t="s">
        <v>212</v>
      </c>
      <c r="V6" t="s">
        <v>213</v>
      </c>
      <c r="W6" t="s">
        <v>214</v>
      </c>
      <c r="X6" t="s">
        <v>215</v>
      </c>
      <c r="Y6" t="s">
        <v>216</v>
      </c>
      <c r="Z6" t="s">
        <v>217</v>
      </c>
    </row>
    <row r="7" spans="1:26" x14ac:dyDescent="0.25">
      <c r="K7" s="222" t="s">
        <v>218</v>
      </c>
      <c r="L7" s="235" t="s">
        <v>219</v>
      </c>
      <c r="M7" s="236"/>
      <c r="N7" s="245"/>
      <c r="R7" t="s">
        <v>220</v>
      </c>
      <c r="S7" t="s">
        <v>221</v>
      </c>
      <c r="U7" t="s">
        <v>205</v>
      </c>
      <c r="V7" t="s">
        <v>222</v>
      </c>
      <c r="W7" t="s">
        <v>223</v>
      </c>
      <c r="X7" t="s">
        <v>224</v>
      </c>
      <c r="Y7" t="s">
        <v>225</v>
      </c>
      <c r="Z7" t="s">
        <v>226</v>
      </c>
    </row>
    <row r="8" spans="1:26" x14ac:dyDescent="0.25">
      <c r="K8" s="222" t="s">
        <v>227</v>
      </c>
      <c r="L8" s="235" t="s">
        <v>228</v>
      </c>
      <c r="M8" s="236"/>
      <c r="N8" s="245"/>
      <c r="S8" t="s">
        <v>229</v>
      </c>
      <c r="U8" t="s">
        <v>230</v>
      </c>
      <c r="V8" t="s">
        <v>231</v>
      </c>
      <c r="W8" t="s">
        <v>232</v>
      </c>
      <c r="X8" t="s">
        <v>233</v>
      </c>
      <c r="Y8" t="s">
        <v>234</v>
      </c>
      <c r="Z8" t="s">
        <v>235</v>
      </c>
    </row>
    <row r="9" spans="1:26" x14ac:dyDescent="0.25">
      <c r="S9" t="s">
        <v>236</v>
      </c>
      <c r="U9" t="s">
        <v>237</v>
      </c>
      <c r="V9" t="s">
        <v>238</v>
      </c>
      <c r="W9" t="s">
        <v>239</v>
      </c>
      <c r="X9" t="s">
        <v>240</v>
      </c>
      <c r="Y9" t="s">
        <v>241</v>
      </c>
      <c r="Z9" t="s">
        <v>242</v>
      </c>
    </row>
    <row r="10" spans="1:26" x14ac:dyDescent="0.25">
      <c r="S10" t="s">
        <v>243</v>
      </c>
      <c r="U10" t="s">
        <v>244</v>
      </c>
      <c r="V10" t="s">
        <v>245</v>
      </c>
      <c r="W10" t="s">
        <v>246</v>
      </c>
      <c r="X10" t="s">
        <v>247</v>
      </c>
      <c r="Y10" t="s">
        <v>248</v>
      </c>
      <c r="Z10" t="s">
        <v>249</v>
      </c>
    </row>
    <row r="11" spans="1:26" x14ac:dyDescent="0.25">
      <c r="S11" t="s">
        <v>250</v>
      </c>
      <c r="U11" t="s">
        <v>251</v>
      </c>
      <c r="V11" t="s">
        <v>252</v>
      </c>
      <c r="W11" t="s">
        <v>253</v>
      </c>
      <c r="X11" t="s">
        <v>254</v>
      </c>
      <c r="Y11" t="s">
        <v>255</v>
      </c>
    </row>
    <row r="12" spans="1:26" x14ac:dyDescent="0.25">
      <c r="S12" t="s">
        <v>256</v>
      </c>
      <c r="U12" t="s">
        <v>257</v>
      </c>
      <c r="W12" t="s">
        <v>258</v>
      </c>
      <c r="X12" t="s">
        <v>259</v>
      </c>
      <c r="Y12" t="s">
        <v>260</v>
      </c>
    </row>
    <row r="13" spans="1:26" x14ac:dyDescent="0.25">
      <c r="S13" t="s">
        <v>261</v>
      </c>
      <c r="U13" t="s">
        <v>262</v>
      </c>
      <c r="W13" t="s">
        <v>263</v>
      </c>
      <c r="X13" t="s">
        <v>264</v>
      </c>
      <c r="Y13" t="s">
        <v>265</v>
      </c>
    </row>
    <row r="14" spans="1:26" x14ac:dyDescent="0.25">
      <c r="S14" t="s">
        <v>266</v>
      </c>
      <c r="U14" t="s">
        <v>267</v>
      </c>
      <c r="W14" t="s">
        <v>268</v>
      </c>
      <c r="X14" t="s">
        <v>269</v>
      </c>
      <c r="Y14" t="s">
        <v>270</v>
      </c>
    </row>
    <row r="15" spans="1:26" x14ac:dyDescent="0.25">
      <c r="S15" t="s">
        <v>271</v>
      </c>
      <c r="U15" t="s">
        <v>272</v>
      </c>
      <c r="W15" t="s">
        <v>273</v>
      </c>
      <c r="X15" t="s">
        <v>274</v>
      </c>
    </row>
    <row r="16" spans="1:26" x14ac:dyDescent="0.25">
      <c r="S16" t="s">
        <v>275</v>
      </c>
      <c r="U16" t="s">
        <v>276</v>
      </c>
      <c r="W16" t="s">
        <v>277</v>
      </c>
      <c r="X16" t="s">
        <v>278</v>
      </c>
    </row>
    <row r="17" spans="19:23" x14ac:dyDescent="0.25">
      <c r="S17" t="s">
        <v>279</v>
      </c>
      <c r="U17" t="s">
        <v>280</v>
      </c>
      <c r="W17" t="s">
        <v>281</v>
      </c>
    </row>
    <row r="18" spans="19:23" x14ac:dyDescent="0.25">
      <c r="S18" t="s">
        <v>282</v>
      </c>
      <c r="U18" t="s">
        <v>283</v>
      </c>
      <c r="W18" t="s">
        <v>284</v>
      </c>
    </row>
    <row r="19" spans="19:23" x14ac:dyDescent="0.25">
      <c r="S19" t="s">
        <v>285</v>
      </c>
      <c r="U19" t="s">
        <v>286</v>
      </c>
      <c r="W19" t="s">
        <v>287</v>
      </c>
    </row>
    <row r="20" spans="19:23" x14ac:dyDescent="0.25">
      <c r="S20" t="s">
        <v>288</v>
      </c>
      <c r="U20" t="s">
        <v>289</v>
      </c>
      <c r="W20" t="s">
        <v>290</v>
      </c>
    </row>
    <row r="21" spans="19:23" x14ac:dyDescent="0.25">
      <c r="S21" t="s">
        <v>213</v>
      </c>
      <c r="U21" t="s">
        <v>291</v>
      </c>
    </row>
    <row r="22" spans="19:23" x14ac:dyDescent="0.25">
      <c r="S22" t="s">
        <v>292</v>
      </c>
      <c r="U22" t="s">
        <v>293</v>
      </c>
    </row>
    <row r="23" spans="19:23" x14ac:dyDescent="0.25">
      <c r="S23" t="s">
        <v>294</v>
      </c>
      <c r="U23" t="s">
        <v>295</v>
      </c>
    </row>
    <row r="24" spans="19:23" x14ac:dyDescent="0.25">
      <c r="S24" t="s">
        <v>296</v>
      </c>
      <c r="U24" t="s">
        <v>191</v>
      </c>
    </row>
    <row r="25" spans="19:23" x14ac:dyDescent="0.25">
      <c r="S25" t="s">
        <v>297</v>
      </c>
      <c r="U25" t="s">
        <v>206</v>
      </c>
    </row>
    <row r="26" spans="19:23" x14ac:dyDescent="0.25">
      <c r="S26" t="s">
        <v>298</v>
      </c>
      <c r="U26" t="s">
        <v>299</v>
      </c>
    </row>
    <row r="27" spans="19:23" x14ac:dyDescent="0.25">
      <c r="S27" t="s">
        <v>300</v>
      </c>
      <c r="U27" t="s">
        <v>301</v>
      </c>
    </row>
    <row r="28" spans="19:23" x14ac:dyDescent="0.25">
      <c r="S28" t="s">
        <v>302</v>
      </c>
      <c r="U28" t="s">
        <v>303</v>
      </c>
    </row>
    <row r="29" spans="19:23" x14ac:dyDescent="0.25">
      <c r="S29" t="s">
        <v>304</v>
      </c>
      <c r="U29" t="s">
        <v>305</v>
      </c>
    </row>
    <row r="30" spans="19:23" x14ac:dyDescent="0.25">
      <c r="S30" t="s">
        <v>306</v>
      </c>
      <c r="U30" t="s">
        <v>307</v>
      </c>
    </row>
    <row r="31" spans="19:23" x14ac:dyDescent="0.25">
      <c r="S31" t="s">
        <v>308</v>
      </c>
      <c r="U31" s="301" t="s">
        <v>309</v>
      </c>
    </row>
    <row r="32" spans="19:23" x14ac:dyDescent="0.25">
      <c r="S32" t="s">
        <v>310</v>
      </c>
    </row>
    <row r="33" spans="19:19" x14ac:dyDescent="0.25">
      <c r="S33" t="s">
        <v>311</v>
      </c>
    </row>
    <row r="34" spans="19:19" x14ac:dyDescent="0.25">
      <c r="S34" t="s">
        <v>312</v>
      </c>
    </row>
  </sheetData>
  <phoneticPr fontId="4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36ADC-8843-4B79-BA81-113C326F8758}">
  <sheetPr codeName="Sheet6"/>
  <dimension ref="A1:AY256"/>
  <sheetViews>
    <sheetView tabSelected="1" zoomScale="85" zoomScaleNormal="85" workbookViewId="0">
      <selection activeCell="E16" sqref="E16"/>
    </sheetView>
  </sheetViews>
  <sheetFormatPr baseColWidth="10" defaultColWidth="9.140625" defaultRowHeight="15" x14ac:dyDescent="0.25"/>
  <cols>
    <col min="1" max="1" width="51.42578125" bestFit="1" customWidth="1"/>
    <col min="2" max="2" width="17.7109375" customWidth="1"/>
    <col min="3" max="3" width="14.7109375" customWidth="1"/>
    <col min="4" max="4" width="28.5703125" customWidth="1"/>
    <col min="5" max="5" width="28.140625" customWidth="1"/>
    <col min="6" max="6" width="24.7109375" customWidth="1"/>
    <col min="7" max="7" width="24.42578125" customWidth="1"/>
    <col min="8" max="8" width="17.85546875" customWidth="1"/>
    <col min="9" max="9" width="28.140625" customWidth="1"/>
    <col min="10" max="10" width="27.7109375" customWidth="1"/>
    <col min="11" max="11" width="21" customWidth="1"/>
    <col min="12" max="12" width="27" customWidth="1"/>
    <col min="13" max="14" width="55.28515625" bestFit="1" customWidth="1"/>
    <col min="15" max="15" width="21.5703125" customWidth="1"/>
    <col min="16" max="17" width="22.7109375" customWidth="1"/>
    <col min="18" max="18" width="23" customWidth="1"/>
    <col min="19" max="19" width="17.28515625" bestFit="1" customWidth="1"/>
    <col min="20" max="20" width="18.28515625" bestFit="1" customWidth="1"/>
    <col min="21" max="21" width="29" bestFit="1" customWidth="1"/>
    <col min="22" max="22" width="24.5703125" bestFit="1" customWidth="1"/>
    <col min="23" max="23" width="46.42578125" customWidth="1"/>
    <col min="24" max="24" width="24.85546875" bestFit="1" customWidth="1"/>
    <col min="25" max="25" width="23" bestFit="1" customWidth="1"/>
    <col min="26" max="26" width="23.42578125" bestFit="1" customWidth="1"/>
    <col min="27" max="27" width="55.28515625" bestFit="1" customWidth="1"/>
    <col min="28" max="28" width="14.85546875" bestFit="1" customWidth="1"/>
    <col min="29" max="29" width="12.85546875" bestFit="1" customWidth="1"/>
    <col min="30" max="30" width="18.28515625" bestFit="1" customWidth="1"/>
    <col min="31" max="31" width="17.28515625" bestFit="1" customWidth="1"/>
    <col min="32" max="32" width="10.5703125" bestFit="1" customWidth="1"/>
    <col min="33" max="33" width="17.28515625" bestFit="1" customWidth="1"/>
    <col min="34" max="34" width="10.28515625" bestFit="1" customWidth="1"/>
    <col min="35" max="35" width="13.140625" bestFit="1" customWidth="1"/>
    <col min="36" max="36" width="19.28515625" bestFit="1" customWidth="1"/>
    <col min="37" max="37" width="13.85546875" bestFit="1" customWidth="1"/>
    <col min="38" max="38" width="19.28515625" bestFit="1" customWidth="1"/>
    <col min="39" max="39" width="7.5703125" bestFit="1" customWidth="1"/>
    <col min="40" max="40" width="55.28515625" bestFit="1" customWidth="1"/>
    <col min="41" max="41" width="14.5703125" bestFit="1" customWidth="1"/>
    <col min="42" max="42" width="12.85546875" bestFit="1" customWidth="1"/>
    <col min="43" max="43" width="18.28515625" bestFit="1" customWidth="1"/>
    <col min="44" max="44" width="17.28515625" bestFit="1" customWidth="1"/>
    <col min="45" max="45" width="10.5703125" bestFit="1" customWidth="1"/>
    <col min="46" max="46" width="17.28515625" bestFit="1" customWidth="1"/>
    <col min="47" max="47" width="10.28515625" bestFit="1" customWidth="1"/>
    <col min="48" max="48" width="13.140625" bestFit="1" customWidth="1"/>
    <col min="49" max="49" width="19.28515625" bestFit="1" customWidth="1"/>
    <col min="50" max="50" width="13.85546875" bestFit="1" customWidth="1"/>
    <col min="51" max="51" width="19.28515625" bestFit="1" customWidth="1"/>
  </cols>
  <sheetData>
    <row r="1" spans="1:2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ht="30" x14ac:dyDescent="0.25">
      <c r="A2" s="225" t="s">
        <v>313</v>
      </c>
      <c r="B2" s="225" t="s">
        <v>314</v>
      </c>
      <c r="C2" t="s">
        <v>315</v>
      </c>
      <c r="D2" t="s">
        <v>316</v>
      </c>
      <c r="E2" s="225" t="s">
        <v>317</v>
      </c>
      <c r="F2" s="225" t="s">
        <v>318</v>
      </c>
      <c r="G2" s="225" t="s">
        <v>319</v>
      </c>
      <c r="H2" s="225" t="s">
        <v>320</v>
      </c>
      <c r="I2" s="225" t="s">
        <v>321</v>
      </c>
      <c r="J2" s="225" t="s">
        <v>322</v>
      </c>
      <c r="K2" s="225" t="s">
        <v>323</v>
      </c>
      <c r="L2" s="225" t="s">
        <v>324</v>
      </c>
      <c r="M2" s="225" t="s">
        <v>325</v>
      </c>
      <c r="N2" s="225" t="s">
        <v>326</v>
      </c>
      <c r="O2" s="225" t="s">
        <v>327</v>
      </c>
      <c r="P2" s="225" t="s">
        <v>328</v>
      </c>
      <c r="Q2" s="225" t="s">
        <v>329</v>
      </c>
      <c r="R2" s="225" t="s">
        <v>330</v>
      </c>
      <c r="S2" s="225" t="s">
        <v>331</v>
      </c>
      <c r="T2" s="225" t="s">
        <v>332</v>
      </c>
      <c r="U2" s="225" t="s">
        <v>333</v>
      </c>
      <c r="V2" s="225" t="s">
        <v>334</v>
      </c>
    </row>
    <row r="3" spans="1:24" x14ac:dyDescent="0.25">
      <c r="A3" s="226">
        <v>13</v>
      </c>
      <c r="B3" t="s">
        <v>335</v>
      </c>
      <c r="C3" t="s">
        <v>336</v>
      </c>
      <c r="D3" t="s">
        <v>141</v>
      </c>
      <c r="E3" t="str">
        <f>"CS"&amp;LEFT(C3,1)&amp;IF(D3="R454B",4,IF(D3="R515b",5,"ERRRR"))&amp;LEFT(B3,1)&amp;A3</f>
        <v>CSV4M13</v>
      </c>
      <c r="F3">
        <v>1</v>
      </c>
      <c r="G3">
        <v>0</v>
      </c>
      <c r="H3">
        <f>SkidDB[[#This Row],[Nominal Capacity]]/4</f>
        <v>3.25</v>
      </c>
      <c r="I3" t="s">
        <v>337</v>
      </c>
      <c r="J3" t="s">
        <v>338</v>
      </c>
      <c r="K3" t="s">
        <v>338</v>
      </c>
      <c r="L3">
        <v>1</v>
      </c>
      <c r="M3">
        <v>9000</v>
      </c>
      <c r="N3" s="224">
        <v>1.375</v>
      </c>
      <c r="O3" s="224">
        <v>1.125</v>
      </c>
      <c r="P3" s="224">
        <v>0.875</v>
      </c>
      <c r="Q3" s="224" t="s">
        <v>146</v>
      </c>
      <c r="R3" s="224" t="s">
        <v>146</v>
      </c>
      <c r="S3" s="224"/>
      <c r="T3" s="224"/>
      <c r="U3" s="224"/>
      <c r="V3" s="224">
        <f>SkidDB[[#This Row],[Compressor Qty]]</f>
        <v>1</v>
      </c>
    </row>
    <row r="4" spans="1:24" x14ac:dyDescent="0.25">
      <c r="A4" s="226">
        <v>15</v>
      </c>
      <c r="B4" t="s">
        <v>335</v>
      </c>
      <c r="C4" t="s">
        <v>336</v>
      </c>
      <c r="D4" t="s">
        <v>141</v>
      </c>
      <c r="E4" t="str">
        <f t="shared" ref="E4:E11" si="0">"CS"&amp;LEFT(C4,1)&amp;IF(D4="R454B",4,IF(D4="R515b",5,"ERRRR"))&amp;LEFT(B4,1)&amp;A4</f>
        <v>CSV4M15</v>
      </c>
      <c r="F4">
        <v>1</v>
      </c>
      <c r="G4">
        <v>0</v>
      </c>
      <c r="H4">
        <f>SkidDB[[#This Row],[Nominal Capacity]]/4</f>
        <v>3.75</v>
      </c>
      <c r="I4" t="s">
        <v>339</v>
      </c>
      <c r="J4" t="s">
        <v>340</v>
      </c>
      <c r="K4" t="s">
        <v>340</v>
      </c>
      <c r="L4">
        <v>1</v>
      </c>
      <c r="M4">
        <v>11000</v>
      </c>
      <c r="N4" s="224">
        <v>1.375</v>
      </c>
      <c r="O4" s="224">
        <v>1.125</v>
      </c>
      <c r="P4" s="224">
        <v>0.875</v>
      </c>
      <c r="Q4" s="224" t="s">
        <v>146</v>
      </c>
      <c r="R4" s="224" t="s">
        <v>146</v>
      </c>
      <c r="S4" s="224"/>
      <c r="T4" s="224"/>
      <c r="U4" s="224"/>
      <c r="V4" s="224">
        <f>SkidDB[[#This Row],[Compressor Qty]]</f>
        <v>1</v>
      </c>
    </row>
    <row r="5" spans="1:24" x14ac:dyDescent="0.25">
      <c r="A5" s="226">
        <v>17</v>
      </c>
      <c r="B5" t="s">
        <v>335</v>
      </c>
      <c r="C5" t="s">
        <v>336</v>
      </c>
      <c r="D5" t="s">
        <v>141</v>
      </c>
      <c r="E5" t="str">
        <f t="shared" si="0"/>
        <v>CSV4M17</v>
      </c>
      <c r="F5">
        <v>1</v>
      </c>
      <c r="G5">
        <v>0</v>
      </c>
      <c r="H5">
        <f>SkidDB[[#This Row],[Nominal Capacity]]/4</f>
        <v>4.25</v>
      </c>
      <c r="I5" t="s">
        <v>341</v>
      </c>
      <c r="J5" t="s">
        <v>342</v>
      </c>
      <c r="K5" t="s">
        <v>342</v>
      </c>
      <c r="L5">
        <v>1</v>
      </c>
      <c r="M5">
        <v>13000</v>
      </c>
      <c r="N5" s="224">
        <v>1.375</v>
      </c>
      <c r="O5" s="224">
        <v>1.125</v>
      </c>
      <c r="P5" s="224">
        <v>0.875</v>
      </c>
      <c r="Q5" s="224" t="s">
        <v>146</v>
      </c>
      <c r="R5" s="224" t="s">
        <v>146</v>
      </c>
      <c r="S5" s="224"/>
      <c r="T5" s="224"/>
      <c r="U5" s="224"/>
      <c r="V5" s="224">
        <f>SkidDB[[#This Row],[Compressor Qty]]</f>
        <v>1</v>
      </c>
    </row>
    <row r="6" spans="1:24" x14ac:dyDescent="0.25">
      <c r="A6" s="226">
        <v>26</v>
      </c>
      <c r="B6" t="s">
        <v>335</v>
      </c>
      <c r="C6" t="s">
        <v>336</v>
      </c>
      <c r="D6" t="s">
        <v>141</v>
      </c>
      <c r="E6" t="str">
        <f t="shared" si="0"/>
        <v>CSV4M26</v>
      </c>
      <c r="F6">
        <v>2</v>
      </c>
      <c r="G6">
        <v>0</v>
      </c>
      <c r="H6">
        <f>SkidDB[[#This Row],[Nominal Capacity]]/4</f>
        <v>6.5</v>
      </c>
      <c r="I6" t="s">
        <v>337</v>
      </c>
      <c r="J6" t="s">
        <v>338</v>
      </c>
      <c r="K6" t="s">
        <v>338</v>
      </c>
      <c r="L6">
        <v>2</v>
      </c>
      <c r="M6">
        <v>18000</v>
      </c>
      <c r="N6" s="224">
        <v>1.625</v>
      </c>
      <c r="O6" s="224">
        <v>1.375</v>
      </c>
      <c r="P6" s="224">
        <v>1.125</v>
      </c>
      <c r="Q6" s="224" t="s">
        <v>170</v>
      </c>
      <c r="R6" s="224" t="s">
        <v>170</v>
      </c>
      <c r="S6" s="224" t="s">
        <v>343</v>
      </c>
      <c r="T6" s="224"/>
      <c r="U6" s="224"/>
      <c r="V6" s="224">
        <f>SkidDB[[#This Row],[Compressor Qty]]</f>
        <v>2</v>
      </c>
    </row>
    <row r="7" spans="1:24" x14ac:dyDescent="0.25">
      <c r="A7" s="226">
        <v>30</v>
      </c>
      <c r="B7" t="s">
        <v>335</v>
      </c>
      <c r="C7" t="s">
        <v>336</v>
      </c>
      <c r="D7" t="s">
        <v>141</v>
      </c>
      <c r="E7" t="str">
        <f t="shared" si="0"/>
        <v>CSV4M30</v>
      </c>
      <c r="F7">
        <v>2</v>
      </c>
      <c r="G7">
        <v>0</v>
      </c>
      <c r="H7">
        <f>SkidDB[[#This Row],[Nominal Capacity]]/4</f>
        <v>7.5</v>
      </c>
      <c r="I7" t="s">
        <v>339</v>
      </c>
      <c r="J7" t="s">
        <v>340</v>
      </c>
      <c r="K7" t="s">
        <v>340</v>
      </c>
      <c r="L7">
        <v>2</v>
      </c>
      <c r="M7">
        <v>22000</v>
      </c>
      <c r="N7" s="224">
        <v>1.625</v>
      </c>
      <c r="O7" s="224">
        <v>1.375</v>
      </c>
      <c r="P7" s="224">
        <v>1.125</v>
      </c>
      <c r="Q7" s="224" t="s">
        <v>170</v>
      </c>
      <c r="R7" s="224" t="s">
        <v>170</v>
      </c>
      <c r="S7" s="297" t="s">
        <v>343</v>
      </c>
      <c r="T7" s="224"/>
      <c r="U7" s="224"/>
      <c r="V7" s="224">
        <f>SkidDB[[#This Row],[Compressor Qty]]</f>
        <v>2</v>
      </c>
    </row>
    <row r="8" spans="1:24" x14ac:dyDescent="0.25">
      <c r="A8" s="226">
        <v>35</v>
      </c>
      <c r="B8" t="s">
        <v>335</v>
      </c>
      <c r="C8" t="s">
        <v>336</v>
      </c>
      <c r="D8" t="s">
        <v>141</v>
      </c>
      <c r="E8" t="str">
        <f t="shared" si="0"/>
        <v>CSV4M35</v>
      </c>
      <c r="F8">
        <v>2</v>
      </c>
      <c r="G8">
        <v>0</v>
      </c>
      <c r="H8">
        <f>SkidDB[[#This Row],[Nominal Capacity]]/4</f>
        <v>8.75</v>
      </c>
      <c r="I8" t="s">
        <v>341</v>
      </c>
      <c r="J8" t="s">
        <v>342</v>
      </c>
      <c r="K8" t="s">
        <v>342</v>
      </c>
      <c r="L8">
        <v>2</v>
      </c>
      <c r="M8">
        <v>26000</v>
      </c>
      <c r="N8" s="224">
        <v>1.625</v>
      </c>
      <c r="O8" s="224">
        <v>1.375</v>
      </c>
      <c r="P8" s="224">
        <v>1.125</v>
      </c>
      <c r="Q8" s="224" t="s">
        <v>187</v>
      </c>
      <c r="R8" s="224" t="s">
        <v>187</v>
      </c>
      <c r="S8" s="224" t="s">
        <v>343</v>
      </c>
      <c r="T8" s="224"/>
      <c r="U8" s="224"/>
      <c r="V8" s="224">
        <f>SkidDB[[#This Row],[Compressor Qty]]</f>
        <v>2</v>
      </c>
    </row>
    <row r="9" spans="1:24" x14ac:dyDescent="0.25">
      <c r="A9" s="226">
        <v>40</v>
      </c>
      <c r="B9" t="s">
        <v>335</v>
      </c>
      <c r="C9" t="s">
        <v>336</v>
      </c>
      <c r="D9" t="s">
        <v>141</v>
      </c>
      <c r="E9" t="str">
        <f t="shared" si="0"/>
        <v>CSV4M40</v>
      </c>
      <c r="F9">
        <v>3</v>
      </c>
      <c r="G9">
        <v>0</v>
      </c>
      <c r="H9">
        <f>SkidDB[[#This Row],[Nominal Capacity]]/4</f>
        <v>10</v>
      </c>
      <c r="I9" t="s">
        <v>337</v>
      </c>
      <c r="J9" t="s">
        <v>338</v>
      </c>
      <c r="K9" t="s">
        <v>338</v>
      </c>
      <c r="L9">
        <v>3</v>
      </c>
      <c r="M9">
        <v>33000</v>
      </c>
      <c r="N9" s="224">
        <v>2.125</v>
      </c>
      <c r="O9" s="224">
        <v>1.625</v>
      </c>
      <c r="P9" s="224">
        <v>1.375</v>
      </c>
      <c r="Q9" s="224" t="s">
        <v>187</v>
      </c>
      <c r="R9" s="224" t="s">
        <v>187</v>
      </c>
      <c r="S9" s="224"/>
      <c r="T9" s="224"/>
      <c r="U9" s="224"/>
      <c r="V9" s="224">
        <f>SkidDB[[#This Row],[Compressor Qty]]</f>
        <v>3</v>
      </c>
    </row>
    <row r="10" spans="1:24" x14ac:dyDescent="0.25">
      <c r="A10" s="226">
        <v>45</v>
      </c>
      <c r="B10" t="s">
        <v>335</v>
      </c>
      <c r="C10" t="s">
        <v>336</v>
      </c>
      <c r="D10" t="s">
        <v>141</v>
      </c>
      <c r="E10" t="str">
        <f t="shared" si="0"/>
        <v>CSV4M45</v>
      </c>
      <c r="F10">
        <v>3</v>
      </c>
      <c r="G10">
        <v>0</v>
      </c>
      <c r="H10">
        <f>SkidDB[[#This Row],[Nominal Capacity]]/4</f>
        <v>11.25</v>
      </c>
      <c r="I10" t="s">
        <v>339</v>
      </c>
      <c r="J10" t="s">
        <v>340</v>
      </c>
      <c r="K10" t="s">
        <v>340</v>
      </c>
      <c r="L10">
        <v>3</v>
      </c>
      <c r="M10">
        <v>36000</v>
      </c>
      <c r="N10" s="224">
        <v>2.125</v>
      </c>
      <c r="O10" s="224">
        <v>1.625</v>
      </c>
      <c r="P10" s="224">
        <v>1.375</v>
      </c>
      <c r="Q10" s="224" t="s">
        <v>201</v>
      </c>
      <c r="R10" s="224" t="s">
        <v>201</v>
      </c>
      <c r="S10" s="224"/>
      <c r="T10" s="224"/>
      <c r="U10" s="224"/>
      <c r="V10" s="224">
        <f>SkidDB[[#This Row],[Compressor Qty]]</f>
        <v>3</v>
      </c>
    </row>
    <row r="11" spans="1:24" x14ac:dyDescent="0.25">
      <c r="A11" s="226">
        <v>50</v>
      </c>
      <c r="B11" t="s">
        <v>335</v>
      </c>
      <c r="C11" t="s">
        <v>336</v>
      </c>
      <c r="D11" t="s">
        <v>141</v>
      </c>
      <c r="E11" t="str">
        <f t="shared" si="0"/>
        <v>CSV4M50</v>
      </c>
      <c r="F11">
        <v>3</v>
      </c>
      <c r="G11">
        <v>0</v>
      </c>
      <c r="H11">
        <f>SkidDB[[#This Row],[Nominal Capacity]]/4</f>
        <v>12.5</v>
      </c>
      <c r="I11" t="s">
        <v>341</v>
      </c>
      <c r="J11" t="s">
        <v>342</v>
      </c>
      <c r="K11" t="s">
        <v>342</v>
      </c>
      <c r="L11">
        <v>3</v>
      </c>
      <c r="M11">
        <v>39000</v>
      </c>
      <c r="N11" s="224">
        <v>2.125</v>
      </c>
      <c r="O11" s="224">
        <v>1.625</v>
      </c>
      <c r="P11" s="224">
        <v>1.375</v>
      </c>
      <c r="Q11" s="224" t="s">
        <v>201</v>
      </c>
      <c r="R11" s="224" t="s">
        <v>201</v>
      </c>
      <c r="S11" s="224"/>
      <c r="T11" s="224"/>
      <c r="U11" s="224"/>
      <c r="V11" s="224">
        <f>SkidDB[[#This Row],[Compressor Qty]]</f>
        <v>3</v>
      </c>
    </row>
    <row r="12" spans="1:24" x14ac:dyDescent="0.25">
      <c r="A12" s="226">
        <v>13</v>
      </c>
      <c r="B12" t="s">
        <v>344</v>
      </c>
      <c r="C12" t="s">
        <v>336</v>
      </c>
      <c r="D12" t="s">
        <v>141</v>
      </c>
      <c r="E12" t="str">
        <f t="shared" ref="E12:E17" si="1">"CS"&amp;LEFT(C12,1)&amp;IF(D12="R454B",4,IF(D12="R515b",5,"ERRRR"))&amp;LEFT(B12,1)&amp;A12</f>
        <v>CSV4C13</v>
      </c>
      <c r="F12">
        <v>1</v>
      </c>
      <c r="G12">
        <v>0</v>
      </c>
      <c r="H12">
        <f>SkidDB[[#This Row],[Nominal Capacity]]/4</f>
        <v>3.25</v>
      </c>
      <c r="I12" s="259" t="s">
        <v>345</v>
      </c>
      <c r="J12" s="259" t="s">
        <v>346</v>
      </c>
      <c r="K12" s="259" t="s">
        <v>346</v>
      </c>
      <c r="L12">
        <v>1</v>
      </c>
      <c r="M12">
        <v>9000</v>
      </c>
      <c r="N12" s="224">
        <v>1.375</v>
      </c>
      <c r="O12" s="224">
        <v>1.125</v>
      </c>
      <c r="P12" s="224">
        <v>0.875</v>
      </c>
      <c r="Q12" s="224" t="s">
        <v>146</v>
      </c>
      <c r="R12" s="224" t="s">
        <v>146</v>
      </c>
      <c r="S12" s="224"/>
      <c r="T12" s="224"/>
      <c r="U12" s="224"/>
      <c r="V12" s="224">
        <f>SkidDB[[#This Row],[Compressor Qty]]</f>
        <v>1</v>
      </c>
    </row>
    <row r="13" spans="1:24" x14ac:dyDescent="0.25">
      <c r="A13" s="226">
        <v>17</v>
      </c>
      <c r="B13" t="s">
        <v>344</v>
      </c>
      <c r="C13" t="s">
        <v>336</v>
      </c>
      <c r="D13" t="s">
        <v>141</v>
      </c>
      <c r="E13" t="str">
        <f t="shared" si="1"/>
        <v>CSV4C17</v>
      </c>
      <c r="F13">
        <v>1</v>
      </c>
      <c r="G13">
        <v>0</v>
      </c>
      <c r="H13">
        <f>SkidDB[[#This Row],[Nominal Capacity]]/4</f>
        <v>4.25</v>
      </c>
      <c r="I13" t="s">
        <v>347</v>
      </c>
      <c r="J13" t="s">
        <v>348</v>
      </c>
      <c r="K13" t="s">
        <v>348</v>
      </c>
      <c r="L13">
        <v>1</v>
      </c>
      <c r="M13">
        <v>13000</v>
      </c>
      <c r="N13" s="224">
        <v>1.375</v>
      </c>
      <c r="O13" s="224">
        <v>1.125</v>
      </c>
      <c r="P13" s="224">
        <v>0.875</v>
      </c>
      <c r="Q13" s="224" t="s">
        <v>146</v>
      </c>
      <c r="R13" s="224" t="s">
        <v>146</v>
      </c>
      <c r="S13" s="224"/>
      <c r="T13" s="224"/>
      <c r="U13" s="224"/>
      <c r="V13" s="224">
        <f>SkidDB[[#This Row],[Compressor Qty]]</f>
        <v>1</v>
      </c>
    </row>
    <row r="14" spans="1:24" x14ac:dyDescent="0.25">
      <c r="A14" s="226">
        <v>26</v>
      </c>
      <c r="B14" t="s">
        <v>344</v>
      </c>
      <c r="C14" t="s">
        <v>336</v>
      </c>
      <c r="D14" t="s">
        <v>141</v>
      </c>
      <c r="E14" t="str">
        <f t="shared" si="1"/>
        <v>CSV4C26</v>
      </c>
      <c r="F14">
        <v>2</v>
      </c>
      <c r="G14">
        <v>0</v>
      </c>
      <c r="H14">
        <f>SkidDB[[#This Row],[Nominal Capacity]]/4</f>
        <v>6.5</v>
      </c>
      <c r="I14" s="259" t="s">
        <v>345</v>
      </c>
      <c r="J14" s="259" t="s">
        <v>346</v>
      </c>
      <c r="K14" s="259" t="s">
        <v>346</v>
      </c>
      <c r="L14">
        <v>2</v>
      </c>
      <c r="M14">
        <v>18000</v>
      </c>
      <c r="N14" s="224">
        <v>1.625</v>
      </c>
      <c r="O14" s="224">
        <v>1.375</v>
      </c>
      <c r="P14" s="224">
        <v>1.125</v>
      </c>
      <c r="Q14" s="224" t="s">
        <v>170</v>
      </c>
      <c r="R14" s="224" t="s">
        <v>170</v>
      </c>
      <c r="S14" s="224"/>
      <c r="T14" s="224"/>
      <c r="U14" s="224"/>
      <c r="V14" s="224">
        <f>SkidDB[[#This Row],[Compressor Qty]]</f>
        <v>2</v>
      </c>
    </row>
    <row r="15" spans="1:24" x14ac:dyDescent="0.25">
      <c r="A15" s="226">
        <v>35</v>
      </c>
      <c r="B15" t="s">
        <v>344</v>
      </c>
      <c r="C15" t="s">
        <v>336</v>
      </c>
      <c r="D15" t="s">
        <v>141</v>
      </c>
      <c r="E15" t="str">
        <f t="shared" si="1"/>
        <v>CSV4C35</v>
      </c>
      <c r="F15">
        <v>2</v>
      </c>
      <c r="G15">
        <v>0</v>
      </c>
      <c r="H15">
        <f>SkidDB[[#This Row],[Nominal Capacity]]/4</f>
        <v>8.75</v>
      </c>
      <c r="I15" t="s">
        <v>347</v>
      </c>
      <c r="J15" t="s">
        <v>348</v>
      </c>
      <c r="K15" t="s">
        <v>348</v>
      </c>
      <c r="L15">
        <v>2</v>
      </c>
      <c r="M15">
        <v>26000</v>
      </c>
      <c r="N15" s="224">
        <v>1.625</v>
      </c>
      <c r="O15" s="224">
        <v>1.375</v>
      </c>
      <c r="P15" s="224">
        <v>1.125</v>
      </c>
      <c r="Q15" s="224" t="s">
        <v>187</v>
      </c>
      <c r="R15" s="224" t="s">
        <v>187</v>
      </c>
      <c r="S15" s="224"/>
      <c r="T15" s="224"/>
      <c r="U15" s="224"/>
      <c r="V15" s="224">
        <f>SkidDB[[#This Row],[Compressor Qty]]</f>
        <v>2</v>
      </c>
    </row>
    <row r="16" spans="1:24" x14ac:dyDescent="0.25">
      <c r="A16" s="226">
        <v>40</v>
      </c>
      <c r="B16" t="s">
        <v>344</v>
      </c>
      <c r="C16" t="s">
        <v>336</v>
      </c>
      <c r="D16" t="s">
        <v>141</v>
      </c>
      <c r="E16" t="str">
        <f t="shared" si="1"/>
        <v>CSV4C40</v>
      </c>
      <c r="F16">
        <v>3</v>
      </c>
      <c r="G16">
        <v>0</v>
      </c>
      <c r="H16">
        <f>SkidDB[[#This Row],[Nominal Capacity]]/4</f>
        <v>10</v>
      </c>
      <c r="I16" s="259" t="s">
        <v>345</v>
      </c>
      <c r="J16" s="259" t="s">
        <v>346</v>
      </c>
      <c r="K16" s="259" t="s">
        <v>346</v>
      </c>
      <c r="L16">
        <v>3</v>
      </c>
      <c r="M16">
        <v>33000</v>
      </c>
      <c r="N16" s="224">
        <v>2.125</v>
      </c>
      <c r="O16" s="224">
        <v>1.625</v>
      </c>
      <c r="P16" s="224">
        <v>1.375</v>
      </c>
      <c r="Q16" s="224" t="s">
        <v>187</v>
      </c>
      <c r="R16" s="224" t="s">
        <v>187</v>
      </c>
      <c r="S16" s="224"/>
      <c r="T16" s="224"/>
      <c r="U16" s="224"/>
      <c r="V16" s="224">
        <f>SkidDB[[#This Row],[Compressor Qty]]</f>
        <v>3</v>
      </c>
    </row>
    <row r="17" spans="1:28" x14ac:dyDescent="0.25">
      <c r="A17" s="226">
        <v>50</v>
      </c>
      <c r="B17" t="s">
        <v>344</v>
      </c>
      <c r="C17" t="s">
        <v>336</v>
      </c>
      <c r="D17" t="s">
        <v>141</v>
      </c>
      <c r="E17" t="str">
        <f t="shared" si="1"/>
        <v>CSV4C50</v>
      </c>
      <c r="F17">
        <v>3</v>
      </c>
      <c r="G17">
        <v>0</v>
      </c>
      <c r="H17">
        <f>SkidDB[[#This Row],[Nominal Capacity]]/4</f>
        <v>12.5</v>
      </c>
      <c r="I17" t="s">
        <v>347</v>
      </c>
      <c r="J17" t="s">
        <v>348</v>
      </c>
      <c r="K17" t="s">
        <v>348</v>
      </c>
      <c r="L17">
        <v>3</v>
      </c>
      <c r="M17">
        <v>39000</v>
      </c>
      <c r="N17" s="224">
        <v>2.125</v>
      </c>
      <c r="O17" s="224">
        <v>1.625</v>
      </c>
      <c r="P17" s="224">
        <v>1.375</v>
      </c>
      <c r="Q17" s="224" t="s">
        <v>201</v>
      </c>
      <c r="R17" s="224" t="s">
        <v>201</v>
      </c>
      <c r="S17" s="224"/>
      <c r="T17" s="224"/>
      <c r="U17" s="224"/>
      <c r="V17" s="224">
        <f>SkidDB[[#This Row],[Compressor Qty]]</f>
        <v>3</v>
      </c>
    </row>
    <row r="18" spans="1:28" x14ac:dyDescent="0.25">
      <c r="A18" s="226"/>
      <c r="Q18" s="224"/>
      <c r="R18" s="224"/>
      <c r="S18" s="224"/>
      <c r="T18" s="224"/>
      <c r="U18" s="224"/>
      <c r="V18" s="224"/>
      <c r="W18" s="224"/>
      <c r="X18" s="224"/>
      <c r="Y18" s="224"/>
    </row>
    <row r="20" spans="1:28" x14ac:dyDescent="0.25">
      <c r="A20" s="225" t="s">
        <v>349</v>
      </c>
      <c r="B20" s="225" t="s">
        <v>313</v>
      </c>
      <c r="C20" s="225" t="s">
        <v>109</v>
      </c>
      <c r="D20" s="225" t="s">
        <v>350</v>
      </c>
      <c r="E20" s="225" t="s">
        <v>351</v>
      </c>
      <c r="F20" s="225" t="s">
        <v>352</v>
      </c>
      <c r="H20" s="241" t="s">
        <v>316</v>
      </c>
      <c r="I20" s="241" t="s">
        <v>353</v>
      </c>
      <c r="J20" s="241" t="s">
        <v>354</v>
      </c>
      <c r="K20" s="241" t="s">
        <v>355</v>
      </c>
      <c r="L20" s="241" t="s">
        <v>356</v>
      </c>
      <c r="M20" s="241" t="s">
        <v>357</v>
      </c>
      <c r="O20" t="s">
        <v>358</v>
      </c>
      <c r="P20" t="s">
        <v>359</v>
      </c>
      <c r="Q20" t="s">
        <v>360</v>
      </c>
      <c r="R20" t="s">
        <v>361</v>
      </c>
      <c r="S20" t="s">
        <v>362</v>
      </c>
      <c r="T20" t="s">
        <v>363</v>
      </c>
      <c r="U20" t="s">
        <v>364</v>
      </c>
      <c r="V20" t="s">
        <v>365</v>
      </c>
      <c r="W20" t="s">
        <v>366</v>
      </c>
    </row>
    <row r="21" spans="1:28" x14ac:dyDescent="0.25">
      <c r="A21" t="s">
        <v>367</v>
      </c>
      <c r="B21" s="227">
        <f>115327/12000</f>
        <v>9.6105833333333326</v>
      </c>
      <c r="C21" t="s">
        <v>368</v>
      </c>
      <c r="D21" s="228">
        <v>11077</v>
      </c>
      <c r="E21" s="229">
        <v>33.6</v>
      </c>
      <c r="F21" t="s">
        <v>369</v>
      </c>
      <c r="H21" t="s">
        <v>209</v>
      </c>
      <c r="I21" t="s">
        <v>370</v>
      </c>
      <c r="J21" t="s">
        <v>371</v>
      </c>
      <c r="K21" t="s">
        <v>372</v>
      </c>
      <c r="L21">
        <v>1</v>
      </c>
      <c r="M21" s="242">
        <f>-(1-(L21/2088))</f>
        <v>-0.99952107279693492</v>
      </c>
      <c r="O21" t="s">
        <v>373</v>
      </c>
      <c r="P21" t="s">
        <v>374</v>
      </c>
      <c r="Q21" t="s">
        <v>375</v>
      </c>
      <c r="R21" t="s">
        <v>376</v>
      </c>
      <c r="S21" s="255">
        <v>0.375</v>
      </c>
      <c r="T21" s="255">
        <v>0.625</v>
      </c>
      <c r="U21" s="227">
        <f>22*3413/12000</f>
        <v>6.2571666666666665</v>
      </c>
      <c r="V21" s="227">
        <f>EEV_Selection[[#This Row],[Max Cap]]/10</f>
        <v>0.6257166666666667</v>
      </c>
      <c r="W21" s="256" t="s">
        <v>377</v>
      </c>
    </row>
    <row r="22" spans="1:28" x14ac:dyDescent="0.25">
      <c r="A22" t="s">
        <v>378</v>
      </c>
      <c r="B22" s="227">
        <f>115327/12000</f>
        <v>9.6105833333333326</v>
      </c>
      <c r="C22" t="s">
        <v>379</v>
      </c>
      <c r="D22" s="228">
        <v>11044</v>
      </c>
      <c r="E22" s="229">
        <v>20</v>
      </c>
      <c r="F22" t="s">
        <v>369</v>
      </c>
      <c r="H22" t="s">
        <v>380</v>
      </c>
      <c r="I22" t="s">
        <v>370</v>
      </c>
      <c r="J22" t="s">
        <v>381</v>
      </c>
      <c r="K22" t="s">
        <v>382</v>
      </c>
      <c r="L22">
        <v>3</v>
      </c>
      <c r="M22" s="242">
        <f t="shared" ref="M22:M27" si="2">-(1-(L22/2088))</f>
        <v>-0.99856321839080464</v>
      </c>
      <c r="O22" t="s">
        <v>373</v>
      </c>
      <c r="P22" t="s">
        <v>383</v>
      </c>
      <c r="Q22" t="s">
        <v>384</v>
      </c>
      <c r="R22" t="s">
        <v>385</v>
      </c>
      <c r="S22" s="255">
        <v>0.625</v>
      </c>
      <c r="T22" s="255">
        <v>0.625</v>
      </c>
      <c r="U22" s="227">
        <f>22*3413/12000</f>
        <v>6.2571666666666665</v>
      </c>
      <c r="V22" s="227">
        <f>EEV_Selection[[#This Row],[Max Cap]]/10</f>
        <v>0.6257166666666667</v>
      </c>
    </row>
    <row r="23" spans="1:28" x14ac:dyDescent="0.25">
      <c r="A23" t="s">
        <v>378</v>
      </c>
      <c r="B23" s="227">
        <f>115327/12000</f>
        <v>9.6105833333333326</v>
      </c>
      <c r="C23" t="s">
        <v>386</v>
      </c>
      <c r="D23" s="228">
        <v>11044</v>
      </c>
      <c r="E23" s="229">
        <v>23.9</v>
      </c>
      <c r="F23" t="s">
        <v>369</v>
      </c>
      <c r="H23" t="s">
        <v>183</v>
      </c>
      <c r="I23" t="s">
        <v>387</v>
      </c>
      <c r="J23" t="s">
        <v>388</v>
      </c>
      <c r="K23" t="s">
        <v>389</v>
      </c>
      <c r="L23">
        <v>7</v>
      </c>
      <c r="M23" s="242">
        <f t="shared" si="2"/>
        <v>-0.99664750957854409</v>
      </c>
      <c r="O23" t="s">
        <v>373</v>
      </c>
      <c r="P23" t="s">
        <v>390</v>
      </c>
      <c r="Q23" t="s">
        <v>391</v>
      </c>
      <c r="R23" t="s">
        <v>376</v>
      </c>
      <c r="S23" s="255">
        <v>0.625</v>
      </c>
      <c r="T23" s="255">
        <v>0.875</v>
      </c>
      <c r="U23" s="227">
        <f>67*3413/12000</f>
        <v>19.055916666666668</v>
      </c>
      <c r="V23" s="227">
        <f>EEV_Selection[[#This Row],[Max Cap]]/10</f>
        <v>1.9055916666666668</v>
      </c>
    </row>
    <row r="24" spans="1:28" x14ac:dyDescent="0.25">
      <c r="A24" t="s">
        <v>337</v>
      </c>
      <c r="B24" s="227">
        <f>160781/12000</f>
        <v>13.398416666666666</v>
      </c>
      <c r="C24" t="s">
        <v>368</v>
      </c>
      <c r="D24" s="228">
        <v>14125</v>
      </c>
      <c r="E24" s="229">
        <v>42.46</v>
      </c>
      <c r="F24" t="s">
        <v>369</v>
      </c>
      <c r="H24" t="s">
        <v>141</v>
      </c>
      <c r="I24" t="s">
        <v>392</v>
      </c>
      <c r="J24" t="s">
        <v>393</v>
      </c>
      <c r="K24" t="s">
        <v>389</v>
      </c>
      <c r="L24">
        <v>466</v>
      </c>
      <c r="M24" s="242">
        <f t="shared" si="2"/>
        <v>-0.77681992337164751</v>
      </c>
      <c r="O24" t="s">
        <v>373</v>
      </c>
      <c r="P24" t="s">
        <v>394</v>
      </c>
      <c r="Q24" t="s">
        <v>395</v>
      </c>
      <c r="R24" t="s">
        <v>385</v>
      </c>
      <c r="S24" s="255">
        <v>0.875</v>
      </c>
      <c r="T24" s="255">
        <v>0.875</v>
      </c>
      <c r="U24" s="227">
        <f>67*3413/12000</f>
        <v>19.055916666666668</v>
      </c>
      <c r="V24" s="227">
        <f>EEV_Selection[[#This Row],[Max Cap]]/10</f>
        <v>1.9055916666666668</v>
      </c>
      <c r="W24" s="256" t="s">
        <v>396</v>
      </c>
    </row>
    <row r="25" spans="1:28" x14ac:dyDescent="0.25">
      <c r="A25" t="s">
        <v>338</v>
      </c>
      <c r="B25" s="227">
        <f>160781/12000</f>
        <v>13.398416666666666</v>
      </c>
      <c r="C25" t="s">
        <v>386</v>
      </c>
      <c r="D25" s="228">
        <v>13392</v>
      </c>
      <c r="E25" s="229">
        <v>19.899999999999999</v>
      </c>
      <c r="F25" t="s">
        <v>369</v>
      </c>
      <c r="H25" t="s">
        <v>199</v>
      </c>
      <c r="I25" t="s">
        <v>397</v>
      </c>
      <c r="J25" t="s">
        <v>398</v>
      </c>
      <c r="K25" t="s">
        <v>372</v>
      </c>
      <c r="L25">
        <v>299</v>
      </c>
      <c r="M25" s="242">
        <f t="shared" si="2"/>
        <v>-0.85680076628352486</v>
      </c>
      <c r="O25" t="s">
        <v>373</v>
      </c>
      <c r="P25" t="s">
        <v>399</v>
      </c>
      <c r="Q25" t="s">
        <v>400</v>
      </c>
      <c r="R25" t="s">
        <v>376</v>
      </c>
      <c r="S25" s="255">
        <v>0.875</v>
      </c>
      <c r="T25" s="255">
        <v>1.125</v>
      </c>
      <c r="U25" s="227">
        <f>161*3413/12000</f>
        <v>45.791083333333333</v>
      </c>
      <c r="V25" s="227">
        <f>EEV_Selection[[#This Row],[Max Cap]]/10</f>
        <v>4.5791083333333331</v>
      </c>
    </row>
    <row r="26" spans="1:28" x14ac:dyDescent="0.25">
      <c r="A26" t="s">
        <v>338</v>
      </c>
      <c r="B26" s="227">
        <f>160781/12000</f>
        <v>13.398416666666666</v>
      </c>
      <c r="C26" t="s">
        <v>379</v>
      </c>
      <c r="D26" s="228">
        <v>13392</v>
      </c>
      <c r="E26" s="229">
        <v>16.600000000000001</v>
      </c>
      <c r="F26" t="s">
        <v>369</v>
      </c>
      <c r="H26" t="s">
        <v>165</v>
      </c>
      <c r="I26" t="s">
        <v>392</v>
      </c>
      <c r="J26" t="s">
        <v>401</v>
      </c>
      <c r="K26" t="s">
        <v>372</v>
      </c>
      <c r="L26">
        <v>573</v>
      </c>
      <c r="M26" s="242">
        <f t="shared" si="2"/>
        <v>-0.72557471264367823</v>
      </c>
      <c r="O26" t="s">
        <v>373</v>
      </c>
      <c r="P26" t="s">
        <v>402</v>
      </c>
      <c r="Q26" t="s">
        <v>403</v>
      </c>
      <c r="R26" t="s">
        <v>385</v>
      </c>
      <c r="S26" s="255">
        <v>1.125</v>
      </c>
      <c r="T26" s="255">
        <v>1.125</v>
      </c>
      <c r="U26" s="227">
        <f>161*3413/12000</f>
        <v>45.791083333333333</v>
      </c>
      <c r="V26" s="227">
        <f>EEV_Selection[[#This Row],[Max Cap]]/10</f>
        <v>4.5791083333333331</v>
      </c>
      <c r="W26" s="256" t="s">
        <v>404</v>
      </c>
    </row>
    <row r="27" spans="1:28" x14ac:dyDescent="0.25">
      <c r="A27" t="s">
        <v>339</v>
      </c>
      <c r="B27" s="227">
        <f>171559/12000</f>
        <v>14.296583333333333</v>
      </c>
      <c r="C27" t="s">
        <v>368</v>
      </c>
      <c r="D27" s="228">
        <v>15935</v>
      </c>
      <c r="E27" s="229">
        <v>52.5</v>
      </c>
      <c r="F27" t="s">
        <v>369</v>
      </c>
      <c r="H27" t="s">
        <v>218</v>
      </c>
      <c r="I27" t="s">
        <v>405</v>
      </c>
      <c r="J27" t="s">
        <v>388</v>
      </c>
      <c r="K27" t="s">
        <v>389</v>
      </c>
      <c r="L27">
        <v>675</v>
      </c>
      <c r="M27" s="242">
        <f t="shared" si="2"/>
        <v>-0.67672413793103448</v>
      </c>
      <c r="O27" t="s">
        <v>373</v>
      </c>
      <c r="P27" t="s">
        <v>406</v>
      </c>
      <c r="Q27" t="s">
        <v>407</v>
      </c>
      <c r="R27" t="s">
        <v>376</v>
      </c>
      <c r="S27" s="255">
        <v>1.125</v>
      </c>
      <c r="T27" s="255">
        <v>1.375</v>
      </c>
      <c r="U27" s="227">
        <f>441*3413/12000</f>
        <v>125.42775</v>
      </c>
      <c r="V27" s="227">
        <f>EEV_Selection[[#This Row],[Max Cap]]/10</f>
        <v>12.542775000000001</v>
      </c>
    </row>
    <row r="28" spans="1:28" x14ac:dyDescent="0.25">
      <c r="A28" t="s">
        <v>340</v>
      </c>
      <c r="B28" s="227">
        <f>171559/12000</f>
        <v>14.296583333333333</v>
      </c>
      <c r="C28" t="s">
        <v>379</v>
      </c>
      <c r="D28" s="228">
        <v>16104</v>
      </c>
      <c r="E28" s="229">
        <v>23.4</v>
      </c>
      <c r="F28" t="s">
        <v>369</v>
      </c>
      <c r="H28" s="239"/>
      <c r="O28" t="s">
        <v>373</v>
      </c>
      <c r="P28" t="s">
        <v>408</v>
      </c>
      <c r="Q28" t="s">
        <v>409</v>
      </c>
      <c r="R28" t="s">
        <v>385</v>
      </c>
      <c r="S28" s="255">
        <v>1.375</v>
      </c>
      <c r="T28" s="255">
        <v>1.375</v>
      </c>
      <c r="U28" s="227">
        <f>441*3413/12000</f>
        <v>125.42775</v>
      </c>
      <c r="V28" s="227">
        <f>EEV_Selection[[#This Row],[Max Cap]]/10</f>
        <v>12.542775000000001</v>
      </c>
      <c r="AA28" s="260"/>
      <c r="AB28" s="260"/>
    </row>
    <row r="29" spans="1:28" x14ac:dyDescent="0.25">
      <c r="A29" t="s">
        <v>340</v>
      </c>
      <c r="B29" s="227">
        <f>171559/12000</f>
        <v>14.296583333333333</v>
      </c>
      <c r="C29" t="s">
        <v>386</v>
      </c>
      <c r="D29" s="228">
        <v>16104</v>
      </c>
      <c r="E29" s="229">
        <v>28.05</v>
      </c>
      <c r="F29" t="s">
        <v>369</v>
      </c>
      <c r="H29" s="239"/>
      <c r="O29" t="s">
        <v>410</v>
      </c>
      <c r="P29" t="s">
        <v>411</v>
      </c>
      <c r="Q29" s="255"/>
      <c r="R29" t="s">
        <v>385</v>
      </c>
      <c r="S29" s="257">
        <v>0.5</v>
      </c>
      <c r="T29" s="257">
        <v>0.5</v>
      </c>
      <c r="U29" s="227">
        <v>34.700000000000003</v>
      </c>
      <c r="V29" s="227">
        <v>2.5659999999999998</v>
      </c>
    </row>
    <row r="30" spans="1:28" x14ac:dyDescent="0.25">
      <c r="A30" t="s">
        <v>341</v>
      </c>
      <c r="B30" s="227">
        <f>191358/12000</f>
        <v>15.9465</v>
      </c>
      <c r="C30" t="s">
        <v>368</v>
      </c>
      <c r="D30" s="228">
        <v>17908</v>
      </c>
      <c r="E30" s="229">
        <v>53.54</v>
      </c>
      <c r="F30" t="s">
        <v>369</v>
      </c>
      <c r="H30" s="317"/>
      <c r="O30" t="s">
        <v>410</v>
      </c>
      <c r="P30" t="s">
        <v>412</v>
      </c>
      <c r="R30" t="s">
        <v>385</v>
      </c>
      <c r="S30" s="255">
        <v>0.625</v>
      </c>
      <c r="T30" s="255">
        <v>0.625</v>
      </c>
      <c r="U30" s="227">
        <v>36.92</v>
      </c>
      <c r="V30" s="227">
        <v>1.714</v>
      </c>
    </row>
    <row r="31" spans="1:28" x14ac:dyDescent="0.25">
      <c r="A31" t="s">
        <v>342</v>
      </c>
      <c r="B31" s="227">
        <f>191358/12000</f>
        <v>15.9465</v>
      </c>
      <c r="C31" t="s">
        <v>386</v>
      </c>
      <c r="D31" s="228">
        <v>17791</v>
      </c>
      <c r="E31" s="229">
        <v>29.86</v>
      </c>
      <c r="F31" t="s">
        <v>369</v>
      </c>
      <c r="H31" s="239"/>
      <c r="O31" t="s">
        <v>410</v>
      </c>
      <c r="P31" t="s">
        <v>413</v>
      </c>
      <c r="R31" t="s">
        <v>385</v>
      </c>
      <c r="S31" s="255">
        <v>0.82499999999999996</v>
      </c>
      <c r="T31" s="255">
        <v>0.82499999999999996</v>
      </c>
      <c r="U31" s="227">
        <v>39.19</v>
      </c>
      <c r="V31" s="227">
        <v>1.8</v>
      </c>
      <c r="W31" s="256" t="s">
        <v>414</v>
      </c>
    </row>
    <row r="32" spans="1:28" x14ac:dyDescent="0.25">
      <c r="A32" t="s">
        <v>342</v>
      </c>
      <c r="B32" s="227">
        <f>191358/12000</f>
        <v>15.9465</v>
      </c>
      <c r="C32" t="s">
        <v>379</v>
      </c>
      <c r="D32" s="228">
        <v>17791</v>
      </c>
      <c r="E32" s="229">
        <v>24.9</v>
      </c>
      <c r="F32" t="s">
        <v>369</v>
      </c>
      <c r="H32" s="317"/>
      <c r="O32" t="s">
        <v>410</v>
      </c>
      <c r="P32" t="s">
        <v>415</v>
      </c>
      <c r="R32" t="s">
        <v>385</v>
      </c>
      <c r="S32" s="257">
        <v>0.5</v>
      </c>
      <c r="T32" s="257">
        <v>0.5</v>
      </c>
      <c r="U32" s="227">
        <v>49.49</v>
      </c>
      <c r="V32" s="227">
        <v>3.72</v>
      </c>
    </row>
    <row r="33" spans="1:23" x14ac:dyDescent="0.25">
      <c r="A33" t="s">
        <v>416</v>
      </c>
      <c r="B33" s="227">
        <f>197196.7/12000</f>
        <v>16.433058333333335</v>
      </c>
      <c r="C33" t="s">
        <v>379</v>
      </c>
      <c r="D33" s="228">
        <v>21296</v>
      </c>
      <c r="E33" s="229">
        <v>29.09</v>
      </c>
      <c r="F33" t="s">
        <v>369</v>
      </c>
      <c r="H33" s="239"/>
      <c r="O33" t="s">
        <v>410</v>
      </c>
      <c r="P33" t="s">
        <v>417</v>
      </c>
      <c r="R33" t="s">
        <v>385</v>
      </c>
      <c r="S33" s="255">
        <v>0.625</v>
      </c>
      <c r="T33" s="255">
        <v>0.625</v>
      </c>
      <c r="U33" s="227">
        <v>52.01</v>
      </c>
      <c r="V33" s="227">
        <v>4.34</v>
      </c>
    </row>
    <row r="34" spans="1:23" x14ac:dyDescent="0.25">
      <c r="A34" t="s">
        <v>416</v>
      </c>
      <c r="B34" s="227">
        <f>197196.7/12000</f>
        <v>16.433058333333335</v>
      </c>
      <c r="C34" t="s">
        <v>386</v>
      </c>
      <c r="D34" s="228">
        <v>21296</v>
      </c>
      <c r="E34" s="229">
        <v>34.85</v>
      </c>
      <c r="F34" t="s">
        <v>369</v>
      </c>
      <c r="H34" s="239"/>
      <c r="O34" t="s">
        <v>410</v>
      </c>
      <c r="P34" t="s">
        <v>418</v>
      </c>
      <c r="R34" t="s">
        <v>385</v>
      </c>
      <c r="S34" s="258">
        <v>0.75</v>
      </c>
      <c r="T34" s="258">
        <v>0.75</v>
      </c>
      <c r="U34" s="227">
        <v>64.02</v>
      </c>
      <c r="V34" s="227">
        <v>5.31</v>
      </c>
    </row>
    <row r="35" spans="1:23" x14ac:dyDescent="0.25">
      <c r="A35" s="259" t="s">
        <v>345</v>
      </c>
      <c r="B35" s="227">
        <f>161.5/12</f>
        <v>13.458333333333334</v>
      </c>
      <c r="C35" t="s">
        <v>368</v>
      </c>
      <c r="D35" s="228">
        <v>15450</v>
      </c>
      <c r="E35" s="229">
        <v>43.5</v>
      </c>
      <c r="F35" t="s">
        <v>369</v>
      </c>
      <c r="H35" s="239"/>
    </row>
    <row r="36" spans="1:23" x14ac:dyDescent="0.25">
      <c r="A36" s="259" t="s">
        <v>346</v>
      </c>
      <c r="B36" s="227">
        <f>156000/12000</f>
        <v>13</v>
      </c>
      <c r="C36" t="s">
        <v>386</v>
      </c>
      <c r="D36" s="228">
        <v>14800</v>
      </c>
      <c r="E36" s="229">
        <f>20*460/480</f>
        <v>19.166666666666668</v>
      </c>
      <c r="F36" t="s">
        <v>369</v>
      </c>
      <c r="H36" s="317"/>
    </row>
    <row r="37" spans="1:23" x14ac:dyDescent="0.25">
      <c r="A37" s="259" t="s">
        <v>346</v>
      </c>
      <c r="B37" s="227">
        <f>156000/12000</f>
        <v>13</v>
      </c>
      <c r="C37" t="s">
        <v>379</v>
      </c>
      <c r="D37" s="228">
        <v>14800</v>
      </c>
      <c r="E37" s="229">
        <f>20*460/575</f>
        <v>16</v>
      </c>
      <c r="F37" t="s">
        <v>369</v>
      </c>
      <c r="H37" s="239"/>
    </row>
    <row r="38" spans="1:23" x14ac:dyDescent="0.25">
      <c r="A38" t="s">
        <v>347</v>
      </c>
      <c r="B38" s="227">
        <f>223/12</f>
        <v>18.583333333333332</v>
      </c>
      <c r="C38" t="s">
        <v>368</v>
      </c>
      <c r="D38" s="228">
        <v>22200</v>
      </c>
      <c r="E38" s="229">
        <v>80.599999999999994</v>
      </c>
      <c r="F38" t="s">
        <v>369</v>
      </c>
      <c r="H38" s="317"/>
    </row>
    <row r="39" spans="1:23" x14ac:dyDescent="0.25">
      <c r="A39" t="s">
        <v>348</v>
      </c>
      <c r="B39" s="227">
        <f>224/12</f>
        <v>18.666666666666668</v>
      </c>
      <c r="C39" t="s">
        <v>386</v>
      </c>
      <c r="D39" s="228">
        <v>22800</v>
      </c>
      <c r="E39" s="229">
        <f>39.9*460/480</f>
        <v>38.237499999999997</v>
      </c>
      <c r="F39" t="s">
        <v>369</v>
      </c>
      <c r="H39" s="239"/>
      <c r="U39" t="s">
        <v>344</v>
      </c>
    </row>
    <row r="40" spans="1:23" x14ac:dyDescent="0.25">
      <c r="A40" t="s">
        <v>348</v>
      </c>
      <c r="B40" s="227">
        <f>224/12</f>
        <v>18.666666666666668</v>
      </c>
      <c r="C40" t="s">
        <v>379</v>
      </c>
      <c r="D40" s="228">
        <v>22800</v>
      </c>
      <c r="E40" s="229">
        <f>39.9*460/575</f>
        <v>31.92</v>
      </c>
      <c r="F40" t="s">
        <v>369</v>
      </c>
      <c r="H40" s="239"/>
      <c r="O40" t="s">
        <v>419</v>
      </c>
    </row>
    <row r="41" spans="1:23" hidden="1" x14ac:dyDescent="0.25">
      <c r="A41" t="s">
        <v>367</v>
      </c>
      <c r="B41" s="227">
        <f>115327/12000</f>
        <v>9.6105833333333326</v>
      </c>
      <c r="C41" t="s">
        <v>368</v>
      </c>
      <c r="D41" s="228">
        <v>10139</v>
      </c>
      <c r="E41" s="229">
        <v>31.19</v>
      </c>
      <c r="F41" t="s">
        <v>420</v>
      </c>
      <c r="H41" s="239"/>
      <c r="O41" t="s">
        <v>421</v>
      </c>
      <c r="P41" t="s">
        <v>422</v>
      </c>
      <c r="Q41" t="s">
        <v>423</v>
      </c>
      <c r="R41" t="s">
        <v>344</v>
      </c>
      <c r="S41" t="s">
        <v>424</v>
      </c>
      <c r="T41" t="s">
        <v>425</v>
      </c>
      <c r="U41" t="s">
        <v>426</v>
      </c>
    </row>
    <row r="42" spans="1:23" hidden="1" x14ac:dyDescent="0.25">
      <c r="A42" t="s">
        <v>378</v>
      </c>
      <c r="B42" s="227">
        <f>115327/12000</f>
        <v>9.6105833333333326</v>
      </c>
      <c r="C42" t="s">
        <v>379</v>
      </c>
      <c r="D42" s="228">
        <v>10474</v>
      </c>
      <c r="E42" s="229">
        <v>19.100000000000001</v>
      </c>
      <c r="F42" t="s">
        <v>420</v>
      </c>
      <c r="H42" s="317"/>
      <c r="O42" s="255">
        <v>0.625</v>
      </c>
      <c r="P42" s="255" t="str">
        <f>"Ball Valve "&amp;Table2[[#This Row],[Size]]</f>
        <v>Ball Valve 0,625</v>
      </c>
      <c r="Q42">
        <v>445</v>
      </c>
      <c r="R42" t="s">
        <v>427</v>
      </c>
      <c r="S42" t="s">
        <v>428</v>
      </c>
      <c r="T42" t="s">
        <v>428</v>
      </c>
      <c r="U42" t="str">
        <f>Table2[[#This Row],[Name]]&amp;" "&amp;$U$39&amp;" "&amp;INDEX(Table2[[Danfos]:[CB Supplies]],MATCH(Table2[[#This Row],[Name]],Table2[Name],0),MATCH($U$39,Table2[[#Headers],[Danfos]:[CB Supplies]],0))</f>
        <v>Ball Valve 0,625 Copeland eer</v>
      </c>
    </row>
    <row r="43" spans="1:23" hidden="1" x14ac:dyDescent="0.25">
      <c r="A43" t="s">
        <v>378</v>
      </c>
      <c r="B43" s="227">
        <f>115327/12000</f>
        <v>9.6105833333333326</v>
      </c>
      <c r="C43" t="s">
        <v>386</v>
      </c>
      <c r="D43" s="228">
        <v>10474</v>
      </c>
      <c r="E43" s="229">
        <v>22.9</v>
      </c>
      <c r="F43" t="s">
        <v>420</v>
      </c>
      <c r="H43" s="239"/>
      <c r="O43" s="255">
        <v>0.82499999999999996</v>
      </c>
      <c r="P43" s="255" t="str">
        <f>"Ball Valve "&amp;Table2[[#This Row],[Size]]</f>
        <v>Ball Valve 0,825</v>
      </c>
      <c r="Q43">
        <v>234</v>
      </c>
      <c r="R43" t="s">
        <v>428</v>
      </c>
      <c r="S43" t="s">
        <v>428</v>
      </c>
      <c r="U43" t="str">
        <f>Table2[[#This Row],[Name]]&amp;" "&amp;$U$39&amp;" "&amp;INDEX(Table2[[Danfos]:[CB Supplies]],MATCH(Table2[[#This Row],[Name]],Table2[Name],0),MATCH($U$39,Table2[[#Headers],[Danfos]:[CB Supplies]],0))</f>
        <v>Ball Valve 0,825 Copeland ere</v>
      </c>
      <c r="W43" t="s">
        <v>349</v>
      </c>
    </row>
    <row r="44" spans="1:23" hidden="1" x14ac:dyDescent="0.25">
      <c r="A44" t="s">
        <v>337</v>
      </c>
      <c r="B44" s="227">
        <f>160781/12000</f>
        <v>13.398416666666666</v>
      </c>
      <c r="C44" t="s">
        <v>368</v>
      </c>
      <c r="D44" s="228">
        <v>13407</v>
      </c>
      <c r="E44" s="229">
        <v>40</v>
      </c>
      <c r="F44" t="s">
        <v>420</v>
      </c>
      <c r="H44" s="317"/>
      <c r="O44" s="255">
        <v>1.125</v>
      </c>
      <c r="P44" s="255" t="str">
        <f>"Ball Valve "&amp;Table2[[#This Row],[Size]]</f>
        <v>Ball Valve 1,125</v>
      </c>
      <c r="U44" t="str">
        <f>Table2[[#This Row],[Name]]&amp;" "&amp;$U$39&amp;" "&amp;INDEX(Table2[[Danfos]:[CB Supplies]],MATCH(Table2[[#This Row],[Name]],Table2[Name],0),MATCH($U$39,Table2[[#Headers],[Danfos]:[CB Supplies]],0))</f>
        <v xml:space="preserve">Ball Valve 1,125 Copeland </v>
      </c>
      <c r="W44" t="s">
        <v>429</v>
      </c>
    </row>
    <row r="45" spans="1:23" hidden="1" x14ac:dyDescent="0.25">
      <c r="A45" t="s">
        <v>338</v>
      </c>
      <c r="B45" s="227">
        <f>160781/12000</f>
        <v>13.398416666666666</v>
      </c>
      <c r="C45" t="s">
        <v>386</v>
      </c>
      <c r="D45" s="228">
        <v>12689</v>
      </c>
      <c r="E45" s="229">
        <v>18.850000000000001</v>
      </c>
      <c r="F45" t="s">
        <v>420</v>
      </c>
      <c r="H45" s="239"/>
      <c r="O45" s="255">
        <v>1.375</v>
      </c>
      <c r="P45" s="255" t="str">
        <f>"Ball Valve "&amp;Table2[[#This Row],[Size]]</f>
        <v>Ball Valve 1,375</v>
      </c>
      <c r="U45" t="str">
        <f>Table2[[#This Row],[Name]]&amp;" "&amp;$U$39&amp;" "&amp;INDEX(Table2[[Danfos]:[CB Supplies]],MATCH(Table2[[#This Row],[Name]],Table2[Name],0),MATCH($U$39,Table2[[#Headers],[Danfos]:[CB Supplies]],0))</f>
        <v xml:space="preserve">Ball Valve 1,375 Copeland </v>
      </c>
      <c r="W45" t="s">
        <v>419</v>
      </c>
    </row>
    <row r="46" spans="1:23" hidden="1" x14ac:dyDescent="0.25">
      <c r="A46" t="s">
        <v>338</v>
      </c>
      <c r="B46" s="227">
        <f>160781/12000</f>
        <v>13.398416666666666</v>
      </c>
      <c r="C46" t="s">
        <v>379</v>
      </c>
      <c r="D46" s="228">
        <v>12689</v>
      </c>
      <c r="E46" s="229">
        <v>15.7</v>
      </c>
      <c r="F46" t="s">
        <v>420</v>
      </c>
      <c r="H46" s="239"/>
      <c r="O46" s="255">
        <v>1.625</v>
      </c>
      <c r="P46" s="255" t="str">
        <f>"Ball Valve "&amp;Table2[[#This Row],[Size]]</f>
        <v>Ball Valve 1,625</v>
      </c>
      <c r="U46" t="str">
        <f>Table2[[#This Row],[Name]]&amp;" "&amp;$U$39&amp;" "&amp;INDEX(Table2[[Danfos]:[CB Supplies]],MATCH(Table2[[#This Row],[Name]],Table2[Name],0),MATCH($U$39,Table2[[#Headers],[Danfos]:[CB Supplies]],0))</f>
        <v xml:space="preserve">Ball Valve 1,625 Copeland </v>
      </c>
      <c r="W46" t="s">
        <v>430</v>
      </c>
    </row>
    <row r="47" spans="1:23" hidden="1" x14ac:dyDescent="0.25">
      <c r="A47" t="s">
        <v>339</v>
      </c>
      <c r="B47" s="227">
        <f>171559/12000</f>
        <v>14.296583333333333</v>
      </c>
      <c r="C47" t="s">
        <v>368</v>
      </c>
      <c r="D47" s="228">
        <v>14982</v>
      </c>
      <c r="E47" s="229">
        <v>47.99</v>
      </c>
      <c r="F47" t="s">
        <v>420</v>
      </c>
      <c r="H47" s="239"/>
      <c r="O47" s="255">
        <v>2.125</v>
      </c>
      <c r="P47" s="255" t="str">
        <f>"Ball Valve "&amp;Table2[[#This Row],[Size]]</f>
        <v>Ball Valve 2,125</v>
      </c>
      <c r="U47" t="str">
        <f>Table2[[#This Row],[Name]]&amp;" "&amp;$U$39&amp;" "&amp;INDEX(Table2[[Danfos]:[CB Supplies]],MATCH(Table2[[#This Row],[Name]],Table2[Name],0),MATCH($U$39,Table2[[#Headers],[Danfos]:[CB Supplies]],0))</f>
        <v xml:space="preserve">Ball Valve 2,125 Copeland </v>
      </c>
      <c r="W47" t="s">
        <v>431</v>
      </c>
    </row>
    <row r="48" spans="1:23" hidden="1" x14ac:dyDescent="0.25">
      <c r="A48" t="s">
        <v>340</v>
      </c>
      <c r="B48" s="227">
        <f>171559/12000</f>
        <v>14.296583333333333</v>
      </c>
      <c r="C48" t="s">
        <v>379</v>
      </c>
      <c r="D48" s="228">
        <v>15250</v>
      </c>
      <c r="E48" s="229">
        <v>22.18</v>
      </c>
      <c r="F48" t="s">
        <v>420</v>
      </c>
      <c r="H48" s="317"/>
      <c r="W48" t="s">
        <v>432</v>
      </c>
    </row>
    <row r="49" spans="1:26" hidden="1" x14ac:dyDescent="0.25">
      <c r="A49" t="s">
        <v>340</v>
      </c>
      <c r="B49" s="227">
        <f>171559/12000</f>
        <v>14.296583333333333</v>
      </c>
      <c r="C49" t="s">
        <v>386</v>
      </c>
      <c r="D49" s="228">
        <v>15250</v>
      </c>
      <c r="E49" s="229">
        <v>26.57</v>
      </c>
      <c r="F49" t="s">
        <v>420</v>
      </c>
      <c r="H49" s="240"/>
      <c r="O49" t="s">
        <v>430</v>
      </c>
      <c r="W49" t="s">
        <v>433</v>
      </c>
    </row>
    <row r="50" spans="1:26" hidden="1" x14ac:dyDescent="0.25">
      <c r="A50" t="s">
        <v>341</v>
      </c>
      <c r="B50" s="227">
        <f>191358/12000</f>
        <v>15.9465</v>
      </c>
      <c r="C50" t="s">
        <v>368</v>
      </c>
      <c r="D50" s="228">
        <v>13687</v>
      </c>
      <c r="E50" s="229">
        <v>48.58</v>
      </c>
      <c r="F50" t="s">
        <v>420</v>
      </c>
      <c r="H50" s="317"/>
      <c r="O50" t="s">
        <v>421</v>
      </c>
      <c r="P50" t="s">
        <v>422</v>
      </c>
      <c r="Q50" t="s">
        <v>423</v>
      </c>
      <c r="R50" t="s">
        <v>344</v>
      </c>
      <c r="S50" t="s">
        <v>424</v>
      </c>
      <c r="T50" t="s">
        <v>425</v>
      </c>
      <c r="U50" t="s">
        <v>426</v>
      </c>
      <c r="W50" t="s">
        <v>434</v>
      </c>
    </row>
    <row r="51" spans="1:26" hidden="1" x14ac:dyDescent="0.25">
      <c r="A51" t="s">
        <v>342</v>
      </c>
      <c r="B51" s="227">
        <f>191358/12000</f>
        <v>15.9465</v>
      </c>
      <c r="C51" t="s">
        <v>386</v>
      </c>
      <c r="D51" s="228">
        <v>16845</v>
      </c>
      <c r="E51" s="229">
        <v>28.19</v>
      </c>
      <c r="F51" t="s">
        <v>420</v>
      </c>
      <c r="O51" s="255">
        <v>0.625</v>
      </c>
      <c r="P51" s="255" t="str">
        <f>"Check Valve "&amp;Table25[[#This Row],[Size]]</f>
        <v>Check Valve 0,625</v>
      </c>
      <c r="Q51">
        <v>445</v>
      </c>
      <c r="R51" t="s">
        <v>427</v>
      </c>
      <c r="S51" t="s">
        <v>428</v>
      </c>
      <c r="T51" t="s">
        <v>428</v>
      </c>
      <c r="U51" t="str">
        <f>Table25[[#This Row],[Name]]&amp;" "&amp;$U$39&amp;" "&amp;INDEX(Table25[[Danfos]:[CB Supplies]],MATCH(Table25[[#This Row],[Name]],Table25[Name],0),MATCH($U$39,Table25[[#Headers],[Danfos]:[CB Supplies]],0))</f>
        <v>Check Valve 0,625 Copeland eer</v>
      </c>
    </row>
    <row r="52" spans="1:26" hidden="1" x14ac:dyDescent="0.25">
      <c r="A52" t="s">
        <v>342</v>
      </c>
      <c r="B52" s="227">
        <f>191358/12000</f>
        <v>15.9465</v>
      </c>
      <c r="C52" t="s">
        <v>379</v>
      </c>
      <c r="D52" s="228">
        <v>16845</v>
      </c>
      <c r="E52" s="229">
        <v>23.5</v>
      </c>
      <c r="F52" t="s">
        <v>420</v>
      </c>
      <c r="O52" s="255">
        <v>0.82499999999999996</v>
      </c>
      <c r="P52" s="255" t="str">
        <f>"Check Valve "&amp;Table25[[#This Row],[Size]]</f>
        <v>Check Valve 0,825</v>
      </c>
      <c r="Q52">
        <v>234</v>
      </c>
      <c r="R52" t="s">
        <v>428</v>
      </c>
      <c r="S52" t="s">
        <v>428</v>
      </c>
      <c r="U52" t="str">
        <f>Table25[[#This Row],[Name]]&amp;" "&amp;$U$39&amp;" "&amp;INDEX(Table25[[Danfos]:[CB Supplies]],MATCH(Table25[[#This Row],[Name]],Table25[Name],0),MATCH($U$39,Table25[[#Headers],[Danfos]:[CB Supplies]],0))</f>
        <v>Check Valve 0,825 Copeland ere</v>
      </c>
    </row>
    <row r="53" spans="1:26" hidden="1" x14ac:dyDescent="0.25">
      <c r="A53" t="s">
        <v>416</v>
      </c>
      <c r="B53" s="227">
        <f>197196.7/12000</f>
        <v>16.433058333333335</v>
      </c>
      <c r="C53" t="s">
        <v>379</v>
      </c>
      <c r="D53" s="228">
        <v>20112</v>
      </c>
      <c r="E53" s="229">
        <v>27.47</v>
      </c>
      <c r="F53" t="s">
        <v>420</v>
      </c>
      <c r="O53" s="255">
        <v>1.125</v>
      </c>
      <c r="P53" s="255" t="str">
        <f>"Check Valve "&amp;Table25[[#This Row],[Size]]</f>
        <v>Check Valve 1,125</v>
      </c>
      <c r="U53" t="str">
        <f>Table25[[#This Row],[Name]]&amp;" "&amp;$U$39&amp;" "&amp;INDEX(Table25[[Danfos]:[CB Supplies]],MATCH(Table25[[#This Row],[Name]],Table25[Name],0),MATCH($U$39,Table25[[#Headers],[Danfos]:[CB Supplies]],0))</f>
        <v xml:space="preserve">Check Valve 1,125 Copeland </v>
      </c>
    </row>
    <row r="54" spans="1:26" hidden="1" x14ac:dyDescent="0.25">
      <c r="A54" t="s">
        <v>416</v>
      </c>
      <c r="B54" s="227">
        <f>197196.7/12000</f>
        <v>16.433058333333335</v>
      </c>
      <c r="C54" t="s">
        <v>386</v>
      </c>
      <c r="D54" s="228">
        <v>20112</v>
      </c>
      <c r="E54" s="229">
        <v>32.909999999999997</v>
      </c>
      <c r="F54" t="s">
        <v>420</v>
      </c>
      <c r="O54" s="255">
        <v>1.375</v>
      </c>
      <c r="P54" s="255" t="str">
        <f>"Check Valve "&amp;Table25[[#This Row],[Size]]</f>
        <v>Check Valve 1,375</v>
      </c>
      <c r="U54" t="str">
        <f>Table25[[#This Row],[Name]]&amp;" "&amp;$U$39&amp;" "&amp;INDEX(Table25[[Danfos]:[CB Supplies]],MATCH(Table25[[#This Row],[Name]],Table25[Name],0),MATCH($U$39,Table25[[#Headers],[Danfos]:[CB Supplies]],0))</f>
        <v xml:space="preserve">Check Valve 1,375 Copeland </v>
      </c>
    </row>
    <row r="55" spans="1:26" hidden="1" x14ac:dyDescent="0.25">
      <c r="A55" s="259" t="s">
        <v>345</v>
      </c>
      <c r="B55" s="227">
        <f>161.5/12</f>
        <v>13.458333333333334</v>
      </c>
      <c r="C55" t="s">
        <v>368</v>
      </c>
      <c r="D55" s="228">
        <v>14400</v>
      </c>
      <c r="E55" s="229">
        <v>40.4</v>
      </c>
      <c r="F55" t="s">
        <v>420</v>
      </c>
      <c r="O55" s="255">
        <v>1.625</v>
      </c>
      <c r="P55" s="255" t="str">
        <f>"Check Valve "&amp;Table25[[#This Row],[Size]]</f>
        <v>Check Valve 1,625</v>
      </c>
      <c r="U55" t="str">
        <f>Table25[[#This Row],[Name]]&amp;" "&amp;$U$39&amp;" "&amp;INDEX(Table25[[Danfos]:[CB Supplies]],MATCH(Table25[[#This Row],[Name]],Table25[Name],0),MATCH($U$39,Table25[[#Headers],[Danfos]:[CB Supplies]],0))</f>
        <v xml:space="preserve">Check Valve 1,625 Copeland </v>
      </c>
    </row>
    <row r="56" spans="1:26" hidden="1" x14ac:dyDescent="0.25">
      <c r="A56" s="259" t="s">
        <v>346</v>
      </c>
      <c r="B56" s="227">
        <f>156000/12000</f>
        <v>13</v>
      </c>
      <c r="C56" t="s">
        <v>386</v>
      </c>
      <c r="D56" s="228">
        <v>14100</v>
      </c>
      <c r="E56" s="229">
        <f>19*460/480</f>
        <v>18.208333333333332</v>
      </c>
      <c r="F56" t="s">
        <v>420</v>
      </c>
      <c r="O56" s="255">
        <v>2.125</v>
      </c>
      <c r="P56" s="255" t="str">
        <f>"Check Valve "&amp;Table25[[#This Row],[Size]]</f>
        <v>Check Valve 2,125</v>
      </c>
      <c r="U56" t="str">
        <f>Table25[[#This Row],[Name]]&amp;" "&amp;$U$39&amp;" "&amp;INDEX(Table25[[Danfos]:[CB Supplies]],MATCH(Table25[[#This Row],[Name]],Table25[Name],0),MATCH($U$39,Table25[[#Headers],[Danfos]:[CB Supplies]],0))</f>
        <v xml:space="preserve">Check Valve 2,125 Copeland </v>
      </c>
    </row>
    <row r="57" spans="1:26" hidden="1" x14ac:dyDescent="0.25">
      <c r="A57" s="259" t="s">
        <v>346</v>
      </c>
      <c r="B57" s="227">
        <f>156000/12000</f>
        <v>13</v>
      </c>
      <c r="C57" t="s">
        <v>379</v>
      </c>
      <c r="D57" s="228">
        <v>14100</v>
      </c>
      <c r="E57" s="229">
        <f>19*460/575</f>
        <v>15.2</v>
      </c>
      <c r="F57" t="s">
        <v>420</v>
      </c>
    </row>
    <row r="58" spans="1:26" hidden="1" x14ac:dyDescent="0.25">
      <c r="A58" t="s">
        <v>347</v>
      </c>
      <c r="B58" s="227">
        <f>223/12</f>
        <v>18.583333333333332</v>
      </c>
      <c r="C58" t="s">
        <v>368</v>
      </c>
      <c r="D58" s="228">
        <v>21600</v>
      </c>
      <c r="E58" s="229">
        <v>74.099999999999994</v>
      </c>
      <c r="F58" t="s">
        <v>420</v>
      </c>
    </row>
    <row r="59" spans="1:26" hidden="1" x14ac:dyDescent="0.25">
      <c r="A59" t="s">
        <v>348</v>
      </c>
      <c r="B59" s="227">
        <f>224/12</f>
        <v>18.666666666666668</v>
      </c>
      <c r="C59" t="s">
        <v>386</v>
      </c>
      <c r="D59" s="228">
        <v>21400</v>
      </c>
      <c r="E59" s="229">
        <f>36.7*460/480</f>
        <v>35.170833333333334</v>
      </c>
      <c r="F59" t="s">
        <v>420</v>
      </c>
    </row>
    <row r="60" spans="1:26" hidden="1" x14ac:dyDescent="0.25">
      <c r="A60" t="s">
        <v>348</v>
      </c>
      <c r="B60" s="227">
        <f>224/12</f>
        <v>18.666666666666668</v>
      </c>
      <c r="C60" t="s">
        <v>379</v>
      </c>
      <c r="D60" s="228">
        <v>21400</v>
      </c>
      <c r="E60" s="229">
        <f>36.7*460/575</f>
        <v>29.36</v>
      </c>
      <c r="F60" t="s">
        <v>420</v>
      </c>
    </row>
    <row r="64" spans="1:26" x14ac:dyDescent="0.25">
      <c r="A64" s="225" t="s">
        <v>313</v>
      </c>
      <c r="B64" s="225" t="s">
        <v>435</v>
      </c>
      <c r="C64" s="225" t="s">
        <v>436</v>
      </c>
      <c r="D64" s="225" t="s">
        <v>437</v>
      </c>
      <c r="E64" s="225" t="s">
        <v>438</v>
      </c>
      <c r="F64" s="225" t="s">
        <v>316</v>
      </c>
      <c r="G64" s="225" t="s">
        <v>439</v>
      </c>
      <c r="H64" s="225" t="s">
        <v>63</v>
      </c>
      <c r="I64" s="225" t="s">
        <v>440</v>
      </c>
      <c r="J64" s="225" t="s">
        <v>441</v>
      </c>
      <c r="K64" s="225" t="s">
        <v>66</v>
      </c>
      <c r="L64" s="225" t="s">
        <v>442</v>
      </c>
      <c r="M64" s="225" t="s">
        <v>118</v>
      </c>
      <c r="N64" s="225" t="s">
        <v>443</v>
      </c>
      <c r="O64" s="225" t="s">
        <v>444</v>
      </c>
      <c r="P64" s="225" t="s">
        <v>445</v>
      </c>
      <c r="Q64" s="225" t="s">
        <v>446</v>
      </c>
      <c r="U64" t="s">
        <v>117</v>
      </c>
      <c r="V64" t="s">
        <v>447</v>
      </c>
      <c r="W64" t="s">
        <v>448</v>
      </c>
      <c r="X64" t="s">
        <v>449</v>
      </c>
      <c r="Y64" t="s">
        <v>450</v>
      </c>
      <c r="Z64" t="s">
        <v>451</v>
      </c>
    </row>
    <row r="65" spans="1:26" x14ac:dyDescent="0.25">
      <c r="A65" s="291">
        <v>18</v>
      </c>
      <c r="B65" t="s">
        <v>144</v>
      </c>
      <c r="C65" t="s">
        <v>145</v>
      </c>
      <c r="D65" s="292">
        <f>219</f>
        <v>219</v>
      </c>
      <c r="E65" s="292"/>
      <c r="F65" t="s">
        <v>141</v>
      </c>
      <c r="G65" s="293">
        <v>100</v>
      </c>
      <c r="H65" s="293">
        <v>41</v>
      </c>
      <c r="I65" s="293">
        <v>5</v>
      </c>
      <c r="J65" s="293" t="s">
        <v>452</v>
      </c>
      <c r="K65" s="293" t="s">
        <v>452</v>
      </c>
      <c r="L65" s="293" t="s">
        <v>452</v>
      </c>
      <c r="M65" s="294" t="s">
        <v>143</v>
      </c>
      <c r="N65" s="293">
        <v>54</v>
      </c>
      <c r="O65" s="293">
        <v>44</v>
      </c>
      <c r="P65" s="295">
        <f>Capacity_Selection[[#This Row],[Evaporator Capacity]]/12</f>
        <v>18.25</v>
      </c>
      <c r="Q65" s="296">
        <f>Capacity_Selection[[#This Row],[Condenser Capacity]]/3.413</f>
        <v>0</v>
      </c>
      <c r="U65" t="s">
        <v>142</v>
      </c>
      <c r="V65" s="312" t="str">
        <f t="shared" ref="V65" si="3">HYPERLINK("#CU_BMS_Input", "CU_BMS_Input")</f>
        <v>CU_BMS_Input</v>
      </c>
      <c r="W65" s="312" t="str">
        <f t="shared" ref="W65" si="4">HYPERLINK("#CU_Circuit_input", "CU_Circuit_input")</f>
        <v>CU_Circuit_input</v>
      </c>
      <c r="X65" s="311" t="s">
        <v>453</v>
      </c>
      <c r="Y65" s="312" t="str">
        <f t="shared" ref="Y65" si="5">HYPERLINK("#CU_Circuit_output", "CU_Circuit_output")</f>
        <v>CU_Circuit_output</v>
      </c>
      <c r="Z65" s="312" t="str">
        <f t="shared" ref="Z65" si="6">HYPERLINK("#CU_Global_output", "CU_Global_Output")</f>
        <v>CU_Global_Output</v>
      </c>
    </row>
    <row r="66" spans="1:26" x14ac:dyDescent="0.25">
      <c r="A66" s="291">
        <v>25</v>
      </c>
      <c r="B66" t="s">
        <v>144</v>
      </c>
      <c r="C66" t="s">
        <v>145</v>
      </c>
      <c r="D66" s="292">
        <f>147*2</f>
        <v>294</v>
      </c>
      <c r="E66" s="292"/>
      <c r="F66" t="s">
        <v>141</v>
      </c>
      <c r="G66" s="293">
        <v>100</v>
      </c>
      <c r="H66" s="293">
        <v>41</v>
      </c>
      <c r="I66" s="293">
        <v>5</v>
      </c>
      <c r="J66" s="293" t="s">
        <v>452</v>
      </c>
      <c r="K66" s="293" t="s">
        <v>452</v>
      </c>
      <c r="L66" s="293" t="s">
        <v>452</v>
      </c>
      <c r="M66" s="294" t="s">
        <v>143</v>
      </c>
      <c r="N66" s="293">
        <v>54</v>
      </c>
      <c r="O66" s="293">
        <v>44</v>
      </c>
      <c r="P66" s="295">
        <f>Capacity_Selection[[#This Row],[Evaporator Capacity]]/12</f>
        <v>24.5</v>
      </c>
      <c r="Q66" s="296">
        <f>Capacity_Selection[[#This Row],[Condenser Capacity]]/3.413</f>
        <v>0</v>
      </c>
      <c r="U66" t="s">
        <v>166</v>
      </c>
      <c r="V66" s="312" t="str">
        <f>HYPERLINK("#ASHP_CU_BMS_Input", "ASHP_CU_BMS_Input")</f>
        <v>ASHP_CU_BMS_Input</v>
      </c>
      <c r="W66" s="312" t="str">
        <f>HYPERLINK("#ASHP_CU_Circuit_input", "ASHP_CU_Circuit_input")</f>
        <v>ASHP_CU_Circuit_input</v>
      </c>
      <c r="X66" s="311" t="s">
        <v>453</v>
      </c>
      <c r="Y66" s="312" t="str">
        <f>HYPERLINK("#ASHP_CU_Circuit_output", "ASHP_CU_Circuit_output")</f>
        <v>ASHP_CU_Circuit_output</v>
      </c>
      <c r="Z66" s="312" t="str">
        <f>HYPERLINK("#ASHP_CU_Global_output", "ASHP_CU_Global_Output")</f>
        <v>ASHP_CU_Global_Output</v>
      </c>
    </row>
    <row r="67" spans="1:26" x14ac:dyDescent="0.25">
      <c r="A67" s="291">
        <v>36</v>
      </c>
      <c r="B67" t="s">
        <v>144</v>
      </c>
      <c r="C67" t="s">
        <v>145</v>
      </c>
      <c r="D67" s="292">
        <f>219*2</f>
        <v>438</v>
      </c>
      <c r="E67" s="292"/>
      <c r="F67" t="s">
        <v>141</v>
      </c>
      <c r="G67" s="293">
        <v>100</v>
      </c>
      <c r="H67" s="293">
        <v>41</v>
      </c>
      <c r="I67" s="293">
        <v>5</v>
      </c>
      <c r="J67" s="293" t="s">
        <v>452</v>
      </c>
      <c r="K67" s="293" t="s">
        <v>452</v>
      </c>
      <c r="L67" s="293" t="s">
        <v>452</v>
      </c>
      <c r="M67" s="294" t="s">
        <v>143</v>
      </c>
      <c r="N67" s="293">
        <v>54</v>
      </c>
      <c r="O67" s="293">
        <v>44</v>
      </c>
      <c r="P67" s="295">
        <f>Capacity_Selection[[#This Row],[Evaporator Capacity]]/12</f>
        <v>36.5</v>
      </c>
      <c r="Q67" s="296">
        <f>Capacity_Selection[[#This Row],[Condenser Capacity]]/3.413</f>
        <v>0</v>
      </c>
      <c r="U67" t="s">
        <v>184</v>
      </c>
      <c r="V67" s="315" t="str">
        <f>HYPERLINK("#WSHP_CU_BMS_Input", "WSHP_CU_BMS_Input")</f>
        <v>WSHP_CU_BMS_Input</v>
      </c>
      <c r="W67" s="315" t="str">
        <f>HYPERLINK("#WSHP_CU_Circuit_input", "WSHP_CU_Circuit_input")</f>
        <v>WSHP_CU_Circuit_input</v>
      </c>
      <c r="X67" s="315" t="s">
        <v>453</v>
      </c>
      <c r="Y67" s="315" t="str">
        <f>HYPERLINK("#WSHP_CU_Circuit_output", "WSHP_CU_Circuit_output")</f>
        <v>WSHP_CU_Circuit_output</v>
      </c>
      <c r="Z67" s="315" t="str">
        <f>HYPERLINK("#WSHP_CU_Global_output", "WSHP_CU_Global_Output")</f>
        <v>WSHP_CU_Global_Output</v>
      </c>
    </row>
    <row r="68" spans="1:26" x14ac:dyDescent="0.25">
      <c r="A68" s="291">
        <v>55</v>
      </c>
      <c r="B68" t="s">
        <v>144</v>
      </c>
      <c r="C68" t="s">
        <v>145</v>
      </c>
      <c r="D68" s="292">
        <f>219*3</f>
        <v>657</v>
      </c>
      <c r="E68" s="292"/>
      <c r="F68" t="s">
        <v>141</v>
      </c>
      <c r="G68" s="293">
        <v>100</v>
      </c>
      <c r="H68" s="293">
        <v>41</v>
      </c>
      <c r="I68" s="293">
        <v>5</v>
      </c>
      <c r="J68" s="293" t="s">
        <v>452</v>
      </c>
      <c r="K68" s="293" t="s">
        <v>452</v>
      </c>
      <c r="L68" s="293" t="s">
        <v>452</v>
      </c>
      <c r="M68" s="294" t="s">
        <v>143</v>
      </c>
      <c r="N68" s="293">
        <v>54</v>
      </c>
      <c r="O68" s="293">
        <v>44</v>
      </c>
      <c r="P68" s="295">
        <f>Capacity_Selection[[#This Row],[Evaporator Capacity]]/12</f>
        <v>54.75</v>
      </c>
      <c r="Q68" s="296">
        <f>Capacity_Selection[[#This Row],[Condenser Capacity]]/3.413</f>
        <v>0</v>
      </c>
      <c r="U68" t="s">
        <v>200</v>
      </c>
      <c r="V68" s="312" t="str">
        <f>HYPERLINK("#AWHP_2P_BMS_Input", "AWHP_2P_BMS_Input")</f>
        <v>AWHP_2P_BMS_Input</v>
      </c>
      <c r="W68" s="312" t="str">
        <f>HYPERLINK("#AWHP_2P_Circuit_input", "AWHP_2P_Circuit_input")</f>
        <v>AWHP_2P_Circuit_input</v>
      </c>
      <c r="X68" s="313" t="str">
        <f>HYPERLINK("#AWHP_2P_Global_input", "AWHP_2P_Global_input")</f>
        <v>AWHP_2P_Global_input</v>
      </c>
      <c r="Y68" s="312" t="str">
        <f>HYPERLINK("#AWHP_2P_Circuit_output", "AWHP_2P_Circuit_output")</f>
        <v>AWHP_2P_Circuit_output</v>
      </c>
      <c r="Z68" s="312" t="str">
        <f>HYPERLINK("#AWHP_2P_Global_output", "AWHP_2P_Global_Output")</f>
        <v>AWHP_2P_Global_Output</v>
      </c>
    </row>
    <row r="69" spans="1:26" x14ac:dyDescent="0.25">
      <c r="A69" s="291">
        <f>A66*2</f>
        <v>50</v>
      </c>
      <c r="B69" t="s">
        <v>144</v>
      </c>
      <c r="C69" t="s">
        <v>169</v>
      </c>
      <c r="D69" s="292">
        <f>147*4</f>
        <v>588</v>
      </c>
      <c r="E69" s="292"/>
      <c r="F69" t="s">
        <v>141</v>
      </c>
      <c r="G69" s="293">
        <v>100</v>
      </c>
      <c r="H69" s="293">
        <v>41</v>
      </c>
      <c r="I69" s="293">
        <v>5</v>
      </c>
      <c r="J69" s="293" t="s">
        <v>452</v>
      </c>
      <c r="K69" s="293" t="s">
        <v>452</v>
      </c>
      <c r="L69" s="293" t="s">
        <v>452</v>
      </c>
      <c r="M69" s="294" t="s">
        <v>143</v>
      </c>
      <c r="N69" s="293">
        <v>54</v>
      </c>
      <c r="O69" s="293">
        <v>44</v>
      </c>
      <c r="P69" s="295">
        <f>Capacity_Selection[[#This Row],[Evaporator Capacity]]/12</f>
        <v>49</v>
      </c>
      <c r="Q69" s="296">
        <f>Capacity_Selection[[#This Row],[Condenser Capacity]]/3.413</f>
        <v>0</v>
      </c>
      <c r="U69" t="s">
        <v>21</v>
      </c>
      <c r="V69" s="312" t="str">
        <f>HYPERLINK("#AWHP_4P_BMS_Input", "AWHP_4P_BMS_Input")</f>
        <v>AWHP_4P_BMS_Input</v>
      </c>
      <c r="W69" s="312" t="str">
        <f>HYPERLINK("#AWHP_4P_Circuit_input", "AWHP_4P_Circuit_input")</f>
        <v>AWHP_4P_Circuit_input</v>
      </c>
      <c r="X69" s="314" t="str">
        <f>HYPERLINK("#AWHP_4P_Global_input", "AWHP_4P_Global_input")</f>
        <v>AWHP_4P_Global_input</v>
      </c>
      <c r="Y69" s="312" t="str">
        <f>HYPERLINK("#AWHP_4P_Circuit_output", "AWHP_4P_Circuit_output")</f>
        <v>AWHP_4P_Circuit_output</v>
      </c>
      <c r="Z69" s="312" t="str">
        <f>HYPERLINK("#AWHP_4P_Global_output", "AWHP_4P_Global_Output")</f>
        <v>AWHP_4P_Global_Output</v>
      </c>
    </row>
    <row r="70" spans="1:26" x14ac:dyDescent="0.25">
      <c r="A70" s="291">
        <f t="shared" ref="A70:A71" si="7">A67*2</f>
        <v>72</v>
      </c>
      <c r="B70" t="s">
        <v>144</v>
      </c>
      <c r="C70" t="s">
        <v>169</v>
      </c>
      <c r="D70" s="292">
        <f>219*4</f>
        <v>876</v>
      </c>
      <c r="E70" s="292"/>
      <c r="F70" t="s">
        <v>141</v>
      </c>
      <c r="G70" s="293">
        <v>100</v>
      </c>
      <c r="H70" s="293">
        <v>41</v>
      </c>
      <c r="I70" s="293">
        <v>5</v>
      </c>
      <c r="J70" s="293" t="s">
        <v>452</v>
      </c>
      <c r="K70" s="293" t="s">
        <v>452</v>
      </c>
      <c r="L70" s="293" t="s">
        <v>452</v>
      </c>
      <c r="M70" s="294" t="s">
        <v>143</v>
      </c>
      <c r="N70" s="293">
        <v>54</v>
      </c>
      <c r="O70" s="293">
        <v>44</v>
      </c>
      <c r="P70" s="295">
        <f>Capacity_Selection[[#This Row],[Evaporator Capacity]]/12</f>
        <v>73</v>
      </c>
      <c r="Q70" s="296">
        <f>Capacity_Selection[[#This Row],[Condenser Capacity]]/3.413</f>
        <v>0</v>
      </c>
      <c r="V70" s="312"/>
      <c r="W70" s="312"/>
      <c r="X70" s="312"/>
      <c r="Y70" s="312"/>
      <c r="Z70" s="312"/>
    </row>
    <row r="71" spans="1:26" x14ac:dyDescent="0.25">
      <c r="A71" s="291">
        <f t="shared" si="7"/>
        <v>110</v>
      </c>
      <c r="B71" t="s">
        <v>144</v>
      </c>
      <c r="C71" t="s">
        <v>169</v>
      </c>
      <c r="D71" s="292">
        <f>219*6</f>
        <v>1314</v>
      </c>
      <c r="E71" s="292"/>
      <c r="F71" t="s">
        <v>141</v>
      </c>
      <c r="G71" s="293">
        <v>100</v>
      </c>
      <c r="H71" s="293">
        <v>41</v>
      </c>
      <c r="I71" s="293">
        <v>5</v>
      </c>
      <c r="J71" s="293" t="s">
        <v>452</v>
      </c>
      <c r="K71" s="293" t="s">
        <v>452</v>
      </c>
      <c r="L71" s="293" t="s">
        <v>452</v>
      </c>
      <c r="M71" s="294" t="s">
        <v>143</v>
      </c>
      <c r="N71" s="293">
        <v>54</v>
      </c>
      <c r="O71" s="293">
        <v>44</v>
      </c>
      <c r="P71" s="295">
        <f>Capacity_Selection[[#This Row],[Evaporator Capacity]]/12</f>
        <v>109.5</v>
      </c>
      <c r="Q71" s="296">
        <f>Capacity_Selection[[#This Row],[Condenser Capacity]]/3.413</f>
        <v>0</v>
      </c>
      <c r="V71" s="312"/>
      <c r="W71" s="312"/>
      <c r="X71" s="312"/>
      <c r="Y71" s="312"/>
      <c r="Z71" s="312"/>
    </row>
    <row r="72" spans="1:26" x14ac:dyDescent="0.25">
      <c r="A72" s="291">
        <v>18</v>
      </c>
      <c r="B72" t="s">
        <v>168</v>
      </c>
      <c r="C72" t="s">
        <v>145</v>
      </c>
      <c r="D72" s="293" t="s">
        <v>452</v>
      </c>
      <c r="E72" s="292">
        <f>280</f>
        <v>280</v>
      </c>
      <c r="F72" t="s">
        <v>141</v>
      </c>
      <c r="G72" s="293" t="s">
        <v>452</v>
      </c>
      <c r="H72" s="293" t="s">
        <v>452</v>
      </c>
      <c r="I72" s="293" t="s">
        <v>452</v>
      </c>
      <c r="J72" s="293">
        <v>170</v>
      </c>
      <c r="K72" s="293">
        <v>110</v>
      </c>
      <c r="L72" s="293">
        <v>10</v>
      </c>
      <c r="M72" s="294" t="s">
        <v>143</v>
      </c>
      <c r="N72" s="293">
        <v>95</v>
      </c>
      <c r="O72" s="293">
        <v>105</v>
      </c>
      <c r="P72" s="293" t="s">
        <v>452</v>
      </c>
      <c r="Q72" s="296">
        <f>Capacity_Selection[[#This Row],[Condenser Capacity]]/3.413</f>
        <v>82.039261646645187</v>
      </c>
      <c r="V72" s="312"/>
      <c r="W72" s="312"/>
      <c r="X72" s="312"/>
      <c r="Y72" s="312"/>
      <c r="Z72" s="312"/>
    </row>
    <row r="73" spans="1:26" x14ac:dyDescent="0.25">
      <c r="A73" s="291">
        <v>25</v>
      </c>
      <c r="B73" t="s">
        <v>168</v>
      </c>
      <c r="C73" t="s">
        <v>145</v>
      </c>
      <c r="D73" s="293" t="s">
        <v>452</v>
      </c>
      <c r="E73" s="292">
        <f>189*2</f>
        <v>378</v>
      </c>
      <c r="F73" t="s">
        <v>141</v>
      </c>
      <c r="G73" s="293" t="s">
        <v>452</v>
      </c>
      <c r="H73" s="293" t="s">
        <v>452</v>
      </c>
      <c r="I73" s="293" t="s">
        <v>452</v>
      </c>
      <c r="J73" s="293">
        <v>170</v>
      </c>
      <c r="K73" s="293">
        <v>110</v>
      </c>
      <c r="L73" s="293">
        <v>10</v>
      </c>
      <c r="M73" s="294" t="s">
        <v>143</v>
      </c>
      <c r="N73" s="293">
        <v>95</v>
      </c>
      <c r="O73" s="293">
        <v>105</v>
      </c>
      <c r="P73" s="293" t="s">
        <v>452</v>
      </c>
      <c r="Q73" s="296">
        <f>Capacity_Selection[[#This Row],[Condenser Capacity]]/3.413</f>
        <v>110.753003222971</v>
      </c>
      <c r="V73" s="312"/>
      <c r="W73" s="312"/>
      <c r="X73" s="312"/>
      <c r="Y73" s="312"/>
      <c r="Z73" s="312"/>
    </row>
    <row r="74" spans="1:26" x14ac:dyDescent="0.25">
      <c r="A74" s="291">
        <v>36</v>
      </c>
      <c r="B74" t="s">
        <v>168</v>
      </c>
      <c r="C74" t="s">
        <v>145</v>
      </c>
      <c r="D74" s="293" t="s">
        <v>452</v>
      </c>
      <c r="E74" s="292">
        <f>280*2</f>
        <v>560</v>
      </c>
      <c r="F74" t="s">
        <v>141</v>
      </c>
      <c r="G74" s="293" t="s">
        <v>452</v>
      </c>
      <c r="H74" s="293" t="s">
        <v>452</v>
      </c>
      <c r="I74" s="293" t="s">
        <v>452</v>
      </c>
      <c r="J74" s="293">
        <v>170</v>
      </c>
      <c r="K74" s="293">
        <v>110</v>
      </c>
      <c r="L74" s="293">
        <v>10</v>
      </c>
      <c r="M74" s="294" t="s">
        <v>143</v>
      </c>
      <c r="N74" s="293">
        <v>95</v>
      </c>
      <c r="O74" s="293">
        <v>105</v>
      </c>
      <c r="P74" s="293" t="s">
        <v>452</v>
      </c>
      <c r="Q74" s="296">
        <f>Capacity_Selection[[#This Row],[Condenser Capacity]]/3.413</f>
        <v>164.07852329329037</v>
      </c>
      <c r="V74" s="312"/>
      <c r="W74" s="312"/>
      <c r="X74" s="312"/>
      <c r="Y74" s="312"/>
      <c r="Z74" s="312"/>
    </row>
    <row r="75" spans="1:26" x14ac:dyDescent="0.25">
      <c r="A75" s="291">
        <v>55</v>
      </c>
      <c r="B75" t="s">
        <v>168</v>
      </c>
      <c r="C75" t="s">
        <v>145</v>
      </c>
      <c r="D75" s="293" t="s">
        <v>452</v>
      </c>
      <c r="E75" s="292">
        <f>280*3</f>
        <v>840</v>
      </c>
      <c r="F75" t="s">
        <v>141</v>
      </c>
      <c r="G75" s="293" t="s">
        <v>452</v>
      </c>
      <c r="H75" s="293" t="s">
        <v>452</v>
      </c>
      <c r="I75" s="293" t="s">
        <v>452</v>
      </c>
      <c r="J75" s="293">
        <v>170</v>
      </c>
      <c r="K75" s="293">
        <v>110</v>
      </c>
      <c r="L75" s="293">
        <v>10</v>
      </c>
      <c r="M75" s="294" t="s">
        <v>143</v>
      </c>
      <c r="N75" s="293">
        <v>95</v>
      </c>
      <c r="O75" s="293">
        <v>105</v>
      </c>
      <c r="P75" s="293" t="s">
        <v>452</v>
      </c>
      <c r="Q75" s="296">
        <f>Capacity_Selection[[#This Row],[Condenser Capacity]]/3.413</f>
        <v>246.11778493993555</v>
      </c>
    </row>
    <row r="76" spans="1:26" x14ac:dyDescent="0.25">
      <c r="A76" s="291">
        <f>A73*2</f>
        <v>50</v>
      </c>
      <c r="B76" t="s">
        <v>168</v>
      </c>
      <c r="C76" t="s">
        <v>169</v>
      </c>
      <c r="D76" s="293" t="s">
        <v>452</v>
      </c>
      <c r="E76" s="292">
        <f>E73*2</f>
        <v>756</v>
      </c>
      <c r="F76" t="s">
        <v>141</v>
      </c>
      <c r="G76" s="293" t="s">
        <v>452</v>
      </c>
      <c r="H76" s="293" t="s">
        <v>452</v>
      </c>
      <c r="I76" s="293" t="s">
        <v>452</v>
      </c>
      <c r="J76" s="293">
        <v>170</v>
      </c>
      <c r="K76" s="293">
        <v>110</v>
      </c>
      <c r="L76" s="293">
        <v>10</v>
      </c>
      <c r="M76" s="294" t="s">
        <v>143</v>
      </c>
      <c r="N76" s="293">
        <v>95</v>
      </c>
      <c r="O76" s="293">
        <v>105</v>
      </c>
      <c r="P76" s="293" t="s">
        <v>452</v>
      </c>
      <c r="Q76" s="296">
        <f>Capacity_Selection[[#This Row],[Condenser Capacity]]/3.413</f>
        <v>221.50600644594201</v>
      </c>
    </row>
    <row r="77" spans="1:26" x14ac:dyDescent="0.25">
      <c r="A77" s="291">
        <f t="shared" ref="A77:A78" si="8">A74*2</f>
        <v>72</v>
      </c>
      <c r="B77" t="s">
        <v>168</v>
      </c>
      <c r="C77" t="s">
        <v>169</v>
      </c>
      <c r="D77" s="293" t="s">
        <v>452</v>
      </c>
      <c r="E77" s="292">
        <f t="shared" ref="E77:E78" si="9">E74*2</f>
        <v>1120</v>
      </c>
      <c r="F77" t="s">
        <v>141</v>
      </c>
      <c r="G77" s="293" t="s">
        <v>452</v>
      </c>
      <c r="H77" s="293" t="s">
        <v>452</v>
      </c>
      <c r="I77" s="293" t="s">
        <v>452</v>
      </c>
      <c r="J77" s="293">
        <v>170</v>
      </c>
      <c r="K77" s="293">
        <v>110</v>
      </c>
      <c r="L77" s="293">
        <v>10</v>
      </c>
      <c r="M77" s="294" t="s">
        <v>143</v>
      </c>
      <c r="N77" s="293">
        <v>95</v>
      </c>
      <c r="O77" s="293">
        <v>105</v>
      </c>
      <c r="P77" s="293" t="s">
        <v>452</v>
      </c>
      <c r="Q77" s="296">
        <f>Capacity_Selection[[#This Row],[Condenser Capacity]]/3.413</f>
        <v>328.15704658658075</v>
      </c>
    </row>
    <row r="78" spans="1:26" x14ac:dyDescent="0.25">
      <c r="A78" s="291">
        <f t="shared" si="8"/>
        <v>110</v>
      </c>
      <c r="B78" t="s">
        <v>168</v>
      </c>
      <c r="C78" t="s">
        <v>169</v>
      </c>
      <c r="D78" s="293" t="s">
        <v>452</v>
      </c>
      <c r="E78" s="292">
        <f t="shared" si="9"/>
        <v>1680</v>
      </c>
      <c r="F78" t="s">
        <v>141</v>
      </c>
      <c r="G78" s="293" t="s">
        <v>452</v>
      </c>
      <c r="H78" s="293" t="s">
        <v>452</v>
      </c>
      <c r="I78" s="293" t="s">
        <v>452</v>
      </c>
      <c r="J78" s="293">
        <v>170</v>
      </c>
      <c r="K78" s="293">
        <v>110</v>
      </c>
      <c r="L78" s="293">
        <v>10</v>
      </c>
      <c r="M78" s="294" t="s">
        <v>143</v>
      </c>
      <c r="N78" s="293">
        <v>95</v>
      </c>
      <c r="O78" s="293">
        <v>105</v>
      </c>
      <c r="P78" s="293" t="s">
        <v>452</v>
      </c>
      <c r="Q78" s="296">
        <f>Capacity_Selection[[#This Row],[Condenser Capacity]]/3.413</f>
        <v>492.23556987987109</v>
      </c>
    </row>
    <row r="79" spans="1:26" x14ac:dyDescent="0.25">
      <c r="A79" s="291">
        <v>18</v>
      </c>
      <c r="B79" t="s">
        <v>186</v>
      </c>
      <c r="C79" t="s">
        <v>145</v>
      </c>
      <c r="D79" s="292">
        <f>219</f>
        <v>219</v>
      </c>
      <c r="E79" s="292">
        <f>280</f>
        <v>280</v>
      </c>
      <c r="F79" t="s">
        <v>141</v>
      </c>
      <c r="G79" s="293">
        <v>100</v>
      </c>
      <c r="H79" s="293">
        <v>41</v>
      </c>
      <c r="I79" s="293">
        <v>5</v>
      </c>
      <c r="J79" s="293">
        <v>170</v>
      </c>
      <c r="K79" s="293">
        <v>110</v>
      </c>
      <c r="L79" s="293">
        <v>10</v>
      </c>
      <c r="M79" s="294" t="s">
        <v>143</v>
      </c>
      <c r="N79" s="293">
        <v>95</v>
      </c>
      <c r="O79" s="293">
        <v>105</v>
      </c>
      <c r="P79" s="295">
        <f>Capacity_Selection[[#This Row],[Evaporator Capacity]]/12</f>
        <v>18.25</v>
      </c>
      <c r="Q79" s="296">
        <f>Capacity_Selection[[#This Row],[Condenser Capacity]]/3.413</f>
        <v>82.039261646645187</v>
      </c>
    </row>
    <row r="80" spans="1:26" x14ac:dyDescent="0.25">
      <c r="A80" s="291">
        <v>25</v>
      </c>
      <c r="B80" t="s">
        <v>186</v>
      </c>
      <c r="C80" t="s">
        <v>145</v>
      </c>
      <c r="D80" s="292">
        <f>147*2</f>
        <v>294</v>
      </c>
      <c r="E80" s="292">
        <f>189*2</f>
        <v>378</v>
      </c>
      <c r="F80" t="s">
        <v>141</v>
      </c>
      <c r="G80" s="293">
        <v>100</v>
      </c>
      <c r="H80" s="293">
        <v>41</v>
      </c>
      <c r="I80" s="293">
        <v>5</v>
      </c>
      <c r="J80" s="293">
        <v>170</v>
      </c>
      <c r="K80" s="293">
        <v>110</v>
      </c>
      <c r="L80" s="293">
        <v>10</v>
      </c>
      <c r="M80" s="294" t="s">
        <v>143</v>
      </c>
      <c r="N80" s="293">
        <v>95</v>
      </c>
      <c r="O80" s="293">
        <v>105</v>
      </c>
      <c r="P80" s="295">
        <f>Capacity_Selection[[#This Row],[Evaporator Capacity]]/12</f>
        <v>24.5</v>
      </c>
      <c r="Q80" s="296">
        <f>Capacity_Selection[[#This Row],[Condenser Capacity]]/3.413</f>
        <v>110.753003222971</v>
      </c>
    </row>
    <row r="81" spans="1:17" x14ac:dyDescent="0.25">
      <c r="A81" s="291">
        <v>36</v>
      </c>
      <c r="B81" t="s">
        <v>186</v>
      </c>
      <c r="C81" t="s">
        <v>145</v>
      </c>
      <c r="D81" s="292">
        <f>219*2</f>
        <v>438</v>
      </c>
      <c r="E81" s="292">
        <f>280*2</f>
        <v>560</v>
      </c>
      <c r="F81" t="s">
        <v>141</v>
      </c>
      <c r="G81" s="293">
        <v>100</v>
      </c>
      <c r="H81" s="293">
        <v>41</v>
      </c>
      <c r="I81" s="293">
        <v>5</v>
      </c>
      <c r="J81" s="293">
        <v>170</v>
      </c>
      <c r="K81" s="293">
        <v>110</v>
      </c>
      <c r="L81" s="293">
        <v>10</v>
      </c>
      <c r="M81" s="294" t="s">
        <v>143</v>
      </c>
      <c r="N81" s="293">
        <v>95</v>
      </c>
      <c r="O81" s="293">
        <v>105</v>
      </c>
      <c r="P81" s="295">
        <f>Capacity_Selection[[#This Row],[Evaporator Capacity]]/12</f>
        <v>36.5</v>
      </c>
      <c r="Q81" s="296">
        <f>Capacity_Selection[[#This Row],[Condenser Capacity]]/3.413</f>
        <v>164.07852329329037</v>
      </c>
    </row>
    <row r="82" spans="1:17" x14ac:dyDescent="0.25">
      <c r="A82" s="291">
        <v>55</v>
      </c>
      <c r="B82" t="s">
        <v>186</v>
      </c>
      <c r="C82" t="s">
        <v>145</v>
      </c>
      <c r="D82" s="292">
        <f>219*3</f>
        <v>657</v>
      </c>
      <c r="E82" s="292">
        <f>280*3</f>
        <v>840</v>
      </c>
      <c r="F82" t="s">
        <v>141</v>
      </c>
      <c r="G82" s="293">
        <v>100</v>
      </c>
      <c r="H82" s="293">
        <v>41</v>
      </c>
      <c r="I82" s="293">
        <v>5</v>
      </c>
      <c r="J82" s="293">
        <v>170</v>
      </c>
      <c r="K82" s="293">
        <v>110</v>
      </c>
      <c r="L82" s="293">
        <v>10</v>
      </c>
      <c r="M82" s="294" t="s">
        <v>143</v>
      </c>
      <c r="N82" s="293">
        <v>95</v>
      </c>
      <c r="O82" s="293">
        <v>105</v>
      </c>
      <c r="P82" s="295">
        <f>Capacity_Selection[[#This Row],[Evaporator Capacity]]/12</f>
        <v>54.75</v>
      </c>
      <c r="Q82" s="296">
        <f>Capacity_Selection[[#This Row],[Condenser Capacity]]/3.413</f>
        <v>246.11778493993555</v>
      </c>
    </row>
    <row r="83" spans="1:17" x14ac:dyDescent="0.25">
      <c r="A83" s="291">
        <f>A80*2</f>
        <v>50</v>
      </c>
      <c r="B83" t="s">
        <v>186</v>
      </c>
      <c r="C83" t="s">
        <v>169</v>
      </c>
      <c r="D83" s="292">
        <f>147*4</f>
        <v>588</v>
      </c>
      <c r="E83" s="292">
        <f>E80*2</f>
        <v>756</v>
      </c>
      <c r="F83" t="s">
        <v>141</v>
      </c>
      <c r="G83" s="293">
        <v>100</v>
      </c>
      <c r="H83" s="293">
        <v>41</v>
      </c>
      <c r="I83" s="293">
        <v>5</v>
      </c>
      <c r="J83" s="293">
        <v>170</v>
      </c>
      <c r="K83" s="293">
        <v>110</v>
      </c>
      <c r="L83" s="293">
        <v>10</v>
      </c>
      <c r="M83" s="294" t="s">
        <v>143</v>
      </c>
      <c r="N83" s="293">
        <v>95</v>
      </c>
      <c r="O83" s="293">
        <v>105</v>
      </c>
      <c r="P83" s="295">
        <f>Capacity_Selection[[#This Row],[Evaporator Capacity]]/12</f>
        <v>49</v>
      </c>
      <c r="Q83" s="296">
        <f>Capacity_Selection[[#This Row],[Condenser Capacity]]/3.413</f>
        <v>221.50600644594201</v>
      </c>
    </row>
    <row r="84" spans="1:17" x14ac:dyDescent="0.25">
      <c r="A84" s="291">
        <f t="shared" ref="A84:A85" si="10">A81*2</f>
        <v>72</v>
      </c>
      <c r="B84" t="s">
        <v>186</v>
      </c>
      <c r="C84" t="s">
        <v>169</v>
      </c>
      <c r="D84" s="292">
        <f>219*4</f>
        <v>876</v>
      </c>
      <c r="E84" s="292">
        <f t="shared" ref="E84:E85" si="11">E81*2</f>
        <v>1120</v>
      </c>
      <c r="F84" t="s">
        <v>141</v>
      </c>
      <c r="G84" s="293">
        <v>100</v>
      </c>
      <c r="H84" s="293">
        <v>41</v>
      </c>
      <c r="I84" s="293">
        <v>5</v>
      </c>
      <c r="J84" s="293">
        <v>170</v>
      </c>
      <c r="K84" s="293">
        <v>110</v>
      </c>
      <c r="L84" s="293">
        <v>10</v>
      </c>
      <c r="M84" s="294" t="s">
        <v>143</v>
      </c>
      <c r="N84" s="293">
        <v>95</v>
      </c>
      <c r="O84" s="293">
        <v>105</v>
      </c>
      <c r="P84" s="295">
        <f>Capacity_Selection[[#This Row],[Evaporator Capacity]]/12</f>
        <v>73</v>
      </c>
      <c r="Q84" s="296">
        <f>Capacity_Selection[[#This Row],[Condenser Capacity]]/3.413</f>
        <v>328.15704658658075</v>
      </c>
    </row>
    <row r="85" spans="1:17" x14ac:dyDescent="0.25">
      <c r="A85" s="291">
        <f t="shared" si="10"/>
        <v>110</v>
      </c>
      <c r="B85" t="s">
        <v>186</v>
      </c>
      <c r="C85" t="s">
        <v>169</v>
      </c>
      <c r="D85" s="292">
        <f>219*6</f>
        <v>1314</v>
      </c>
      <c r="E85" s="292">
        <f t="shared" si="11"/>
        <v>1680</v>
      </c>
      <c r="F85" t="s">
        <v>141</v>
      </c>
      <c r="G85" s="293">
        <v>100</v>
      </c>
      <c r="H85" s="293">
        <v>41</v>
      </c>
      <c r="I85" s="293">
        <v>5</v>
      </c>
      <c r="J85" s="293">
        <v>170</v>
      </c>
      <c r="K85" s="293">
        <v>110</v>
      </c>
      <c r="L85" s="293">
        <v>10</v>
      </c>
      <c r="M85" s="294" t="s">
        <v>143</v>
      </c>
      <c r="N85" s="293">
        <v>95</v>
      </c>
      <c r="O85" s="293">
        <v>105</v>
      </c>
      <c r="P85" s="295">
        <f>Capacity_Selection[[#This Row],[Evaporator Capacity]]/12</f>
        <v>109.5</v>
      </c>
      <c r="Q85" s="296">
        <f>Capacity_Selection[[#This Row],[Condenser Capacity]]/3.413</f>
        <v>492.23556987987109</v>
      </c>
    </row>
    <row r="87" spans="1:17" ht="30" x14ac:dyDescent="0.25">
      <c r="A87" s="225" t="s">
        <v>454</v>
      </c>
      <c r="B87" s="225" t="s">
        <v>455</v>
      </c>
      <c r="C87" s="225" t="s">
        <v>456</v>
      </c>
      <c r="D87" s="225" t="s">
        <v>457</v>
      </c>
      <c r="E87" s="225" t="s">
        <v>458</v>
      </c>
      <c r="F87" s="225" t="s">
        <v>459</v>
      </c>
      <c r="G87" s="225" t="s">
        <v>460</v>
      </c>
      <c r="H87" s="225" t="s">
        <v>461</v>
      </c>
      <c r="I87" s="225" t="s">
        <v>462</v>
      </c>
      <c r="J87" s="225" t="s">
        <v>463</v>
      </c>
      <c r="K87" s="225" t="s">
        <v>464</v>
      </c>
      <c r="L87" s="225" t="s">
        <v>465</v>
      </c>
      <c r="M87" s="225" t="s">
        <v>466</v>
      </c>
      <c r="N87" s="225" t="s">
        <v>467</v>
      </c>
      <c r="O87" s="225" t="s">
        <v>468</v>
      </c>
      <c r="P87" s="225" t="s">
        <v>469</v>
      </c>
    </row>
    <row r="88" spans="1:17" x14ac:dyDescent="0.25">
      <c r="A88" s="291">
        <v>18</v>
      </c>
      <c r="B88">
        <v>1</v>
      </c>
      <c r="C88">
        <v>1</v>
      </c>
      <c r="D88" t="s">
        <v>470</v>
      </c>
      <c r="E88" t="s">
        <v>471</v>
      </c>
      <c r="F88" t="s">
        <v>146</v>
      </c>
      <c r="G88">
        <f>HX_Selection[[#This Row],['# Circuit]]*2</f>
        <v>2</v>
      </c>
    </row>
    <row r="89" spans="1:17" x14ac:dyDescent="0.25">
      <c r="A89" s="291">
        <v>25</v>
      </c>
      <c r="B89">
        <v>1</v>
      </c>
      <c r="C89">
        <v>2</v>
      </c>
      <c r="D89" t="s">
        <v>472</v>
      </c>
      <c r="E89" s="259" t="s">
        <v>473</v>
      </c>
      <c r="F89" t="s">
        <v>170</v>
      </c>
      <c r="G89" s="259">
        <f>HX_Selection[[#This Row],['# Circuit]]*2</f>
        <v>2</v>
      </c>
    </row>
    <row r="90" spans="1:17" x14ac:dyDescent="0.25">
      <c r="A90" s="291">
        <v>36</v>
      </c>
      <c r="B90">
        <v>1</v>
      </c>
      <c r="C90">
        <v>2</v>
      </c>
      <c r="D90" t="s">
        <v>470</v>
      </c>
      <c r="E90" t="s">
        <v>471</v>
      </c>
      <c r="F90" t="s">
        <v>187</v>
      </c>
      <c r="G90">
        <f>HX_Selection[[#This Row],['# Circuit]]*2</f>
        <v>2</v>
      </c>
      <c r="I90" t="s">
        <v>343</v>
      </c>
      <c r="J90" t="s">
        <v>343</v>
      </c>
    </row>
    <row r="91" spans="1:17" x14ac:dyDescent="0.25">
      <c r="A91" s="291">
        <v>55</v>
      </c>
      <c r="B91">
        <v>1</v>
      </c>
      <c r="C91">
        <v>3</v>
      </c>
      <c r="D91" t="s">
        <v>470</v>
      </c>
      <c r="E91" t="s">
        <v>471</v>
      </c>
      <c r="F91" t="s">
        <v>201</v>
      </c>
      <c r="G91">
        <f>HX_Selection[[#This Row],['# Circuit]]*2</f>
        <v>2</v>
      </c>
    </row>
    <row r="92" spans="1:17" x14ac:dyDescent="0.25">
      <c r="A92" s="291">
        <f>A89*2</f>
        <v>50</v>
      </c>
      <c r="B92">
        <v>2</v>
      </c>
      <c r="C92">
        <v>4</v>
      </c>
      <c r="D92" t="s">
        <v>472</v>
      </c>
      <c r="E92" s="259" t="s">
        <v>473</v>
      </c>
      <c r="F92" t="s">
        <v>170</v>
      </c>
      <c r="G92" s="259">
        <f>HX_Selection[[#This Row],['# Circuit]]*2</f>
        <v>4</v>
      </c>
    </row>
    <row r="93" spans="1:17" x14ac:dyDescent="0.25">
      <c r="A93" s="291">
        <f t="shared" ref="A93:A94" si="12">A90*2</f>
        <v>72</v>
      </c>
      <c r="B93">
        <v>2</v>
      </c>
      <c r="C93">
        <v>4</v>
      </c>
      <c r="D93" t="s">
        <v>470</v>
      </c>
      <c r="E93" t="s">
        <v>471</v>
      </c>
      <c r="F93" t="s">
        <v>187</v>
      </c>
      <c r="G93">
        <f>HX_Selection[[#This Row],['# Circuit]]*2</f>
        <v>4</v>
      </c>
      <c r="H93" t="s">
        <v>474</v>
      </c>
      <c r="I93" t="s">
        <v>475</v>
      </c>
      <c r="J93" t="s">
        <v>476</v>
      </c>
    </row>
    <row r="94" spans="1:17" x14ac:dyDescent="0.25">
      <c r="A94" s="291">
        <f t="shared" si="12"/>
        <v>110</v>
      </c>
      <c r="B94">
        <v>2</v>
      </c>
      <c r="C94">
        <v>4</v>
      </c>
      <c r="D94" t="s">
        <v>470</v>
      </c>
      <c r="E94" t="s">
        <v>471</v>
      </c>
      <c r="F94" t="s">
        <v>201</v>
      </c>
      <c r="G94">
        <f>HX_Selection[[#This Row],['# Circuit]]*2</f>
        <v>4</v>
      </c>
      <c r="H94" t="s">
        <v>477</v>
      </c>
      <c r="I94" t="s">
        <v>478</v>
      </c>
      <c r="J94" t="s">
        <v>478</v>
      </c>
    </row>
    <row r="98" spans="1:13" ht="30" x14ac:dyDescent="0.25">
      <c r="A98" s="225" t="s">
        <v>313</v>
      </c>
      <c r="B98" s="225" t="s">
        <v>479</v>
      </c>
      <c r="C98" s="225" t="s">
        <v>480</v>
      </c>
      <c r="D98" s="225" t="s">
        <v>320</v>
      </c>
      <c r="E98" s="225" t="s">
        <v>481</v>
      </c>
      <c r="F98" s="225" t="s">
        <v>316</v>
      </c>
      <c r="G98" s="225" t="s">
        <v>314</v>
      </c>
      <c r="H98" s="225" t="s">
        <v>482</v>
      </c>
      <c r="I98" s="225" t="s">
        <v>483</v>
      </c>
      <c r="J98" s="225" t="s">
        <v>484</v>
      </c>
      <c r="K98" s="225" t="s">
        <v>485</v>
      </c>
      <c r="L98" s="225" t="s">
        <v>486</v>
      </c>
      <c r="M98" s="225" t="s">
        <v>487</v>
      </c>
    </row>
    <row r="99" spans="1:13" x14ac:dyDescent="0.25">
      <c r="A99" s="226">
        <v>13</v>
      </c>
      <c r="B99">
        <v>1</v>
      </c>
      <c r="C99">
        <v>1</v>
      </c>
      <c r="D99" s="230">
        <f>IFERROR(INDEX(SkidDB[#All],MATCH(CondUnitDB[[#This Row],[C1 Compressor Skid]],SkidDB[[#All],[Compressor Skid Model Number]],0),8),"")</f>
        <v>3.25</v>
      </c>
      <c r="E99" t="str">
        <f t="shared" ref="E99:E127" si="13">IFERROR(ROUNDUP(A99/D99,0)&amp;":1","")</f>
        <v>4:1</v>
      </c>
      <c r="F99" t="str">
        <f>IFERROR(INDEX(SkidDB[#All],MATCH(CondUnitDB[[#This Row],[C1 Compressor Skid]],SkidDB[[#All],[Compressor Skid Model Number]],0),4),"")</f>
        <v>R454B</v>
      </c>
      <c r="G99" t="s">
        <v>335</v>
      </c>
      <c r="H99" t="s">
        <v>153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 x14ac:dyDescent="0.25">
      <c r="A100" s="226">
        <v>15</v>
      </c>
      <c r="B100">
        <v>1</v>
      </c>
      <c r="C100">
        <v>1</v>
      </c>
      <c r="D100" s="230">
        <f>IFERROR(INDEX(SkidDB[#All],MATCH(CondUnitDB[[#This Row],[C1 Compressor Skid]],SkidDB[[#All],[Compressor Skid Model Number]],0),8),"")</f>
        <v>3.75</v>
      </c>
      <c r="E100" t="str">
        <f t="shared" si="13"/>
        <v>4:1</v>
      </c>
      <c r="F100" t="str">
        <f>IFERROR(INDEX(SkidDB[#All],MATCH(CondUnitDB[[#This Row],[C1 Compressor Skid]],SkidDB[[#All],[Compressor Skid Model Number]],0),4),"")</f>
        <v>R454B</v>
      </c>
      <c r="G100" t="s">
        <v>335</v>
      </c>
      <c r="H100" t="s">
        <v>176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 x14ac:dyDescent="0.25">
      <c r="A101" s="226">
        <v>17</v>
      </c>
      <c r="B101">
        <v>1</v>
      </c>
      <c r="C101">
        <v>1</v>
      </c>
      <c r="D101" s="230">
        <f>IFERROR(INDEX(SkidDB[#All],MATCH(CondUnitDB[[#This Row],[C1 Compressor Skid]],SkidDB[[#All],[Compressor Skid Model Number]],0),8),"")</f>
        <v>4.25</v>
      </c>
      <c r="E101" t="str">
        <f t="shared" si="13"/>
        <v>4:1</v>
      </c>
      <c r="F101" t="str">
        <f>IFERROR(INDEX(SkidDB[#All],MATCH(CondUnitDB[[#This Row],[C1 Compressor Skid]],SkidDB[[#All],[Compressor Skid Model Number]],0),4),"")</f>
        <v>R454B</v>
      </c>
      <c r="G101" t="s">
        <v>335</v>
      </c>
      <c r="H101" t="s">
        <v>193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 x14ac:dyDescent="0.25">
      <c r="A102" s="226">
        <v>25</v>
      </c>
      <c r="B102">
        <v>1</v>
      </c>
      <c r="C102">
        <v>2</v>
      </c>
      <c r="D102" s="230">
        <f>IFERROR(INDEX(SkidDB[#All],MATCH(CondUnitDB[[#This Row],[C1 Compressor Skid]],SkidDB[[#All],[Compressor Skid Model Number]],0),8),"")</f>
        <v>6.5</v>
      </c>
      <c r="E102" t="str">
        <f t="shared" si="13"/>
        <v>4:1</v>
      </c>
      <c r="F102" t="str">
        <f>IFERROR(INDEX(SkidDB[#All],MATCH(CondUnitDB[[#This Row],[C1 Compressor Skid]],SkidDB[[#All],[Compressor Skid Model Number]],0),4),"")</f>
        <v>R454B</v>
      </c>
      <c r="G102" t="s">
        <v>335</v>
      </c>
      <c r="H102" t="s">
        <v>208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 x14ac:dyDescent="0.25">
      <c r="A103" s="226">
        <v>26</v>
      </c>
      <c r="B103">
        <v>2</v>
      </c>
      <c r="C103">
        <v>2</v>
      </c>
      <c r="D103" s="230">
        <f>IFERROR(INDEX(SkidDB[#All],MATCH(CondUnitDB[[#This Row],[C1 Compressor Skid]],SkidDB[[#All],[Compressor Skid Model Number]],0),8),"")</f>
        <v>3.25</v>
      </c>
      <c r="E103" t="str">
        <f t="shared" si="13"/>
        <v>8:1</v>
      </c>
      <c r="F103" t="str">
        <f>IFERROR(INDEX(SkidDB[#All],MATCH(CondUnitDB[[#This Row],[C1 Compressor Skid]],SkidDB[[#All],[Compressor Skid Model Number]],0),4),"")</f>
        <v>R454B</v>
      </c>
      <c r="G103" t="s">
        <v>335</v>
      </c>
      <c r="H103" t="s">
        <v>153</v>
      </c>
      <c r="I103" t="s">
        <v>153</v>
      </c>
      <c r="J103">
        <v>0</v>
      </c>
      <c r="K103">
        <v>0</v>
      </c>
      <c r="L103">
        <v>0</v>
      </c>
      <c r="M103">
        <v>0</v>
      </c>
    </row>
    <row r="104" spans="1:13" x14ac:dyDescent="0.25">
      <c r="A104" s="226">
        <v>30</v>
      </c>
      <c r="B104">
        <v>1</v>
      </c>
      <c r="C104">
        <v>2</v>
      </c>
      <c r="D104" s="230">
        <f>IFERROR(INDEX(SkidDB[#All],MATCH(CondUnitDB[[#This Row],[C1 Compressor Skid]],SkidDB[[#All],[Compressor Skid Model Number]],0),8),"")</f>
        <v>7.5</v>
      </c>
      <c r="E104" t="str">
        <f t="shared" si="13"/>
        <v>4:1</v>
      </c>
      <c r="F104" t="str">
        <f>IFERROR(INDEX(SkidDB[#All],MATCH(CondUnitDB[[#This Row],[C1 Compressor Skid]],SkidDB[[#All],[Compressor Skid Model Number]],0),4),"")</f>
        <v>R454B</v>
      </c>
      <c r="G104" t="s">
        <v>335</v>
      </c>
      <c r="H104" t="s">
        <v>215</v>
      </c>
      <c r="I104">
        <v>0</v>
      </c>
      <c r="J104">
        <v>0</v>
      </c>
      <c r="K104">
        <v>0</v>
      </c>
      <c r="L104">
        <v>0</v>
      </c>
      <c r="M104">
        <v>0</v>
      </c>
    </row>
    <row r="105" spans="1:13" x14ac:dyDescent="0.25">
      <c r="A105" s="226">
        <v>32</v>
      </c>
      <c r="B105">
        <v>2</v>
      </c>
      <c r="C105">
        <v>2</v>
      </c>
      <c r="D105" s="230">
        <f>IFERROR(INDEX(SkidDB[#All],MATCH(CondUnitDB[[#This Row],[C1 Compressor Skid]],SkidDB[[#All],[Compressor Skid Model Number]],0),8),"")</f>
        <v>3.75</v>
      </c>
      <c r="E105" t="str">
        <f t="shared" si="13"/>
        <v>9:1</v>
      </c>
      <c r="F105" t="str">
        <f>IFERROR(INDEX(SkidDB[#All],MATCH(CondUnitDB[[#This Row],[C1 Compressor Skid]],SkidDB[[#All],[Compressor Skid Model Number]],0),4),"")</f>
        <v>R454B</v>
      </c>
      <c r="G105" t="s">
        <v>335</v>
      </c>
      <c r="H105" t="s">
        <v>176</v>
      </c>
      <c r="I105" t="s">
        <v>176</v>
      </c>
      <c r="J105">
        <v>0</v>
      </c>
      <c r="K105">
        <v>0</v>
      </c>
      <c r="L105">
        <v>0</v>
      </c>
      <c r="M105">
        <v>0</v>
      </c>
    </row>
    <row r="106" spans="1:13" x14ac:dyDescent="0.25">
      <c r="A106" s="226">
        <v>35</v>
      </c>
      <c r="B106">
        <v>1</v>
      </c>
      <c r="C106">
        <v>2</v>
      </c>
      <c r="D106" s="230">
        <f>IFERROR(INDEX(SkidDB[#All],MATCH(CondUnitDB[[#This Row],[C1 Compressor Skid]],SkidDB[[#All],[Compressor Skid Model Number]],0),8),"")</f>
        <v>8.75</v>
      </c>
      <c r="E106" t="str">
        <f t="shared" si="13"/>
        <v>4:1</v>
      </c>
      <c r="F106" t="str">
        <f>IFERROR(INDEX(SkidDB[#All],MATCH(CondUnitDB[[#This Row],[C1 Compressor Skid]],SkidDB[[#All],[Compressor Skid Model Number]],0),4),"")</f>
        <v>R454B</v>
      </c>
      <c r="G106" t="s">
        <v>335</v>
      </c>
      <c r="H106" t="s">
        <v>224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1:13" x14ac:dyDescent="0.25">
      <c r="A107" s="226">
        <v>36</v>
      </c>
      <c r="B107">
        <v>2</v>
      </c>
      <c r="C107">
        <v>2</v>
      </c>
      <c r="D107" s="230">
        <f>IFERROR(INDEX(SkidDB[#All],MATCH(CondUnitDB[[#This Row],[C1 Compressor Skid]],SkidDB[[#All],[Compressor Skid Model Number]],0),8),"")</f>
        <v>4.25</v>
      </c>
      <c r="E107" t="str">
        <f t="shared" si="13"/>
        <v>9:1</v>
      </c>
      <c r="F107" t="str">
        <f>IFERROR(INDEX(SkidDB[#All],MATCH(CondUnitDB[[#This Row],[C1 Compressor Skid]],SkidDB[[#All],[Compressor Skid Model Number]],0),4),"")</f>
        <v>R454B</v>
      </c>
      <c r="G107" t="s">
        <v>335</v>
      </c>
      <c r="H107" t="s">
        <v>193</v>
      </c>
      <c r="I107" t="s">
        <v>193</v>
      </c>
      <c r="J107">
        <v>0</v>
      </c>
      <c r="K107">
        <v>0</v>
      </c>
      <c r="L107">
        <v>0</v>
      </c>
      <c r="M107">
        <v>0</v>
      </c>
    </row>
    <row r="108" spans="1:13" x14ac:dyDescent="0.25">
      <c r="A108" s="226">
        <v>40</v>
      </c>
      <c r="B108">
        <v>1</v>
      </c>
      <c r="C108">
        <v>3</v>
      </c>
      <c r="D108" s="230">
        <f>IFERROR(INDEX(SkidDB[#All],MATCH(CondUnitDB[[#This Row],[C1 Compressor Skid]],SkidDB[[#All],[Compressor Skid Model Number]],0),8),"")</f>
        <v>10</v>
      </c>
      <c r="E108" t="str">
        <f t="shared" si="13"/>
        <v>4:1</v>
      </c>
      <c r="F108" t="str">
        <f>IFERROR(INDEX(SkidDB[#All],MATCH(CondUnitDB[[#This Row],[C1 Compressor Skid]],SkidDB[[#All],[Compressor Skid Model Number]],0),4),"")</f>
        <v>R454B</v>
      </c>
      <c r="G108" t="s">
        <v>335</v>
      </c>
      <c r="H108" t="s">
        <v>233</v>
      </c>
      <c r="I108">
        <v>0</v>
      </c>
      <c r="J108">
        <v>0</v>
      </c>
      <c r="K108">
        <v>0</v>
      </c>
      <c r="L108">
        <v>0</v>
      </c>
      <c r="M108">
        <v>0</v>
      </c>
    </row>
    <row r="109" spans="1:13" x14ac:dyDescent="0.25">
      <c r="A109" s="226">
        <v>45</v>
      </c>
      <c r="B109">
        <v>1</v>
      </c>
      <c r="C109">
        <v>3</v>
      </c>
      <c r="D109" s="230">
        <f>IFERROR(INDEX(SkidDB[#All],MATCH(CondUnitDB[[#This Row],[C1 Compressor Skid]],SkidDB[[#All],[Compressor Skid Model Number]],0),8),"")</f>
        <v>11.25</v>
      </c>
      <c r="E109" t="str">
        <f t="shared" si="13"/>
        <v>4:1</v>
      </c>
      <c r="F109" t="str">
        <f>IFERROR(INDEX(SkidDB[#All],MATCH(CondUnitDB[[#This Row],[C1 Compressor Skid]],SkidDB[[#All],[Compressor Skid Model Number]],0),4),"")</f>
        <v>R454B</v>
      </c>
      <c r="G109" t="s">
        <v>335</v>
      </c>
      <c r="H109" t="s">
        <v>240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1:13" x14ac:dyDescent="0.25">
      <c r="A110" s="226">
        <v>50</v>
      </c>
      <c r="B110">
        <v>1</v>
      </c>
      <c r="C110">
        <v>3</v>
      </c>
      <c r="D110" s="230">
        <f>IFERROR(INDEX(SkidDB[#All],MATCH(CondUnitDB[[#This Row],[C1 Compressor Skid]],SkidDB[[#All],[Compressor Skid Model Number]],0),8),"")</f>
        <v>12.5</v>
      </c>
      <c r="E110" t="str">
        <f t="shared" si="13"/>
        <v>4:1</v>
      </c>
      <c r="F110" t="str">
        <f>IFERROR(INDEX(SkidDB[#All],MATCH(CondUnitDB[[#This Row],[C1 Compressor Skid]],SkidDB[[#All],[Compressor Skid Model Number]],0),4),"")</f>
        <v>R454B</v>
      </c>
      <c r="G110" t="s">
        <v>335</v>
      </c>
      <c r="H110" t="s">
        <v>247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1:13" x14ac:dyDescent="0.25">
      <c r="A111" s="226">
        <v>60</v>
      </c>
      <c r="B111">
        <v>2</v>
      </c>
      <c r="C111">
        <v>4</v>
      </c>
      <c r="D111" s="230">
        <f>IFERROR(INDEX(SkidDB[#All],MATCH(CondUnitDB[[#This Row],[C1 Compressor Skid]],SkidDB[[#All],[Compressor Skid Model Number]],0),8),"")</f>
        <v>7.5</v>
      </c>
      <c r="E111" t="str">
        <f t="shared" si="13"/>
        <v>8:1</v>
      </c>
      <c r="F111" t="str">
        <f>IFERROR(INDEX(SkidDB[#All],MATCH(CondUnitDB[[#This Row],[C1 Compressor Skid]],SkidDB[[#All],[Compressor Skid Model Number]],0),4),"")</f>
        <v>R454B</v>
      </c>
      <c r="G111" t="s">
        <v>335</v>
      </c>
      <c r="H111" t="s">
        <v>215</v>
      </c>
      <c r="I111" t="s">
        <v>215</v>
      </c>
      <c r="J111">
        <v>0</v>
      </c>
      <c r="K111">
        <v>0</v>
      </c>
      <c r="L111">
        <v>0</v>
      </c>
      <c r="M111">
        <v>0</v>
      </c>
    </row>
    <row r="112" spans="1:13" x14ac:dyDescent="0.25">
      <c r="A112" s="226">
        <v>70</v>
      </c>
      <c r="B112">
        <v>2</v>
      </c>
      <c r="C112">
        <v>4</v>
      </c>
      <c r="D112" s="230">
        <f>IFERROR(INDEX(SkidDB[#All],MATCH(CondUnitDB[[#This Row],[C1 Compressor Skid]],SkidDB[[#All],[Compressor Skid Model Number]],0),8),"")</f>
        <v>8.75</v>
      </c>
      <c r="E112" t="str">
        <f t="shared" si="13"/>
        <v>8:1</v>
      </c>
      <c r="F112" t="str">
        <f>IFERROR(INDEX(SkidDB[#All],MATCH(CondUnitDB[[#This Row],[C1 Compressor Skid]],SkidDB[[#All],[Compressor Skid Model Number]],0),4),"")</f>
        <v>R454B</v>
      </c>
      <c r="G112" t="s">
        <v>335</v>
      </c>
      <c r="H112" t="s">
        <v>224</v>
      </c>
      <c r="I112" t="s">
        <v>224</v>
      </c>
      <c r="J112">
        <v>0</v>
      </c>
      <c r="K112">
        <v>0</v>
      </c>
      <c r="L112">
        <v>0</v>
      </c>
      <c r="M112">
        <v>0</v>
      </c>
    </row>
    <row r="113" spans="1:13" x14ac:dyDescent="0.25">
      <c r="A113" s="226">
        <v>80</v>
      </c>
      <c r="B113">
        <v>2</v>
      </c>
      <c r="C113">
        <v>5</v>
      </c>
      <c r="D113" s="230">
        <f>IFERROR(INDEX(SkidDB[#All],MATCH(CondUnitDB[[#This Row],[C1 Compressor Skid]],SkidDB[[#All],[Compressor Skid Model Number]],0),8),"")</f>
        <v>12.5</v>
      </c>
      <c r="E113" t="str">
        <f t="shared" si="13"/>
        <v>7:1</v>
      </c>
      <c r="F113" t="str">
        <f>IFERROR(INDEX(SkidDB[#All],MATCH(CondUnitDB[[#This Row],[C1 Compressor Skid]],SkidDB[[#All],[Compressor Skid Model Number]],0),4),"")</f>
        <v>R454B</v>
      </c>
      <c r="G113" t="s">
        <v>335</v>
      </c>
      <c r="H113" t="s">
        <v>247</v>
      </c>
      <c r="I113" t="s">
        <v>224</v>
      </c>
      <c r="J113">
        <v>0</v>
      </c>
      <c r="K113">
        <v>0</v>
      </c>
      <c r="L113">
        <v>0</v>
      </c>
      <c r="M113">
        <v>0</v>
      </c>
    </row>
    <row r="114" spans="1:13" x14ac:dyDescent="0.25">
      <c r="A114" s="226">
        <v>90</v>
      </c>
      <c r="B114">
        <v>2</v>
      </c>
      <c r="C114">
        <v>6</v>
      </c>
      <c r="D114" s="230">
        <f>IFERROR(INDEX(SkidDB[#All],MATCH(CondUnitDB[[#This Row],[C1 Compressor Skid]],SkidDB[[#All],[Compressor Skid Model Number]],0),8),"")</f>
        <v>11.25</v>
      </c>
      <c r="E114" t="str">
        <f t="shared" si="13"/>
        <v>8:1</v>
      </c>
      <c r="F114" t="str">
        <f>IFERROR(INDEX(SkidDB[#All],MATCH(CondUnitDB[[#This Row],[C1 Compressor Skid]],SkidDB[[#All],[Compressor Skid Model Number]],0),4),"")</f>
        <v>R454B</v>
      </c>
      <c r="G114" t="s">
        <v>335</v>
      </c>
      <c r="H114" t="s">
        <v>240</v>
      </c>
      <c r="I114" t="s">
        <v>240</v>
      </c>
      <c r="J114">
        <v>0</v>
      </c>
      <c r="K114">
        <v>0</v>
      </c>
      <c r="L114">
        <v>0</v>
      </c>
      <c r="M114">
        <v>0</v>
      </c>
    </row>
    <row r="115" spans="1:13" x14ac:dyDescent="0.25">
      <c r="A115" s="226">
        <v>100</v>
      </c>
      <c r="B115">
        <v>2</v>
      </c>
      <c r="C115">
        <v>6</v>
      </c>
      <c r="D115" s="230">
        <f>IFERROR(INDEX(SkidDB[#All],MATCH(CondUnitDB[[#This Row],[C1 Compressor Skid]],SkidDB[[#All],[Compressor Skid Model Number]],0),8),"")</f>
        <v>12.5</v>
      </c>
      <c r="E115" t="str">
        <f t="shared" si="13"/>
        <v>8:1</v>
      </c>
      <c r="F115" t="str">
        <f>IFERROR(INDEX(SkidDB[#All],MATCH(CondUnitDB[[#This Row],[C1 Compressor Skid]],SkidDB[[#All],[Compressor Skid Model Number]],0),4),"")</f>
        <v>R454B</v>
      </c>
      <c r="G115" t="s">
        <v>335</v>
      </c>
      <c r="H115" t="s">
        <v>247</v>
      </c>
      <c r="I115" t="s">
        <v>247</v>
      </c>
      <c r="J115">
        <v>0</v>
      </c>
      <c r="K115">
        <v>0</v>
      </c>
      <c r="L115">
        <v>0</v>
      </c>
      <c r="M115">
        <v>0</v>
      </c>
    </row>
    <row r="116" spans="1:13" x14ac:dyDescent="0.25">
      <c r="A116" s="226">
        <v>120</v>
      </c>
      <c r="B116">
        <v>3</v>
      </c>
      <c r="C116">
        <v>7</v>
      </c>
      <c r="D116" s="230">
        <f>IFERROR(INDEX(SkidDB[#All],MATCH(CondUnitDB[[#This Row],[C1 Compressor Skid]],SkidDB[[#All],[Compressor Skid Model Number]],0),8),"")</f>
        <v>12.5</v>
      </c>
      <c r="E116" t="str">
        <f t="shared" si="13"/>
        <v>10:1</v>
      </c>
      <c r="F116" t="str">
        <f>IFERROR(INDEX(SkidDB[#All],MATCH(CondUnitDB[[#This Row],[C1 Compressor Skid]],SkidDB[[#All],[Compressor Skid Model Number]],0),4),"")</f>
        <v>R454B</v>
      </c>
      <c r="G116" t="s">
        <v>335</v>
      </c>
      <c r="H116" t="s">
        <v>247</v>
      </c>
      <c r="I116" t="s">
        <v>224</v>
      </c>
      <c r="J116" t="s">
        <v>224</v>
      </c>
      <c r="K116">
        <v>0</v>
      </c>
      <c r="L116">
        <v>0</v>
      </c>
      <c r="M116">
        <v>0</v>
      </c>
    </row>
    <row r="117" spans="1:13" x14ac:dyDescent="0.25">
      <c r="A117" s="226">
        <v>135</v>
      </c>
      <c r="B117">
        <v>3</v>
      </c>
      <c r="C117">
        <v>8</v>
      </c>
      <c r="D117" s="230">
        <f>IFERROR(INDEX(SkidDB[#All],MATCH(CondUnitDB[[#This Row],[C1 Compressor Skid]],SkidDB[[#All],[Compressor Skid Model Number]],0),8),"")</f>
        <v>12.5</v>
      </c>
      <c r="E117" t="str">
        <f t="shared" si="13"/>
        <v>11:1</v>
      </c>
      <c r="F117" t="str">
        <f>IFERROR(INDEX(SkidDB[#All],MATCH(CondUnitDB[[#This Row],[C1 Compressor Skid]],SkidDB[[#All],[Compressor Skid Model Number]],0),4),"")</f>
        <v>R454B</v>
      </c>
      <c r="G117" t="s">
        <v>335</v>
      </c>
      <c r="H117" t="s">
        <v>247</v>
      </c>
      <c r="I117" t="s">
        <v>247</v>
      </c>
      <c r="J117" t="s">
        <v>224</v>
      </c>
      <c r="K117">
        <v>0</v>
      </c>
      <c r="L117">
        <v>0</v>
      </c>
      <c r="M117">
        <v>0</v>
      </c>
    </row>
    <row r="118" spans="1:13" x14ac:dyDescent="0.25">
      <c r="A118" s="226">
        <v>150</v>
      </c>
      <c r="B118">
        <v>3</v>
      </c>
      <c r="C118">
        <v>9</v>
      </c>
      <c r="D118" s="230">
        <f>IFERROR(INDEX(SkidDB[#All],MATCH(CondUnitDB[[#This Row],[C1 Compressor Skid]],SkidDB[[#All],[Compressor Skid Model Number]],0),8),"")</f>
        <v>12.5</v>
      </c>
      <c r="E118" t="str">
        <f t="shared" si="13"/>
        <v>12:1</v>
      </c>
      <c r="F118" t="str">
        <f>IFERROR(INDEX(SkidDB[#All],MATCH(CondUnitDB[[#This Row],[C1 Compressor Skid]],SkidDB[[#All],[Compressor Skid Model Number]],0),4),"")</f>
        <v>R454B</v>
      </c>
      <c r="G118" t="s">
        <v>335</v>
      </c>
      <c r="H118" t="s">
        <v>247</v>
      </c>
      <c r="I118" t="s">
        <v>247</v>
      </c>
      <c r="J118" t="s">
        <v>247</v>
      </c>
      <c r="K118">
        <v>0</v>
      </c>
      <c r="L118">
        <v>0</v>
      </c>
      <c r="M118">
        <v>0</v>
      </c>
    </row>
    <row r="119" spans="1:13" x14ac:dyDescent="0.25">
      <c r="A119" s="226">
        <v>170</v>
      </c>
      <c r="B119">
        <v>4</v>
      </c>
      <c r="C119">
        <v>10</v>
      </c>
      <c r="D119" s="230">
        <f>IFERROR(INDEX(SkidDB[#All],MATCH(CondUnitDB[[#This Row],[C1 Compressor Skid]],SkidDB[[#All],[Compressor Skid Model Number]],0),8),"")</f>
        <v>12.5</v>
      </c>
      <c r="E119" t="str">
        <f t="shared" si="13"/>
        <v>14:1</v>
      </c>
      <c r="F119" t="str">
        <f>IFERROR(INDEX(SkidDB[#All],MATCH(CondUnitDB[[#This Row],[C1 Compressor Skid]],SkidDB[[#All],[Compressor Skid Model Number]],0),4),"")</f>
        <v>R454B</v>
      </c>
      <c r="G119" t="s">
        <v>335</v>
      </c>
      <c r="H119" t="s">
        <v>247</v>
      </c>
      <c r="I119" t="s">
        <v>247</v>
      </c>
      <c r="J119" t="s">
        <v>224</v>
      </c>
      <c r="K119" t="s">
        <v>224</v>
      </c>
      <c r="L119">
        <v>0</v>
      </c>
      <c r="M119">
        <v>0</v>
      </c>
    </row>
    <row r="120" spans="1:13" x14ac:dyDescent="0.25">
      <c r="A120" s="226">
        <v>185</v>
      </c>
      <c r="B120">
        <v>4</v>
      </c>
      <c r="C120">
        <v>11</v>
      </c>
      <c r="D120" s="230">
        <f>IFERROR(INDEX(SkidDB[#All],MATCH(CondUnitDB[[#This Row],[C1 Compressor Skid]],SkidDB[[#All],[Compressor Skid Model Number]],0),8),"")</f>
        <v>12.5</v>
      </c>
      <c r="E120" t="str">
        <f t="shared" si="13"/>
        <v>15:1</v>
      </c>
      <c r="F120" t="str">
        <f>IFERROR(INDEX(SkidDB[#All],MATCH(CondUnitDB[[#This Row],[C1 Compressor Skid]],SkidDB[[#All],[Compressor Skid Model Number]],0),4),"")</f>
        <v>R454B</v>
      </c>
      <c r="G120" t="s">
        <v>335</v>
      </c>
      <c r="H120" t="s">
        <v>247</v>
      </c>
      <c r="I120" t="s">
        <v>247</v>
      </c>
      <c r="J120" t="s">
        <v>247</v>
      </c>
      <c r="K120" t="s">
        <v>224</v>
      </c>
      <c r="L120">
        <v>0</v>
      </c>
      <c r="M120">
        <v>0</v>
      </c>
    </row>
    <row r="121" spans="1:13" x14ac:dyDescent="0.25">
      <c r="A121" s="226">
        <v>200</v>
      </c>
      <c r="B121">
        <v>4</v>
      </c>
      <c r="C121">
        <v>12</v>
      </c>
      <c r="D121" s="230">
        <f>IFERROR(INDEX(SkidDB[#All],MATCH(CondUnitDB[[#This Row],[C1 Compressor Skid]],SkidDB[[#All],[Compressor Skid Model Number]],0),8),"")</f>
        <v>12.5</v>
      </c>
      <c r="E121" t="str">
        <f t="shared" si="13"/>
        <v>16:1</v>
      </c>
      <c r="F121" t="str">
        <f>IFERROR(INDEX(SkidDB[#All],MATCH(CondUnitDB[[#This Row],[C1 Compressor Skid]],SkidDB[[#All],[Compressor Skid Model Number]],0),4),"")</f>
        <v>R454B</v>
      </c>
      <c r="G121" t="s">
        <v>335</v>
      </c>
      <c r="H121" t="s">
        <v>247</v>
      </c>
      <c r="I121" t="s">
        <v>247</v>
      </c>
      <c r="J121" t="s">
        <v>247</v>
      </c>
      <c r="K121" t="s">
        <v>247</v>
      </c>
      <c r="L121">
        <v>0</v>
      </c>
      <c r="M121">
        <v>0</v>
      </c>
    </row>
    <row r="122" spans="1:13" x14ac:dyDescent="0.25">
      <c r="A122" s="226">
        <v>220</v>
      </c>
      <c r="B122">
        <v>5</v>
      </c>
      <c r="C122">
        <v>13</v>
      </c>
      <c r="D122" s="230">
        <f>IFERROR(INDEX(SkidDB[#All],MATCH(CondUnitDB[[#This Row],[C1 Compressor Skid]],SkidDB[[#All],[Compressor Skid Model Number]],0),8),"")</f>
        <v>12.5</v>
      </c>
      <c r="E122" t="str">
        <f t="shared" si="13"/>
        <v>18:1</v>
      </c>
      <c r="F122" t="str">
        <f>IFERROR(INDEX(SkidDB[#All],MATCH(CondUnitDB[[#This Row],[C1 Compressor Skid]],SkidDB[[#All],[Compressor Skid Model Number]],0),4),"")</f>
        <v>R454B</v>
      </c>
      <c r="G122" t="s">
        <v>335</v>
      </c>
      <c r="H122" t="s">
        <v>247</v>
      </c>
      <c r="I122" t="s">
        <v>247</v>
      </c>
      <c r="J122" t="s">
        <v>247</v>
      </c>
      <c r="K122" t="s">
        <v>224</v>
      </c>
      <c r="L122" t="s">
        <v>224</v>
      </c>
      <c r="M122">
        <v>0</v>
      </c>
    </row>
    <row r="123" spans="1:13" x14ac:dyDescent="0.25">
      <c r="A123" s="226">
        <v>235</v>
      </c>
      <c r="B123">
        <v>5</v>
      </c>
      <c r="C123">
        <v>14</v>
      </c>
      <c r="D123" s="230">
        <f>IFERROR(INDEX(SkidDB[#All],MATCH(CondUnitDB[[#This Row],[C1 Compressor Skid]],SkidDB[[#All],[Compressor Skid Model Number]],0),8),"")</f>
        <v>12.5</v>
      </c>
      <c r="E123" t="str">
        <f t="shared" si="13"/>
        <v>19:1</v>
      </c>
      <c r="F123" t="str">
        <f>IFERROR(INDEX(SkidDB[#All],MATCH(CondUnitDB[[#This Row],[C1 Compressor Skid]],SkidDB[[#All],[Compressor Skid Model Number]],0),4),"")</f>
        <v>R454B</v>
      </c>
      <c r="G123" t="s">
        <v>335</v>
      </c>
      <c r="H123" t="s">
        <v>247</v>
      </c>
      <c r="I123" t="s">
        <v>247</v>
      </c>
      <c r="J123" t="s">
        <v>247</v>
      </c>
      <c r="K123" t="s">
        <v>247</v>
      </c>
      <c r="L123" t="s">
        <v>224</v>
      </c>
      <c r="M123">
        <v>0</v>
      </c>
    </row>
    <row r="124" spans="1:13" x14ac:dyDescent="0.25">
      <c r="A124" s="226">
        <v>250</v>
      </c>
      <c r="B124">
        <v>5</v>
      </c>
      <c r="C124">
        <v>15</v>
      </c>
      <c r="D124" s="230">
        <f>IFERROR(INDEX(SkidDB[#All],MATCH(CondUnitDB[[#This Row],[C1 Compressor Skid]],SkidDB[[#All],[Compressor Skid Model Number]],0),8),"")</f>
        <v>12.5</v>
      </c>
      <c r="E124" t="str">
        <f t="shared" si="13"/>
        <v>20:1</v>
      </c>
      <c r="F124" t="str">
        <f>IFERROR(INDEX(SkidDB[#All],MATCH(CondUnitDB[[#This Row],[C1 Compressor Skid]],SkidDB[[#All],[Compressor Skid Model Number]],0),4),"")</f>
        <v>R454B</v>
      </c>
      <c r="G124" t="s">
        <v>335</v>
      </c>
      <c r="H124" t="s">
        <v>247</v>
      </c>
      <c r="I124" t="s">
        <v>247</v>
      </c>
      <c r="J124" t="s">
        <v>247</v>
      </c>
      <c r="K124" t="s">
        <v>247</v>
      </c>
      <c r="L124" t="s">
        <v>247</v>
      </c>
      <c r="M124">
        <v>0</v>
      </c>
    </row>
    <row r="125" spans="1:13" x14ac:dyDescent="0.25">
      <c r="A125" s="226">
        <v>265</v>
      </c>
      <c r="B125">
        <v>6</v>
      </c>
      <c r="C125">
        <v>16</v>
      </c>
      <c r="D125" s="230">
        <f>IFERROR(INDEX(SkidDB[#All],MATCH(CondUnitDB[[#This Row],[C1 Compressor Skid]],SkidDB[[#All],[Compressor Skid Model Number]],0),8),"")</f>
        <v>12.5</v>
      </c>
      <c r="E125" t="str">
        <f t="shared" si="13"/>
        <v>22:1</v>
      </c>
      <c r="F125" t="str">
        <f>IFERROR(INDEX(SkidDB[#All],MATCH(CondUnitDB[[#This Row],[C1 Compressor Skid]],SkidDB[[#All],[Compressor Skid Model Number]],0),4),"")</f>
        <v>R454B</v>
      </c>
      <c r="G125" t="s">
        <v>335</v>
      </c>
      <c r="H125" t="s">
        <v>247</v>
      </c>
      <c r="I125" t="s">
        <v>247</v>
      </c>
      <c r="J125" t="s">
        <v>247</v>
      </c>
      <c r="K125" t="s">
        <v>247</v>
      </c>
      <c r="L125" t="s">
        <v>224</v>
      </c>
      <c r="M125" t="s">
        <v>224</v>
      </c>
    </row>
    <row r="126" spans="1:13" x14ac:dyDescent="0.25">
      <c r="A126" s="226">
        <v>280</v>
      </c>
      <c r="B126">
        <v>6</v>
      </c>
      <c r="C126">
        <v>17</v>
      </c>
      <c r="D126" s="230">
        <f>IFERROR(INDEX(SkidDB[#All],MATCH(CondUnitDB[[#This Row],[C1 Compressor Skid]],SkidDB[[#All],[Compressor Skid Model Number]],0),8),"")</f>
        <v>12.5</v>
      </c>
      <c r="E126" t="str">
        <f t="shared" si="13"/>
        <v>23:1</v>
      </c>
      <c r="F126" t="str">
        <f>IFERROR(INDEX(SkidDB[#All],MATCH(CondUnitDB[[#This Row],[C1 Compressor Skid]],SkidDB[[#All],[Compressor Skid Model Number]],0),4),"")</f>
        <v>R454B</v>
      </c>
      <c r="G126" t="s">
        <v>335</v>
      </c>
      <c r="H126" t="s">
        <v>247</v>
      </c>
      <c r="I126" t="s">
        <v>247</v>
      </c>
      <c r="J126" t="s">
        <v>247</v>
      </c>
      <c r="K126" t="s">
        <v>247</v>
      </c>
      <c r="L126" t="s">
        <v>247</v>
      </c>
      <c r="M126" t="s">
        <v>224</v>
      </c>
    </row>
    <row r="127" spans="1:13" x14ac:dyDescent="0.25">
      <c r="A127" s="226">
        <v>300</v>
      </c>
      <c r="B127">
        <v>6</v>
      </c>
      <c r="C127">
        <v>18</v>
      </c>
      <c r="D127" s="230">
        <f>IFERROR(INDEX(SkidDB[#All],MATCH(CondUnitDB[[#This Row],[C1 Compressor Skid]],SkidDB[[#All],[Compressor Skid Model Number]],0),8),"")</f>
        <v>12.5</v>
      </c>
      <c r="E127" t="str">
        <f t="shared" si="13"/>
        <v>24:1</v>
      </c>
      <c r="F127" t="str">
        <f>IFERROR(INDEX(SkidDB[#All],MATCH(CondUnitDB[[#This Row],[C1 Compressor Skid]],SkidDB[[#All],[Compressor Skid Model Number]],0),4),"")</f>
        <v>R454B</v>
      </c>
      <c r="G127" t="s">
        <v>335</v>
      </c>
      <c r="H127" t="s">
        <v>247</v>
      </c>
      <c r="I127" t="s">
        <v>247</v>
      </c>
      <c r="J127" t="s">
        <v>247</v>
      </c>
      <c r="K127" t="s">
        <v>247</v>
      </c>
      <c r="L127" t="s">
        <v>247</v>
      </c>
      <c r="M127" t="s">
        <v>247</v>
      </c>
    </row>
    <row r="128" spans="1:13" x14ac:dyDescent="0.25">
      <c r="A128" s="226">
        <v>13</v>
      </c>
      <c r="B128">
        <v>1</v>
      </c>
      <c r="C128">
        <v>1</v>
      </c>
      <c r="D128" s="230">
        <f>IFERROR(INDEX(SkidDB[#All],MATCH(CondUnitDB[[#This Row],[C1 Compressor Skid]],SkidDB[[#All],[Compressor Skid Model Number]],0),8),"")</f>
        <v>3.25</v>
      </c>
      <c r="E128" t="str">
        <f t="shared" ref="E128:E150" si="14">IFERROR(ROUNDUP(A128/D128,0)&amp;":1","")</f>
        <v>4:1</v>
      </c>
      <c r="F128" t="str">
        <f>IFERROR(INDEX(SkidDB[#All],MATCH(CondUnitDB[[#This Row],[C1 Compressor Skid]],SkidDB[[#All],[Compressor Skid Model Number]],0),4),"")</f>
        <v>R454B</v>
      </c>
      <c r="G128" t="s">
        <v>344</v>
      </c>
      <c r="H128" t="s">
        <v>254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 x14ac:dyDescent="0.25">
      <c r="A129" s="226">
        <v>17</v>
      </c>
      <c r="B129">
        <v>1</v>
      </c>
      <c r="C129">
        <v>1</v>
      </c>
      <c r="D129" s="230">
        <f>IFERROR(INDEX(SkidDB[#All],MATCH(CondUnitDB[[#This Row],[C1 Compressor Skid]],SkidDB[[#All],[Compressor Skid Model Number]],0),8),"")</f>
        <v>4.25</v>
      </c>
      <c r="E129" t="str">
        <f t="shared" si="14"/>
        <v>4:1</v>
      </c>
      <c r="F129" t="str">
        <f>IFERROR(INDEX(SkidDB[#All],MATCH(CondUnitDB[[#This Row],[C1 Compressor Skid]],SkidDB[[#All],[Compressor Skid Model Number]],0),4),"")</f>
        <v>R454B</v>
      </c>
      <c r="G129" t="s">
        <v>344</v>
      </c>
      <c r="H129" t="s">
        <v>259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 x14ac:dyDescent="0.25">
      <c r="A130" s="226">
        <v>25</v>
      </c>
      <c r="B130">
        <v>1</v>
      </c>
      <c r="C130">
        <v>2</v>
      </c>
      <c r="D130" s="230">
        <f>IFERROR(INDEX(SkidDB[#All],MATCH(CondUnitDB[[#This Row],[C1 Compressor Skid]],SkidDB[[#All],[Compressor Skid Model Number]],0),8),"")</f>
        <v>6.5</v>
      </c>
      <c r="E130" t="str">
        <f t="shared" si="14"/>
        <v>4:1</v>
      </c>
      <c r="F130" t="str">
        <f>IFERROR(INDEX(SkidDB[#All],MATCH(CondUnitDB[[#This Row],[C1 Compressor Skid]],SkidDB[[#All],[Compressor Skid Model Number]],0),4),"")</f>
        <v>R454B</v>
      </c>
      <c r="G130" t="s">
        <v>344</v>
      </c>
      <c r="H130" t="s">
        <v>264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 x14ac:dyDescent="0.25">
      <c r="A131" s="226">
        <v>26</v>
      </c>
      <c r="B131">
        <v>2</v>
      </c>
      <c r="C131">
        <v>2</v>
      </c>
      <c r="D131" s="230">
        <f>IFERROR(INDEX(SkidDB[#All],MATCH(CondUnitDB[[#This Row],[C1 Compressor Skid]],SkidDB[[#All],[Compressor Skid Model Number]],0),8),"")</f>
        <v>3.25</v>
      </c>
      <c r="E131" t="str">
        <f t="shared" si="14"/>
        <v>8:1</v>
      </c>
      <c r="F131" t="str">
        <f>IFERROR(INDEX(SkidDB[#All],MATCH(CondUnitDB[[#This Row],[C1 Compressor Skid]],SkidDB[[#All],[Compressor Skid Model Number]],0),4),"")</f>
        <v>R454B</v>
      </c>
      <c r="G131" t="s">
        <v>344</v>
      </c>
      <c r="H131" t="s">
        <v>254</v>
      </c>
      <c r="I131" t="s">
        <v>254</v>
      </c>
      <c r="J131">
        <v>0</v>
      </c>
      <c r="K131">
        <v>0</v>
      </c>
      <c r="L131">
        <v>0</v>
      </c>
      <c r="M131">
        <v>0</v>
      </c>
    </row>
    <row r="132" spans="1:13" x14ac:dyDescent="0.25">
      <c r="A132" s="226">
        <v>35</v>
      </c>
      <c r="B132">
        <v>1</v>
      </c>
      <c r="C132">
        <v>2</v>
      </c>
      <c r="D132" s="230">
        <f>IFERROR(INDEX(SkidDB[#All],MATCH(CondUnitDB[[#This Row],[C1 Compressor Skid]],SkidDB[[#All],[Compressor Skid Model Number]],0),8),"")</f>
        <v>8.75</v>
      </c>
      <c r="E132" t="str">
        <f t="shared" si="14"/>
        <v>4:1</v>
      </c>
      <c r="F132" t="str">
        <f>IFERROR(INDEX(SkidDB[#All],MATCH(CondUnitDB[[#This Row],[C1 Compressor Skid]],SkidDB[[#All],[Compressor Skid Model Number]],0),4),"")</f>
        <v>R454B</v>
      </c>
      <c r="G132" t="s">
        <v>344</v>
      </c>
      <c r="H132" t="s">
        <v>269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 x14ac:dyDescent="0.25">
      <c r="A133" s="226">
        <v>36</v>
      </c>
      <c r="B133">
        <v>2</v>
      </c>
      <c r="C133">
        <v>2</v>
      </c>
      <c r="D133" s="230">
        <f>IFERROR(INDEX(SkidDB[#All],MATCH(CondUnitDB[[#This Row],[C1 Compressor Skid]],SkidDB[[#All],[Compressor Skid Model Number]],0),8),"")</f>
        <v>4.25</v>
      </c>
      <c r="E133" t="str">
        <f t="shared" si="14"/>
        <v>9:1</v>
      </c>
      <c r="F133" t="str">
        <f>IFERROR(INDEX(SkidDB[#All],MATCH(CondUnitDB[[#This Row],[C1 Compressor Skid]],SkidDB[[#All],[Compressor Skid Model Number]],0),4),"")</f>
        <v>R454B</v>
      </c>
      <c r="G133" t="s">
        <v>344</v>
      </c>
      <c r="H133" t="s">
        <v>259</v>
      </c>
      <c r="I133" t="s">
        <v>259</v>
      </c>
      <c r="J133">
        <v>0</v>
      </c>
      <c r="K133">
        <v>0</v>
      </c>
      <c r="L133">
        <v>0</v>
      </c>
      <c r="M133">
        <v>0</v>
      </c>
    </row>
    <row r="134" spans="1:13" x14ac:dyDescent="0.25">
      <c r="A134" s="226">
        <v>40</v>
      </c>
      <c r="B134">
        <v>1</v>
      </c>
      <c r="C134">
        <v>3</v>
      </c>
      <c r="D134" s="230">
        <f>IFERROR(INDEX(SkidDB[#All],MATCH(CondUnitDB[[#This Row],[C1 Compressor Skid]],SkidDB[[#All],[Compressor Skid Model Number]],0),8),"")</f>
        <v>10</v>
      </c>
      <c r="E134" t="str">
        <f t="shared" si="14"/>
        <v>4:1</v>
      </c>
      <c r="F134" t="str">
        <f>IFERROR(INDEX(SkidDB[#All],MATCH(CondUnitDB[[#This Row],[C1 Compressor Skid]],SkidDB[[#All],[Compressor Skid Model Number]],0),4),"")</f>
        <v>R454B</v>
      </c>
      <c r="G134" t="s">
        <v>344</v>
      </c>
      <c r="H134" t="s">
        <v>274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 x14ac:dyDescent="0.25">
      <c r="A135" s="226">
        <v>50</v>
      </c>
      <c r="B135">
        <v>1</v>
      </c>
      <c r="C135">
        <v>3</v>
      </c>
      <c r="D135" s="230">
        <f>IFERROR(INDEX(SkidDB[#All],MATCH(CondUnitDB[[#This Row],[C1 Compressor Skid]],SkidDB[[#All],[Compressor Skid Model Number]],0),8),"")</f>
        <v>12.5</v>
      </c>
      <c r="E135" t="str">
        <f t="shared" si="14"/>
        <v>4:1</v>
      </c>
      <c r="F135" t="str">
        <f>IFERROR(INDEX(SkidDB[#All],MATCH(CondUnitDB[[#This Row],[C1 Compressor Skid]],SkidDB[[#All],[Compressor Skid Model Number]],0),4),"")</f>
        <v>R454B</v>
      </c>
      <c r="G135" t="s">
        <v>344</v>
      </c>
      <c r="H135" t="s">
        <v>278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 x14ac:dyDescent="0.25">
      <c r="A136" s="226">
        <v>70</v>
      </c>
      <c r="B136">
        <v>2</v>
      </c>
      <c r="C136">
        <v>4</v>
      </c>
      <c r="D136" s="230">
        <f>IFERROR(INDEX(SkidDB[#All],MATCH(CondUnitDB[[#This Row],[C1 Compressor Skid]],SkidDB[[#All],[Compressor Skid Model Number]],0),8),"")</f>
        <v>8.75</v>
      </c>
      <c r="E136" t="str">
        <f t="shared" si="14"/>
        <v>8:1</v>
      </c>
      <c r="F136" t="str">
        <f>IFERROR(INDEX(SkidDB[#All],MATCH(CondUnitDB[[#This Row],[C1 Compressor Skid]],SkidDB[[#All],[Compressor Skid Model Number]],0),4),"")</f>
        <v>R454B</v>
      </c>
      <c r="G136" t="s">
        <v>344</v>
      </c>
      <c r="H136" t="s">
        <v>269</v>
      </c>
      <c r="I136" t="s">
        <v>269</v>
      </c>
      <c r="J136">
        <v>0</v>
      </c>
      <c r="K136">
        <v>0</v>
      </c>
      <c r="L136">
        <v>0</v>
      </c>
      <c r="M136">
        <v>0</v>
      </c>
    </row>
    <row r="137" spans="1:13" x14ac:dyDescent="0.25">
      <c r="A137" s="226">
        <v>80</v>
      </c>
      <c r="B137">
        <v>2</v>
      </c>
      <c r="C137">
        <v>5</v>
      </c>
      <c r="D137" s="230">
        <f>IFERROR(INDEX(SkidDB[#All],MATCH(CondUnitDB[[#This Row],[C1 Compressor Skid]],SkidDB[[#All],[Compressor Skid Model Number]],0),8),"")</f>
        <v>12.5</v>
      </c>
      <c r="E137" t="str">
        <f t="shared" si="14"/>
        <v>7:1</v>
      </c>
      <c r="F137" t="str">
        <f>IFERROR(INDEX(SkidDB[#All],MATCH(CondUnitDB[[#This Row],[C1 Compressor Skid]],SkidDB[[#All],[Compressor Skid Model Number]],0),4),"")</f>
        <v>R454B</v>
      </c>
      <c r="G137" t="s">
        <v>344</v>
      </c>
      <c r="H137" t="s">
        <v>278</v>
      </c>
      <c r="I137" t="s">
        <v>269</v>
      </c>
      <c r="J137">
        <v>0</v>
      </c>
      <c r="K137">
        <v>0</v>
      </c>
      <c r="L137">
        <v>0</v>
      </c>
      <c r="M137">
        <v>0</v>
      </c>
    </row>
    <row r="138" spans="1:13" x14ac:dyDescent="0.25">
      <c r="A138" s="226">
        <v>100</v>
      </c>
      <c r="B138">
        <v>2</v>
      </c>
      <c r="C138">
        <v>6</v>
      </c>
      <c r="D138" s="230">
        <f>IFERROR(INDEX(SkidDB[#All],MATCH(CondUnitDB[[#This Row],[C1 Compressor Skid]],SkidDB[[#All],[Compressor Skid Model Number]],0),8),"")</f>
        <v>12.5</v>
      </c>
      <c r="E138" t="str">
        <f t="shared" si="14"/>
        <v>8:1</v>
      </c>
      <c r="F138" t="str">
        <f>IFERROR(INDEX(SkidDB[#All],MATCH(CondUnitDB[[#This Row],[C1 Compressor Skid]],SkidDB[[#All],[Compressor Skid Model Number]],0),4),"")</f>
        <v>R454B</v>
      </c>
      <c r="G138" t="s">
        <v>344</v>
      </c>
      <c r="H138" t="s">
        <v>278</v>
      </c>
      <c r="I138" t="s">
        <v>278</v>
      </c>
      <c r="J138">
        <v>0</v>
      </c>
      <c r="K138">
        <v>0</v>
      </c>
      <c r="L138">
        <v>0</v>
      </c>
      <c r="M138">
        <v>0</v>
      </c>
    </row>
    <row r="139" spans="1:13" x14ac:dyDescent="0.25">
      <c r="A139" s="226">
        <v>120</v>
      </c>
      <c r="B139">
        <v>3</v>
      </c>
      <c r="C139">
        <v>7</v>
      </c>
      <c r="D139" s="230">
        <f>IFERROR(INDEX(SkidDB[#All],MATCH(CondUnitDB[[#This Row],[C1 Compressor Skid]],SkidDB[[#All],[Compressor Skid Model Number]],0),8),"")</f>
        <v>12.5</v>
      </c>
      <c r="E139" t="str">
        <f>IFERROR(ROUNDUP(A139/D139,0)&amp;":1","")</f>
        <v>10:1</v>
      </c>
      <c r="F139" t="str">
        <f>IFERROR(INDEX(SkidDB[#All],MATCH(CondUnitDB[[#This Row],[C1 Compressor Skid]],SkidDB[[#All],[Compressor Skid Model Number]],0),4),"")</f>
        <v>R454B</v>
      </c>
      <c r="G139" t="s">
        <v>344</v>
      </c>
      <c r="H139" t="s">
        <v>278</v>
      </c>
      <c r="I139" t="s">
        <v>269</v>
      </c>
      <c r="J139" t="s">
        <v>269</v>
      </c>
      <c r="K139">
        <v>0</v>
      </c>
      <c r="L139">
        <v>0</v>
      </c>
      <c r="M139">
        <v>0</v>
      </c>
    </row>
    <row r="140" spans="1:13" x14ac:dyDescent="0.25">
      <c r="A140" s="226">
        <v>135</v>
      </c>
      <c r="B140">
        <v>3</v>
      </c>
      <c r="C140">
        <v>8</v>
      </c>
      <c r="D140" s="230">
        <f>IFERROR(INDEX(SkidDB[#All],MATCH(CondUnitDB[[#This Row],[C1 Compressor Skid]],SkidDB[[#All],[Compressor Skid Model Number]],0),8),"")</f>
        <v>12.5</v>
      </c>
      <c r="E140" t="str">
        <f t="shared" si="14"/>
        <v>11:1</v>
      </c>
      <c r="F140" t="str">
        <f>IFERROR(INDEX(SkidDB[#All],MATCH(CondUnitDB[[#This Row],[C1 Compressor Skid]],SkidDB[[#All],[Compressor Skid Model Number]],0),4),"")</f>
        <v>R454B</v>
      </c>
      <c r="G140" t="s">
        <v>344</v>
      </c>
      <c r="H140" t="s">
        <v>278</v>
      </c>
      <c r="I140" t="s">
        <v>278</v>
      </c>
      <c r="J140" t="s">
        <v>269</v>
      </c>
      <c r="K140">
        <v>0</v>
      </c>
      <c r="L140">
        <v>0</v>
      </c>
      <c r="M140">
        <v>0</v>
      </c>
    </row>
    <row r="141" spans="1:13" x14ac:dyDescent="0.25">
      <c r="A141" s="226">
        <v>150</v>
      </c>
      <c r="B141">
        <v>3</v>
      </c>
      <c r="C141">
        <v>9</v>
      </c>
      <c r="D141" s="230">
        <f>IFERROR(INDEX(SkidDB[#All],MATCH(CondUnitDB[[#This Row],[C1 Compressor Skid]],SkidDB[[#All],[Compressor Skid Model Number]],0),8),"")</f>
        <v>12.5</v>
      </c>
      <c r="E141" t="str">
        <f t="shared" si="14"/>
        <v>12:1</v>
      </c>
      <c r="F141" t="str">
        <f>IFERROR(INDEX(SkidDB[#All],MATCH(CondUnitDB[[#This Row],[C1 Compressor Skid]],SkidDB[[#All],[Compressor Skid Model Number]],0),4),"")</f>
        <v>R454B</v>
      </c>
      <c r="G141" t="s">
        <v>344</v>
      </c>
      <c r="H141" t="s">
        <v>278</v>
      </c>
      <c r="I141" t="s">
        <v>278</v>
      </c>
      <c r="J141" t="s">
        <v>278</v>
      </c>
      <c r="K141">
        <v>0</v>
      </c>
      <c r="L141">
        <v>0</v>
      </c>
      <c r="M141">
        <v>0</v>
      </c>
    </row>
    <row r="142" spans="1:13" x14ac:dyDescent="0.25">
      <c r="A142" s="226">
        <v>170</v>
      </c>
      <c r="B142">
        <v>4</v>
      </c>
      <c r="C142">
        <v>10</v>
      </c>
      <c r="D142" s="230">
        <f>IFERROR(INDEX(SkidDB[#All],MATCH(CondUnitDB[[#This Row],[C1 Compressor Skid]],SkidDB[[#All],[Compressor Skid Model Number]],0),8),"")</f>
        <v>12.5</v>
      </c>
      <c r="E142" t="str">
        <f t="shared" si="14"/>
        <v>14:1</v>
      </c>
      <c r="F142" t="str">
        <f>IFERROR(INDEX(SkidDB[#All],MATCH(CondUnitDB[[#This Row],[C1 Compressor Skid]],SkidDB[[#All],[Compressor Skid Model Number]],0),4),"")</f>
        <v>R454B</v>
      </c>
      <c r="G142" t="s">
        <v>344</v>
      </c>
      <c r="H142" t="s">
        <v>278</v>
      </c>
      <c r="I142" t="s">
        <v>278</v>
      </c>
      <c r="J142" t="s">
        <v>269</v>
      </c>
      <c r="K142" t="s">
        <v>269</v>
      </c>
      <c r="L142">
        <v>0</v>
      </c>
      <c r="M142">
        <v>0</v>
      </c>
    </row>
    <row r="143" spans="1:13" x14ac:dyDescent="0.25">
      <c r="A143" s="226">
        <v>185</v>
      </c>
      <c r="B143">
        <v>4</v>
      </c>
      <c r="C143">
        <v>11</v>
      </c>
      <c r="D143" s="230">
        <f>IFERROR(INDEX(SkidDB[#All],MATCH(CondUnitDB[[#This Row],[C1 Compressor Skid]],SkidDB[[#All],[Compressor Skid Model Number]],0),8),"")</f>
        <v>12.5</v>
      </c>
      <c r="E143" t="str">
        <f t="shared" si="14"/>
        <v>15:1</v>
      </c>
      <c r="F143" t="str">
        <f>IFERROR(INDEX(SkidDB[#All],MATCH(CondUnitDB[[#This Row],[C1 Compressor Skid]],SkidDB[[#All],[Compressor Skid Model Number]],0),4),"")</f>
        <v>R454B</v>
      </c>
      <c r="G143" t="s">
        <v>344</v>
      </c>
      <c r="H143" t="s">
        <v>278</v>
      </c>
      <c r="I143" t="s">
        <v>278</v>
      </c>
      <c r="J143" t="s">
        <v>278</v>
      </c>
      <c r="K143" t="s">
        <v>269</v>
      </c>
      <c r="L143">
        <v>0</v>
      </c>
      <c r="M143">
        <v>0</v>
      </c>
    </row>
    <row r="144" spans="1:13" x14ac:dyDescent="0.25">
      <c r="A144" s="226">
        <v>200</v>
      </c>
      <c r="B144">
        <v>4</v>
      </c>
      <c r="C144">
        <v>12</v>
      </c>
      <c r="D144" s="230">
        <f>IFERROR(INDEX(SkidDB[#All],MATCH(CondUnitDB[[#This Row],[C1 Compressor Skid]],SkidDB[[#All],[Compressor Skid Model Number]],0),8),"")</f>
        <v>12.5</v>
      </c>
      <c r="E144" t="str">
        <f t="shared" si="14"/>
        <v>16:1</v>
      </c>
      <c r="F144" t="str">
        <f>IFERROR(INDEX(SkidDB[#All],MATCH(CondUnitDB[[#This Row],[C1 Compressor Skid]],SkidDB[[#All],[Compressor Skid Model Number]],0),4),"")</f>
        <v>R454B</v>
      </c>
      <c r="G144" t="s">
        <v>344</v>
      </c>
      <c r="H144" t="s">
        <v>278</v>
      </c>
      <c r="I144" t="s">
        <v>278</v>
      </c>
      <c r="J144" t="s">
        <v>278</v>
      </c>
      <c r="K144" t="s">
        <v>278</v>
      </c>
      <c r="L144">
        <v>0</v>
      </c>
      <c r="M144">
        <v>0</v>
      </c>
    </row>
    <row r="145" spans="1:13" x14ac:dyDescent="0.25">
      <c r="A145" s="226">
        <v>220</v>
      </c>
      <c r="B145">
        <v>5</v>
      </c>
      <c r="C145">
        <v>13</v>
      </c>
      <c r="D145" s="230">
        <f>IFERROR(INDEX(SkidDB[#All],MATCH(CondUnitDB[[#This Row],[C1 Compressor Skid]],SkidDB[[#All],[Compressor Skid Model Number]],0),8),"")</f>
        <v>12.5</v>
      </c>
      <c r="E145" t="str">
        <f t="shared" si="14"/>
        <v>18:1</v>
      </c>
      <c r="F145" t="str">
        <f>IFERROR(INDEX(SkidDB[#All],MATCH(CondUnitDB[[#This Row],[C1 Compressor Skid]],SkidDB[[#All],[Compressor Skid Model Number]],0),4),"")</f>
        <v>R454B</v>
      </c>
      <c r="G145" t="s">
        <v>344</v>
      </c>
      <c r="H145" t="s">
        <v>278</v>
      </c>
      <c r="I145" t="s">
        <v>278</v>
      </c>
      <c r="J145" t="s">
        <v>278</v>
      </c>
      <c r="K145" t="s">
        <v>269</v>
      </c>
      <c r="L145" t="s">
        <v>269</v>
      </c>
      <c r="M145">
        <v>0</v>
      </c>
    </row>
    <row r="146" spans="1:13" x14ac:dyDescent="0.25">
      <c r="A146" s="226">
        <v>235</v>
      </c>
      <c r="B146">
        <v>5</v>
      </c>
      <c r="C146">
        <v>14</v>
      </c>
      <c r="D146" s="230">
        <f>IFERROR(INDEX(SkidDB[#All],MATCH(CondUnitDB[[#This Row],[C1 Compressor Skid]],SkidDB[[#All],[Compressor Skid Model Number]],0),8),"")</f>
        <v>12.5</v>
      </c>
      <c r="E146" t="str">
        <f t="shared" si="14"/>
        <v>19:1</v>
      </c>
      <c r="F146" t="str">
        <f>IFERROR(INDEX(SkidDB[#All],MATCH(CondUnitDB[[#This Row],[C1 Compressor Skid]],SkidDB[[#All],[Compressor Skid Model Number]],0),4),"")</f>
        <v>R454B</v>
      </c>
      <c r="G146" t="s">
        <v>344</v>
      </c>
      <c r="H146" t="s">
        <v>278</v>
      </c>
      <c r="I146" t="s">
        <v>278</v>
      </c>
      <c r="J146" t="s">
        <v>278</v>
      </c>
      <c r="K146" t="s">
        <v>278</v>
      </c>
      <c r="L146" t="s">
        <v>269</v>
      </c>
      <c r="M146">
        <v>0</v>
      </c>
    </row>
    <row r="147" spans="1:13" x14ac:dyDescent="0.25">
      <c r="A147" s="226">
        <v>250</v>
      </c>
      <c r="B147">
        <v>5</v>
      </c>
      <c r="C147">
        <v>15</v>
      </c>
      <c r="D147" s="230">
        <f>IFERROR(INDEX(SkidDB[#All],MATCH(CondUnitDB[[#This Row],[C1 Compressor Skid]],SkidDB[[#All],[Compressor Skid Model Number]],0),8),"")</f>
        <v>12.5</v>
      </c>
      <c r="E147" t="str">
        <f t="shared" si="14"/>
        <v>20:1</v>
      </c>
      <c r="F147" t="str">
        <f>IFERROR(INDEX(SkidDB[#All],MATCH(CondUnitDB[[#This Row],[C1 Compressor Skid]],SkidDB[[#All],[Compressor Skid Model Number]],0),4),"")</f>
        <v>R454B</v>
      </c>
      <c r="G147" t="s">
        <v>344</v>
      </c>
      <c r="H147" t="s">
        <v>278</v>
      </c>
      <c r="I147" t="s">
        <v>278</v>
      </c>
      <c r="J147" t="s">
        <v>278</v>
      </c>
      <c r="K147" t="s">
        <v>278</v>
      </c>
      <c r="L147" t="s">
        <v>278</v>
      </c>
      <c r="M147">
        <v>0</v>
      </c>
    </row>
    <row r="148" spans="1:13" x14ac:dyDescent="0.25">
      <c r="A148" s="226">
        <v>265</v>
      </c>
      <c r="B148">
        <v>6</v>
      </c>
      <c r="C148">
        <v>16</v>
      </c>
      <c r="D148" s="230">
        <f>IFERROR(INDEX(SkidDB[#All],MATCH(CondUnitDB[[#This Row],[C1 Compressor Skid]],SkidDB[[#All],[Compressor Skid Model Number]],0),8),"")</f>
        <v>12.5</v>
      </c>
      <c r="E148" t="str">
        <f t="shared" si="14"/>
        <v>22:1</v>
      </c>
      <c r="F148" t="str">
        <f>IFERROR(INDEX(SkidDB[#All],MATCH(CondUnitDB[[#This Row],[C1 Compressor Skid]],SkidDB[[#All],[Compressor Skid Model Number]],0),4),"")</f>
        <v>R454B</v>
      </c>
      <c r="G148" t="s">
        <v>344</v>
      </c>
      <c r="H148" t="s">
        <v>278</v>
      </c>
      <c r="I148" t="s">
        <v>278</v>
      </c>
      <c r="J148" t="s">
        <v>278</v>
      </c>
      <c r="K148" t="s">
        <v>278</v>
      </c>
      <c r="L148" t="s">
        <v>269</v>
      </c>
      <c r="M148" t="s">
        <v>269</v>
      </c>
    </row>
    <row r="149" spans="1:13" x14ac:dyDescent="0.25">
      <c r="A149" s="226">
        <v>280</v>
      </c>
      <c r="B149">
        <v>6</v>
      </c>
      <c r="C149">
        <v>17</v>
      </c>
      <c r="D149" s="230">
        <f>IFERROR(INDEX(SkidDB[#All],MATCH(CondUnitDB[[#This Row],[C1 Compressor Skid]],SkidDB[[#All],[Compressor Skid Model Number]],0),8),"")</f>
        <v>12.5</v>
      </c>
      <c r="E149" t="str">
        <f t="shared" si="14"/>
        <v>23:1</v>
      </c>
      <c r="F149" t="str">
        <f>IFERROR(INDEX(SkidDB[#All],MATCH(CondUnitDB[[#This Row],[C1 Compressor Skid]],SkidDB[[#All],[Compressor Skid Model Number]],0),4),"")</f>
        <v>R454B</v>
      </c>
      <c r="G149" t="s">
        <v>344</v>
      </c>
      <c r="H149" t="s">
        <v>278</v>
      </c>
      <c r="I149" t="s">
        <v>278</v>
      </c>
      <c r="J149" t="s">
        <v>278</v>
      </c>
      <c r="K149" t="s">
        <v>278</v>
      </c>
      <c r="L149" t="s">
        <v>278</v>
      </c>
      <c r="M149" t="s">
        <v>269</v>
      </c>
    </row>
    <row r="150" spans="1:13" x14ac:dyDescent="0.25">
      <c r="A150" s="226">
        <v>300</v>
      </c>
      <c r="B150">
        <v>6</v>
      </c>
      <c r="C150">
        <v>18</v>
      </c>
      <c r="D150" s="230">
        <f>IFERROR(INDEX(SkidDB[#All],MATCH(CondUnitDB[[#This Row],[C1 Compressor Skid]],SkidDB[[#All],[Compressor Skid Model Number]],0),8),"")</f>
        <v>12.5</v>
      </c>
      <c r="E150" t="str">
        <f t="shared" si="14"/>
        <v>24:1</v>
      </c>
      <c r="F150" t="str">
        <f>IFERROR(INDEX(SkidDB[#All],MATCH(CondUnitDB[[#This Row],[C1 Compressor Skid]],SkidDB[[#All],[Compressor Skid Model Number]],0),4),"")</f>
        <v>R454B</v>
      </c>
      <c r="G150" t="s">
        <v>344</v>
      </c>
      <c r="H150" t="s">
        <v>278</v>
      </c>
      <c r="I150" t="s">
        <v>278</v>
      </c>
      <c r="J150" t="s">
        <v>278</v>
      </c>
      <c r="K150" t="s">
        <v>278</v>
      </c>
      <c r="L150" t="s">
        <v>278</v>
      </c>
      <c r="M150" t="s">
        <v>278</v>
      </c>
    </row>
    <row r="156" spans="1:13" ht="30" x14ac:dyDescent="0.25">
      <c r="A156" s="260" t="s">
        <v>349</v>
      </c>
      <c r="B156" s="260" t="s">
        <v>358</v>
      </c>
      <c r="C156" s="260" t="s">
        <v>313</v>
      </c>
      <c r="D156" s="260" t="s">
        <v>109</v>
      </c>
      <c r="E156" s="260" t="s">
        <v>350</v>
      </c>
      <c r="F156" s="260" t="s">
        <v>351</v>
      </c>
      <c r="G156" s="260" t="s">
        <v>352</v>
      </c>
      <c r="H156" s="260" t="s">
        <v>488</v>
      </c>
      <c r="I156" s="260" t="s">
        <v>489</v>
      </c>
      <c r="J156" s="260" t="s">
        <v>490</v>
      </c>
    </row>
    <row r="157" spans="1:13" x14ac:dyDescent="0.25">
      <c r="A157" t="s">
        <v>367</v>
      </c>
      <c r="B157" t="s">
        <v>335</v>
      </c>
      <c r="C157" s="227">
        <f>115327/12000</f>
        <v>9.6105833333333326</v>
      </c>
      <c r="D157" t="s">
        <v>368</v>
      </c>
      <c r="E157" s="228">
        <v>11077</v>
      </c>
      <c r="F157" s="229">
        <v>33.4</v>
      </c>
      <c r="G157" t="s">
        <v>369</v>
      </c>
      <c r="I157" t="s">
        <v>491</v>
      </c>
    </row>
    <row r="158" spans="1:13" x14ac:dyDescent="0.25">
      <c r="A158" t="s">
        <v>378</v>
      </c>
      <c r="B158" t="s">
        <v>335</v>
      </c>
      <c r="C158" s="227">
        <f>115327/12000</f>
        <v>9.6105833333333326</v>
      </c>
      <c r="D158" t="s">
        <v>379</v>
      </c>
      <c r="E158" s="228">
        <v>11044</v>
      </c>
      <c r="F158" s="229">
        <v>20</v>
      </c>
      <c r="G158" t="s">
        <v>369</v>
      </c>
      <c r="I158" t="s">
        <v>492</v>
      </c>
    </row>
    <row r="159" spans="1:13" x14ac:dyDescent="0.25">
      <c r="A159" t="s">
        <v>378</v>
      </c>
      <c r="B159" t="s">
        <v>335</v>
      </c>
      <c r="C159" s="227">
        <f>115327/12000</f>
        <v>9.6105833333333326</v>
      </c>
      <c r="D159" t="s">
        <v>386</v>
      </c>
      <c r="E159" s="228">
        <v>11044</v>
      </c>
      <c r="F159" s="229">
        <v>23.9</v>
      </c>
      <c r="G159" t="s">
        <v>369</v>
      </c>
      <c r="I159" t="s">
        <v>493</v>
      </c>
    </row>
    <row r="160" spans="1:13" x14ac:dyDescent="0.25">
      <c r="A160" t="s">
        <v>337</v>
      </c>
      <c r="B160" t="s">
        <v>335</v>
      </c>
      <c r="C160" s="227">
        <f>160781/12000</f>
        <v>13.398416666666666</v>
      </c>
      <c r="D160" t="s">
        <v>368</v>
      </c>
      <c r="E160" s="228">
        <v>14125</v>
      </c>
      <c r="F160" s="229">
        <v>42.46</v>
      </c>
      <c r="G160" t="s">
        <v>369</v>
      </c>
      <c r="I160" t="s">
        <v>491</v>
      </c>
    </row>
    <row r="161" spans="1:10" x14ac:dyDescent="0.25">
      <c r="A161" t="s">
        <v>338</v>
      </c>
      <c r="B161" t="s">
        <v>335</v>
      </c>
      <c r="C161" s="227">
        <f>160781/12000</f>
        <v>13.398416666666666</v>
      </c>
      <c r="D161" t="s">
        <v>386</v>
      </c>
      <c r="E161" s="228">
        <v>13392</v>
      </c>
      <c r="F161" s="229">
        <v>19.899999999999999</v>
      </c>
      <c r="G161" t="s">
        <v>369</v>
      </c>
      <c r="I161" t="s">
        <v>493</v>
      </c>
    </row>
    <row r="162" spans="1:10" x14ac:dyDescent="0.25">
      <c r="A162" t="s">
        <v>338</v>
      </c>
      <c r="B162" t="s">
        <v>335</v>
      </c>
      <c r="C162" s="227">
        <f>160781/12000</f>
        <v>13.398416666666666</v>
      </c>
      <c r="D162" t="s">
        <v>379</v>
      </c>
      <c r="E162" s="228">
        <v>13392</v>
      </c>
      <c r="F162" s="229">
        <v>16.600000000000001</v>
      </c>
      <c r="G162" t="s">
        <v>369</v>
      </c>
      <c r="I162" t="s">
        <v>492</v>
      </c>
    </row>
    <row r="163" spans="1:10" x14ac:dyDescent="0.25">
      <c r="A163" t="s">
        <v>339</v>
      </c>
      <c r="B163" t="s">
        <v>335</v>
      </c>
      <c r="C163" s="227">
        <f>171559/12000</f>
        <v>14.296583333333333</v>
      </c>
      <c r="D163" t="s">
        <v>368</v>
      </c>
      <c r="E163" s="228">
        <v>15935</v>
      </c>
      <c r="F163" s="229">
        <v>52.5</v>
      </c>
      <c r="G163" t="s">
        <v>369</v>
      </c>
      <c r="I163" t="s">
        <v>494</v>
      </c>
    </row>
    <row r="164" spans="1:10" x14ac:dyDescent="0.25">
      <c r="A164" t="s">
        <v>340</v>
      </c>
      <c r="B164" t="s">
        <v>335</v>
      </c>
      <c r="C164" s="227">
        <f>171559/12000</f>
        <v>14.296583333333333</v>
      </c>
      <c r="D164" t="s">
        <v>379</v>
      </c>
      <c r="E164" s="228">
        <v>16104</v>
      </c>
      <c r="F164" s="229">
        <v>23.4</v>
      </c>
      <c r="G164" t="s">
        <v>369</v>
      </c>
      <c r="I164" t="s">
        <v>495</v>
      </c>
    </row>
    <row r="165" spans="1:10" x14ac:dyDescent="0.25">
      <c r="A165" t="s">
        <v>340</v>
      </c>
      <c r="B165" t="s">
        <v>335</v>
      </c>
      <c r="C165" s="227">
        <f>171559/12000</f>
        <v>14.296583333333333</v>
      </c>
      <c r="D165" t="s">
        <v>386</v>
      </c>
      <c r="E165" s="228">
        <v>16104</v>
      </c>
      <c r="F165" s="229">
        <v>28.05</v>
      </c>
      <c r="G165" t="s">
        <v>369</v>
      </c>
      <c r="I165" t="s">
        <v>496</v>
      </c>
    </row>
    <row r="166" spans="1:10" x14ac:dyDescent="0.25">
      <c r="A166" t="s">
        <v>341</v>
      </c>
      <c r="B166" t="s">
        <v>335</v>
      </c>
      <c r="C166" s="227">
        <f>191358/12000</f>
        <v>15.9465</v>
      </c>
      <c r="D166" t="s">
        <v>368</v>
      </c>
      <c r="E166" s="228">
        <v>17908</v>
      </c>
      <c r="F166" s="229">
        <v>53.54</v>
      </c>
      <c r="G166" t="s">
        <v>369</v>
      </c>
      <c r="I166" t="s">
        <v>494</v>
      </c>
    </row>
    <row r="167" spans="1:10" x14ac:dyDescent="0.25">
      <c r="A167" t="s">
        <v>342</v>
      </c>
      <c r="B167" t="s">
        <v>335</v>
      </c>
      <c r="C167" s="227">
        <f>191358/12000</f>
        <v>15.9465</v>
      </c>
      <c r="D167" t="s">
        <v>386</v>
      </c>
      <c r="E167" s="228">
        <v>17791</v>
      </c>
      <c r="F167" s="229">
        <v>29.86</v>
      </c>
      <c r="G167" t="s">
        <v>369</v>
      </c>
      <c r="I167" t="s">
        <v>496</v>
      </c>
    </row>
    <row r="168" spans="1:10" x14ac:dyDescent="0.25">
      <c r="A168" t="s">
        <v>342</v>
      </c>
      <c r="B168" t="s">
        <v>335</v>
      </c>
      <c r="C168" s="227">
        <f>191358/12000</f>
        <v>15.9465</v>
      </c>
      <c r="D168" t="s">
        <v>379</v>
      </c>
      <c r="E168" s="228">
        <v>17791</v>
      </c>
      <c r="F168" s="229">
        <v>24.9</v>
      </c>
      <c r="G168" t="s">
        <v>369</v>
      </c>
      <c r="I168" t="s">
        <v>495</v>
      </c>
      <c r="J168" t="s">
        <v>497</v>
      </c>
    </row>
    <row r="169" spans="1:10" x14ac:dyDescent="0.25">
      <c r="A169" t="s">
        <v>416</v>
      </c>
      <c r="B169" t="s">
        <v>335</v>
      </c>
      <c r="C169" s="227">
        <f>197196.7/12000</f>
        <v>16.433058333333335</v>
      </c>
      <c r="D169" t="s">
        <v>379</v>
      </c>
      <c r="E169" s="228">
        <v>21296</v>
      </c>
      <c r="F169" s="229">
        <v>29.09</v>
      </c>
      <c r="G169" t="s">
        <v>369</v>
      </c>
      <c r="I169" t="s">
        <v>498</v>
      </c>
      <c r="J169" t="s">
        <v>497</v>
      </c>
    </row>
    <row r="170" spans="1:10" x14ac:dyDescent="0.25">
      <c r="A170" t="s">
        <v>416</v>
      </c>
      <c r="B170" t="s">
        <v>335</v>
      </c>
      <c r="C170" s="227">
        <f>197196.7/12000</f>
        <v>16.433058333333335</v>
      </c>
      <c r="D170" t="s">
        <v>386</v>
      </c>
      <c r="E170" s="228">
        <v>21296</v>
      </c>
      <c r="F170" s="229">
        <v>34.85</v>
      </c>
      <c r="G170" t="s">
        <v>369</v>
      </c>
      <c r="I170" t="s">
        <v>499</v>
      </c>
    </row>
    <row r="171" spans="1:10" x14ac:dyDescent="0.25">
      <c r="A171" s="259" t="s">
        <v>345</v>
      </c>
      <c r="B171" s="259" t="s">
        <v>344</v>
      </c>
      <c r="C171" s="227">
        <f>161.5/12</f>
        <v>13.458333333333334</v>
      </c>
      <c r="D171" t="s">
        <v>368</v>
      </c>
      <c r="E171" s="228">
        <v>15450</v>
      </c>
      <c r="F171" s="229">
        <v>43.5</v>
      </c>
      <c r="G171" t="s">
        <v>369</v>
      </c>
      <c r="H171" t="s">
        <v>500</v>
      </c>
    </row>
    <row r="172" spans="1:10" x14ac:dyDescent="0.25">
      <c r="A172" s="259" t="s">
        <v>346</v>
      </c>
      <c r="B172" s="259" t="s">
        <v>344</v>
      </c>
      <c r="C172" s="227">
        <f>156000/12000</f>
        <v>13</v>
      </c>
      <c r="D172" t="s">
        <v>386</v>
      </c>
      <c r="E172" s="228">
        <v>14800</v>
      </c>
      <c r="F172" s="229">
        <f>20*460/480</f>
        <v>19.166666666666668</v>
      </c>
      <c r="G172" t="s">
        <v>369</v>
      </c>
      <c r="H172" s="241" t="s">
        <v>501</v>
      </c>
    </row>
    <row r="173" spans="1:10" x14ac:dyDescent="0.25">
      <c r="A173" s="259" t="s">
        <v>346</v>
      </c>
      <c r="B173" s="259" t="s">
        <v>344</v>
      </c>
      <c r="C173" s="227">
        <f>156000/12000</f>
        <v>13</v>
      </c>
      <c r="D173" t="s">
        <v>379</v>
      </c>
      <c r="E173" s="228">
        <v>14800</v>
      </c>
      <c r="F173" s="229">
        <f>20*460/575</f>
        <v>16</v>
      </c>
      <c r="G173" t="s">
        <v>369</v>
      </c>
      <c r="H173" t="s">
        <v>502</v>
      </c>
    </row>
    <row r="174" spans="1:10" ht="15.75" customHeight="1" x14ac:dyDescent="0.25">
      <c r="A174" t="s">
        <v>347</v>
      </c>
      <c r="B174" s="259" t="s">
        <v>344</v>
      </c>
      <c r="C174" s="227">
        <f>223/12</f>
        <v>18.583333333333332</v>
      </c>
      <c r="D174" t="s">
        <v>368</v>
      </c>
      <c r="E174" s="228">
        <v>22200</v>
      </c>
      <c r="F174" s="229">
        <v>80.599999999999994</v>
      </c>
      <c r="G174" t="s">
        <v>369</v>
      </c>
      <c r="H174" s="241" t="s">
        <v>500</v>
      </c>
    </row>
    <row r="175" spans="1:10" x14ac:dyDescent="0.25">
      <c r="A175" t="s">
        <v>348</v>
      </c>
      <c r="B175" s="259" t="s">
        <v>344</v>
      </c>
      <c r="C175" s="227">
        <f>224/12</f>
        <v>18.666666666666668</v>
      </c>
      <c r="D175" t="s">
        <v>386</v>
      </c>
      <c r="E175" s="228">
        <v>22800</v>
      </c>
      <c r="F175" s="229">
        <f>39.9*460/480</f>
        <v>38.237499999999997</v>
      </c>
      <c r="G175" t="s">
        <v>369</v>
      </c>
      <c r="H175" t="s">
        <v>503</v>
      </c>
    </row>
    <row r="176" spans="1:10" x14ac:dyDescent="0.25">
      <c r="A176" t="s">
        <v>348</v>
      </c>
      <c r="B176" s="259" t="s">
        <v>344</v>
      </c>
      <c r="C176" s="227">
        <f>224/12</f>
        <v>18.666666666666668</v>
      </c>
      <c r="D176" t="s">
        <v>379</v>
      </c>
      <c r="E176" s="228">
        <v>22800</v>
      </c>
      <c r="F176" s="229">
        <f>39.9*460/575</f>
        <v>31.92</v>
      </c>
      <c r="G176" t="s">
        <v>369</v>
      </c>
      <c r="H176" t="s">
        <v>504</v>
      </c>
    </row>
    <row r="180" spans="1:51" x14ac:dyDescent="0.25">
      <c r="A180" t="s">
        <v>505</v>
      </c>
      <c r="N180" t="s">
        <v>166</v>
      </c>
      <c r="AA180" s="307" t="s">
        <v>21</v>
      </c>
      <c r="AN180" s="307" t="s">
        <v>200</v>
      </c>
    </row>
    <row r="181" spans="1:51" x14ac:dyDescent="0.25">
      <c r="A181" t="s">
        <v>506</v>
      </c>
      <c r="N181" t="s">
        <v>506</v>
      </c>
      <c r="AA181" t="s">
        <v>506</v>
      </c>
      <c r="AN181" t="s">
        <v>506</v>
      </c>
    </row>
    <row r="182" spans="1:51" x14ac:dyDescent="0.25">
      <c r="A182" t="s">
        <v>507</v>
      </c>
      <c r="B182" t="s">
        <v>508</v>
      </c>
      <c r="C182" t="s">
        <v>509</v>
      </c>
      <c r="D182" t="s">
        <v>510</v>
      </c>
      <c r="E182" t="s">
        <v>511</v>
      </c>
      <c r="F182" t="s">
        <v>353</v>
      </c>
      <c r="G182" t="s">
        <v>512</v>
      </c>
      <c r="H182" t="s">
        <v>513</v>
      </c>
      <c r="I182" t="s">
        <v>514</v>
      </c>
      <c r="J182" t="s">
        <v>515</v>
      </c>
      <c r="K182" t="s">
        <v>516</v>
      </c>
      <c r="L182" t="s">
        <v>517</v>
      </c>
      <c r="N182" t="s">
        <v>507</v>
      </c>
      <c r="O182" t="s">
        <v>508</v>
      </c>
      <c r="P182" t="s">
        <v>509</v>
      </c>
      <c r="Q182" t="s">
        <v>510</v>
      </c>
      <c r="R182" t="s">
        <v>511</v>
      </c>
      <c r="S182" t="s">
        <v>353</v>
      </c>
      <c r="T182" t="s">
        <v>512</v>
      </c>
      <c r="U182" t="s">
        <v>513</v>
      </c>
      <c r="V182" t="s">
        <v>514</v>
      </c>
      <c r="W182" t="s">
        <v>515</v>
      </c>
      <c r="X182" t="s">
        <v>516</v>
      </c>
      <c r="Y182" t="s">
        <v>517</v>
      </c>
      <c r="AA182" s="299" t="s">
        <v>507</v>
      </c>
      <c r="AB182" s="299" t="s">
        <v>508</v>
      </c>
      <c r="AC182" s="299" t="s">
        <v>509</v>
      </c>
      <c r="AD182" s="299" t="s">
        <v>510</v>
      </c>
      <c r="AE182" s="299" t="s">
        <v>511</v>
      </c>
      <c r="AF182" s="299" t="s">
        <v>353</v>
      </c>
      <c r="AG182" s="299" t="s">
        <v>512</v>
      </c>
      <c r="AH182" s="299" t="s">
        <v>513</v>
      </c>
      <c r="AI182" s="299" t="s">
        <v>514</v>
      </c>
      <c r="AJ182" s="299" t="s">
        <v>515</v>
      </c>
      <c r="AK182" s="299" t="s">
        <v>516</v>
      </c>
      <c r="AL182" s="299" t="s">
        <v>517</v>
      </c>
      <c r="AN182" s="299" t="s">
        <v>507</v>
      </c>
      <c r="AO182" s="299" t="s">
        <v>508</v>
      </c>
      <c r="AP182" s="299" t="s">
        <v>509</v>
      </c>
      <c r="AQ182" s="299" t="s">
        <v>510</v>
      </c>
      <c r="AR182" s="299" t="s">
        <v>511</v>
      </c>
      <c r="AS182" s="299" t="s">
        <v>353</v>
      </c>
      <c r="AT182" s="299" t="s">
        <v>512</v>
      </c>
      <c r="AU182" s="299" t="s">
        <v>513</v>
      </c>
      <c r="AV182" s="299" t="s">
        <v>514</v>
      </c>
      <c r="AW182" s="299" t="s">
        <v>515</v>
      </c>
      <c r="AX182" s="299" t="s">
        <v>516</v>
      </c>
      <c r="AY182" s="299" t="s">
        <v>517</v>
      </c>
    </row>
    <row r="183" spans="1:51" x14ac:dyDescent="0.25">
      <c r="A183" t="s">
        <v>518</v>
      </c>
      <c r="B183" t="s">
        <v>519</v>
      </c>
      <c r="C183" t="s">
        <v>213</v>
      </c>
      <c r="D183" t="s">
        <v>520</v>
      </c>
      <c r="F183" t="s">
        <v>521</v>
      </c>
      <c r="G183" t="s">
        <v>149</v>
      </c>
      <c r="H183" t="s">
        <v>213</v>
      </c>
      <c r="K183" t="s">
        <v>225</v>
      </c>
      <c r="N183" t="s">
        <v>518</v>
      </c>
      <c r="O183" t="s">
        <v>519</v>
      </c>
      <c r="P183" t="s">
        <v>213</v>
      </c>
      <c r="Q183" t="s">
        <v>520</v>
      </c>
      <c r="S183" t="s">
        <v>521</v>
      </c>
      <c r="T183" t="s">
        <v>149</v>
      </c>
      <c r="U183" t="s">
        <v>213</v>
      </c>
      <c r="X183" t="s">
        <v>225</v>
      </c>
      <c r="AA183" t="s">
        <v>518</v>
      </c>
      <c r="AB183" t="s">
        <v>519</v>
      </c>
      <c r="AC183" t="s">
        <v>213</v>
      </c>
      <c r="AD183" t="s">
        <v>520</v>
      </c>
      <c r="AF183" t="s">
        <v>521</v>
      </c>
      <c r="AG183" t="s">
        <v>149</v>
      </c>
      <c r="AH183" t="s">
        <v>213</v>
      </c>
      <c r="AK183" t="s">
        <v>225</v>
      </c>
      <c r="AN183" t="s">
        <v>518</v>
      </c>
      <c r="AO183" t="s">
        <v>519</v>
      </c>
      <c r="AP183" t="s">
        <v>213</v>
      </c>
      <c r="AQ183" t="s">
        <v>520</v>
      </c>
      <c r="AS183" t="s">
        <v>521</v>
      </c>
      <c r="AT183" t="s">
        <v>149</v>
      </c>
      <c r="AU183" t="s">
        <v>213</v>
      </c>
      <c r="AX183" t="s">
        <v>225</v>
      </c>
    </row>
    <row r="184" spans="1:51" x14ac:dyDescent="0.25">
      <c r="A184" s="306" t="s">
        <v>522</v>
      </c>
      <c r="C184" t="s">
        <v>213</v>
      </c>
      <c r="D184" t="s">
        <v>523</v>
      </c>
      <c r="F184" t="s">
        <v>521</v>
      </c>
      <c r="G184" t="s">
        <v>149</v>
      </c>
      <c r="H184" t="s">
        <v>213</v>
      </c>
      <c r="K184" s="306" t="s">
        <v>194</v>
      </c>
      <c r="N184" t="s">
        <v>524</v>
      </c>
      <c r="O184" t="s">
        <v>525</v>
      </c>
      <c r="P184" t="s">
        <v>213</v>
      </c>
      <c r="Q184" t="s">
        <v>523</v>
      </c>
      <c r="S184" t="s">
        <v>521</v>
      </c>
      <c r="T184" t="s">
        <v>149</v>
      </c>
      <c r="U184" t="s">
        <v>213</v>
      </c>
      <c r="X184" t="s">
        <v>225</v>
      </c>
      <c r="AA184" t="s">
        <v>524</v>
      </c>
      <c r="AB184" t="s">
        <v>525</v>
      </c>
      <c r="AC184" t="s">
        <v>213</v>
      </c>
      <c r="AD184" t="s">
        <v>523</v>
      </c>
      <c r="AF184" t="s">
        <v>521</v>
      </c>
      <c r="AG184" t="s">
        <v>149</v>
      </c>
      <c r="AH184" t="s">
        <v>213</v>
      </c>
      <c r="AK184" t="s">
        <v>225</v>
      </c>
      <c r="AN184" t="s">
        <v>524</v>
      </c>
      <c r="AO184" t="s">
        <v>525</v>
      </c>
      <c r="AP184" t="s">
        <v>213</v>
      </c>
      <c r="AQ184" t="s">
        <v>523</v>
      </c>
      <c r="AS184" t="s">
        <v>521</v>
      </c>
      <c r="AT184" t="s">
        <v>149</v>
      </c>
      <c r="AU184" t="s">
        <v>213</v>
      </c>
      <c r="AX184" t="s">
        <v>225</v>
      </c>
    </row>
    <row r="185" spans="1:51" x14ac:dyDescent="0.25">
      <c r="A185" t="s">
        <v>526</v>
      </c>
      <c r="B185" t="s">
        <v>527</v>
      </c>
      <c r="C185" t="s">
        <v>151</v>
      </c>
      <c r="D185" t="s">
        <v>528</v>
      </c>
      <c r="F185" t="s">
        <v>529</v>
      </c>
      <c r="G185" t="s">
        <v>149</v>
      </c>
      <c r="H185" t="s">
        <v>236</v>
      </c>
      <c r="I185" t="s">
        <v>150</v>
      </c>
      <c r="K185" t="s">
        <v>225</v>
      </c>
      <c r="N185" t="s">
        <v>526</v>
      </c>
      <c r="O185" t="s">
        <v>527</v>
      </c>
      <c r="P185" t="s">
        <v>151</v>
      </c>
      <c r="Q185" t="s">
        <v>528</v>
      </c>
      <c r="S185" t="s">
        <v>529</v>
      </c>
      <c r="T185" t="s">
        <v>149</v>
      </c>
      <c r="U185" t="s">
        <v>236</v>
      </c>
      <c r="V185" t="s">
        <v>150</v>
      </c>
      <c r="X185" t="s">
        <v>225</v>
      </c>
      <c r="AA185" t="s">
        <v>526</v>
      </c>
      <c r="AB185" t="s">
        <v>527</v>
      </c>
      <c r="AC185" t="s">
        <v>151</v>
      </c>
      <c r="AD185" t="s">
        <v>528</v>
      </c>
      <c r="AF185" t="s">
        <v>529</v>
      </c>
      <c r="AG185" t="s">
        <v>149</v>
      </c>
      <c r="AH185" t="s">
        <v>236</v>
      </c>
      <c r="AI185" t="s">
        <v>150</v>
      </c>
      <c r="AK185" t="s">
        <v>225</v>
      </c>
      <c r="AN185" t="s">
        <v>526</v>
      </c>
      <c r="AO185" t="s">
        <v>527</v>
      </c>
      <c r="AP185" t="s">
        <v>151</v>
      </c>
      <c r="AQ185" t="s">
        <v>528</v>
      </c>
      <c r="AS185" t="s">
        <v>529</v>
      </c>
      <c r="AT185" t="s">
        <v>149</v>
      </c>
      <c r="AU185" t="s">
        <v>236</v>
      </c>
      <c r="AV185" t="s">
        <v>150</v>
      </c>
      <c r="AX185" t="s">
        <v>225</v>
      </c>
    </row>
    <row r="186" spans="1:51" x14ac:dyDescent="0.25">
      <c r="A186" t="s">
        <v>530</v>
      </c>
      <c r="B186" t="s">
        <v>531</v>
      </c>
      <c r="C186" t="s">
        <v>151</v>
      </c>
      <c r="D186" t="s">
        <v>532</v>
      </c>
      <c r="F186" t="s">
        <v>529</v>
      </c>
      <c r="G186" t="s">
        <v>149</v>
      </c>
      <c r="H186" t="s">
        <v>236</v>
      </c>
      <c r="I186" t="s">
        <v>150</v>
      </c>
      <c r="J186" t="s">
        <v>147</v>
      </c>
      <c r="K186" t="s">
        <v>225</v>
      </c>
      <c r="N186" t="s">
        <v>530</v>
      </c>
      <c r="O186" t="s">
        <v>531</v>
      </c>
      <c r="P186" t="s">
        <v>151</v>
      </c>
      <c r="Q186" t="s">
        <v>532</v>
      </c>
      <c r="S186" t="s">
        <v>529</v>
      </c>
      <c r="T186" t="s">
        <v>149</v>
      </c>
      <c r="U186" t="s">
        <v>236</v>
      </c>
      <c r="V186" t="s">
        <v>150</v>
      </c>
      <c r="W186" t="s">
        <v>147</v>
      </c>
      <c r="X186" t="s">
        <v>241</v>
      </c>
      <c r="AA186" t="s">
        <v>533</v>
      </c>
      <c r="AB186" t="s">
        <v>534</v>
      </c>
      <c r="AC186" t="s">
        <v>151</v>
      </c>
      <c r="AD186" t="s">
        <v>532</v>
      </c>
      <c r="AF186" t="s">
        <v>529</v>
      </c>
      <c r="AG186" t="s">
        <v>149</v>
      </c>
      <c r="AH186" t="s">
        <v>236</v>
      </c>
      <c r="AI186" t="s">
        <v>150</v>
      </c>
      <c r="AJ186" t="s">
        <v>188</v>
      </c>
      <c r="AK186" t="s">
        <v>241</v>
      </c>
      <c r="AN186" t="s">
        <v>535</v>
      </c>
      <c r="AO186" t="s">
        <v>534</v>
      </c>
      <c r="AP186" t="s">
        <v>151</v>
      </c>
      <c r="AQ186" t="s">
        <v>532</v>
      </c>
      <c r="AS186" t="s">
        <v>529</v>
      </c>
      <c r="AT186" t="s">
        <v>149</v>
      </c>
      <c r="AU186" t="s">
        <v>236</v>
      </c>
      <c r="AV186" t="s">
        <v>150</v>
      </c>
      <c r="AW186" t="s">
        <v>188</v>
      </c>
      <c r="AX186" t="s">
        <v>241</v>
      </c>
    </row>
    <row r="187" spans="1:51" x14ac:dyDescent="0.25">
      <c r="A187" t="s">
        <v>536</v>
      </c>
      <c r="B187" t="s">
        <v>537</v>
      </c>
      <c r="C187" t="s">
        <v>231</v>
      </c>
      <c r="D187" t="s">
        <v>538</v>
      </c>
      <c r="F187" t="s">
        <v>529</v>
      </c>
      <c r="G187" t="s">
        <v>149</v>
      </c>
      <c r="H187" t="s">
        <v>148</v>
      </c>
      <c r="I187" t="s">
        <v>230</v>
      </c>
      <c r="K187" t="s">
        <v>225</v>
      </c>
      <c r="N187" t="s">
        <v>536</v>
      </c>
      <c r="O187" t="s">
        <v>537</v>
      </c>
      <c r="P187" t="s">
        <v>231</v>
      </c>
      <c r="Q187" t="s">
        <v>538</v>
      </c>
      <c r="S187" t="s">
        <v>529</v>
      </c>
      <c r="T187" t="s">
        <v>149</v>
      </c>
      <c r="U187" t="s">
        <v>148</v>
      </c>
      <c r="V187" t="s">
        <v>230</v>
      </c>
      <c r="X187" t="s">
        <v>225</v>
      </c>
      <c r="AA187" t="s">
        <v>536</v>
      </c>
      <c r="AB187" t="s">
        <v>537</v>
      </c>
      <c r="AC187" t="s">
        <v>231</v>
      </c>
      <c r="AD187" t="s">
        <v>538</v>
      </c>
      <c r="AF187" t="s">
        <v>529</v>
      </c>
      <c r="AG187" t="s">
        <v>149</v>
      </c>
      <c r="AH187" t="s">
        <v>148</v>
      </c>
      <c r="AI187" t="s">
        <v>230</v>
      </c>
      <c r="AK187" t="s">
        <v>225</v>
      </c>
      <c r="AN187" t="s">
        <v>536</v>
      </c>
      <c r="AO187" t="s">
        <v>537</v>
      </c>
      <c r="AP187" t="s">
        <v>231</v>
      </c>
      <c r="AQ187" t="s">
        <v>538</v>
      </c>
      <c r="AS187" t="s">
        <v>529</v>
      </c>
      <c r="AT187" t="s">
        <v>149</v>
      </c>
      <c r="AU187" t="s">
        <v>148</v>
      </c>
      <c r="AV187" t="s">
        <v>230</v>
      </c>
      <c r="AX187" t="s">
        <v>225</v>
      </c>
    </row>
    <row r="188" spans="1:51" x14ac:dyDescent="0.25">
      <c r="A188" t="s">
        <v>539</v>
      </c>
      <c r="B188" t="s">
        <v>540</v>
      </c>
      <c r="C188" t="s">
        <v>213</v>
      </c>
      <c r="D188" t="s">
        <v>541</v>
      </c>
      <c r="F188" t="s">
        <v>521</v>
      </c>
      <c r="G188" t="s">
        <v>149</v>
      </c>
      <c r="H188" t="s">
        <v>213</v>
      </c>
      <c r="K188" t="s">
        <v>154</v>
      </c>
      <c r="L188" t="s">
        <v>235</v>
      </c>
      <c r="N188" t="s">
        <v>539</v>
      </c>
      <c r="O188" t="s">
        <v>540</v>
      </c>
      <c r="P188" t="s">
        <v>213</v>
      </c>
      <c r="Q188" t="s">
        <v>541</v>
      </c>
      <c r="S188" t="s">
        <v>521</v>
      </c>
      <c r="T188" t="s">
        <v>149</v>
      </c>
      <c r="U188" t="s">
        <v>213</v>
      </c>
      <c r="X188" t="s">
        <v>154</v>
      </c>
      <c r="AA188" s="306" t="s">
        <v>542</v>
      </c>
      <c r="AD188" t="s">
        <v>541</v>
      </c>
      <c r="AF188" t="s">
        <v>521</v>
      </c>
      <c r="AG188" t="s">
        <v>149</v>
      </c>
      <c r="AH188" t="s">
        <v>213</v>
      </c>
      <c r="AK188" t="s">
        <v>194</v>
      </c>
      <c r="AN188" s="306" t="s">
        <v>542</v>
      </c>
      <c r="AQ188" t="s">
        <v>541</v>
      </c>
      <c r="AS188" t="s">
        <v>521</v>
      </c>
      <c r="AT188" t="s">
        <v>149</v>
      </c>
      <c r="AU188" t="s">
        <v>213</v>
      </c>
      <c r="AX188" t="s">
        <v>194</v>
      </c>
    </row>
    <row r="189" spans="1:51" x14ac:dyDescent="0.25">
      <c r="A189" t="s">
        <v>543</v>
      </c>
      <c r="B189" t="s">
        <v>544</v>
      </c>
      <c r="C189" t="s">
        <v>213</v>
      </c>
      <c r="D189" t="s">
        <v>545</v>
      </c>
      <c r="F189" t="s">
        <v>521</v>
      </c>
      <c r="G189" t="s">
        <v>149</v>
      </c>
      <c r="H189" t="s">
        <v>213</v>
      </c>
      <c r="K189" t="s">
        <v>270</v>
      </c>
      <c r="N189" t="s">
        <v>543</v>
      </c>
      <c r="O189" t="s">
        <v>544</v>
      </c>
      <c r="P189" t="s">
        <v>213</v>
      </c>
      <c r="Q189" t="s">
        <v>545</v>
      </c>
      <c r="S189" t="s">
        <v>521</v>
      </c>
      <c r="T189" t="s">
        <v>149</v>
      </c>
      <c r="U189" t="s">
        <v>213</v>
      </c>
      <c r="X189" t="s">
        <v>270</v>
      </c>
      <c r="AA189" t="s">
        <v>546</v>
      </c>
      <c r="AB189" t="s">
        <v>547</v>
      </c>
      <c r="AC189" t="s">
        <v>213</v>
      </c>
      <c r="AD189" t="s">
        <v>545</v>
      </c>
      <c r="AF189" t="s">
        <v>521</v>
      </c>
      <c r="AG189" t="s">
        <v>149</v>
      </c>
      <c r="AH189" t="s">
        <v>213</v>
      </c>
      <c r="AK189" t="s">
        <v>270</v>
      </c>
      <c r="AN189" s="316" t="s">
        <v>546</v>
      </c>
      <c r="AO189" s="316" t="s">
        <v>547</v>
      </c>
      <c r="AP189" s="316" t="s">
        <v>213</v>
      </c>
      <c r="AQ189" s="316" t="s">
        <v>545</v>
      </c>
      <c r="AR189" s="316"/>
      <c r="AS189" s="316" t="s">
        <v>521</v>
      </c>
      <c r="AT189" s="316" t="s">
        <v>149</v>
      </c>
      <c r="AU189" s="316" t="s">
        <v>213</v>
      </c>
      <c r="AV189" s="316"/>
      <c r="AW189" s="316"/>
      <c r="AX189" s="316" t="s">
        <v>154</v>
      </c>
    </row>
    <row r="190" spans="1:51" x14ac:dyDescent="0.25">
      <c r="A190" s="306" t="s">
        <v>548</v>
      </c>
      <c r="D190" t="s">
        <v>549</v>
      </c>
      <c r="K190" s="306"/>
      <c r="N190" s="306" t="s">
        <v>548</v>
      </c>
      <c r="Q190" t="s">
        <v>549</v>
      </c>
      <c r="X190" t="s">
        <v>194</v>
      </c>
      <c r="AA190" t="s">
        <v>550</v>
      </c>
      <c r="AB190" t="s">
        <v>551</v>
      </c>
      <c r="AC190" t="s">
        <v>213</v>
      </c>
      <c r="AD190" t="s">
        <v>549</v>
      </c>
      <c r="AF190" t="s">
        <v>521</v>
      </c>
      <c r="AG190" t="s">
        <v>149</v>
      </c>
      <c r="AH190" t="s">
        <v>213</v>
      </c>
      <c r="AK190" t="s">
        <v>270</v>
      </c>
      <c r="AN190" s="316" t="s">
        <v>550</v>
      </c>
      <c r="AO190" s="316" t="s">
        <v>551</v>
      </c>
      <c r="AP190" s="316" t="s">
        <v>213</v>
      </c>
      <c r="AQ190" s="316" t="s">
        <v>549</v>
      </c>
      <c r="AR190" s="316"/>
      <c r="AS190" s="316" t="s">
        <v>521</v>
      </c>
      <c r="AT190" s="316" t="s">
        <v>149</v>
      </c>
      <c r="AU190" s="316" t="s">
        <v>213</v>
      </c>
      <c r="AV190" s="316"/>
      <c r="AW190" s="316"/>
      <c r="AX190" s="316" t="s">
        <v>154</v>
      </c>
    </row>
    <row r="193" spans="1:51" x14ac:dyDescent="0.25">
      <c r="A193" t="s">
        <v>552</v>
      </c>
      <c r="N193" t="s">
        <v>552</v>
      </c>
      <c r="AA193" t="s">
        <v>552</v>
      </c>
      <c r="AN193" t="s">
        <v>552</v>
      </c>
    </row>
    <row r="194" spans="1:51" x14ac:dyDescent="0.25">
      <c r="A194" s="299" t="s">
        <v>507</v>
      </c>
      <c r="B194" s="299" t="s">
        <v>508</v>
      </c>
      <c r="C194" s="299" t="s">
        <v>509</v>
      </c>
      <c r="D194" s="299" t="s">
        <v>510</v>
      </c>
      <c r="E194" s="299" t="s">
        <v>511</v>
      </c>
      <c r="F194" s="299" t="s">
        <v>353</v>
      </c>
      <c r="G194" s="299" t="s">
        <v>512</v>
      </c>
      <c r="H194" s="299" t="s">
        <v>513</v>
      </c>
      <c r="I194" s="299" t="s">
        <v>514</v>
      </c>
      <c r="J194" s="299" t="s">
        <v>515</v>
      </c>
      <c r="K194" t="s">
        <v>516</v>
      </c>
      <c r="L194" s="299" t="s">
        <v>517</v>
      </c>
      <c r="N194" s="299" t="s">
        <v>507</v>
      </c>
      <c r="O194" s="299" t="s">
        <v>508</v>
      </c>
      <c r="P194" s="299" t="s">
        <v>509</v>
      </c>
      <c r="Q194" s="299" t="s">
        <v>510</v>
      </c>
      <c r="R194" s="299" t="s">
        <v>511</v>
      </c>
      <c r="S194" s="299" t="s">
        <v>353</v>
      </c>
      <c r="T194" s="299" t="s">
        <v>512</v>
      </c>
      <c r="U194" s="299" t="s">
        <v>513</v>
      </c>
      <c r="V194" s="299" t="s">
        <v>514</v>
      </c>
      <c r="W194" s="299" t="s">
        <v>515</v>
      </c>
      <c r="X194" s="299" t="s">
        <v>516</v>
      </c>
      <c r="Y194" s="299" t="s">
        <v>517</v>
      </c>
      <c r="AA194" s="299" t="s">
        <v>507</v>
      </c>
      <c r="AB194" s="299" t="s">
        <v>508</v>
      </c>
      <c r="AC194" s="299" t="s">
        <v>509</v>
      </c>
      <c r="AD194" s="299" t="s">
        <v>510</v>
      </c>
      <c r="AE194" s="299" t="s">
        <v>511</v>
      </c>
      <c r="AF194" s="299" t="s">
        <v>353</v>
      </c>
      <c r="AG194" s="299" t="s">
        <v>512</v>
      </c>
      <c r="AH194" s="299" t="s">
        <v>513</v>
      </c>
      <c r="AI194" s="299" t="s">
        <v>514</v>
      </c>
      <c r="AJ194" s="299" t="s">
        <v>515</v>
      </c>
      <c r="AK194" s="299" t="s">
        <v>516</v>
      </c>
      <c r="AL194" s="299" t="s">
        <v>517</v>
      </c>
      <c r="AN194" s="299" t="s">
        <v>507</v>
      </c>
      <c r="AO194" s="299" t="s">
        <v>508</v>
      </c>
      <c r="AP194" s="299" t="s">
        <v>509</v>
      </c>
      <c r="AQ194" s="299" t="s">
        <v>510</v>
      </c>
      <c r="AR194" s="299" t="s">
        <v>511</v>
      </c>
      <c r="AS194" s="299" t="s">
        <v>353</v>
      </c>
      <c r="AT194" s="299" t="s">
        <v>512</v>
      </c>
      <c r="AU194" s="299" t="s">
        <v>513</v>
      </c>
      <c r="AV194" s="299" t="s">
        <v>514</v>
      </c>
      <c r="AW194" s="299" t="s">
        <v>515</v>
      </c>
      <c r="AX194" s="299" t="s">
        <v>516</v>
      </c>
      <c r="AY194" s="299" t="s">
        <v>517</v>
      </c>
    </row>
    <row r="195" spans="1:51" x14ac:dyDescent="0.25">
      <c r="A195" s="302" t="s">
        <v>553</v>
      </c>
      <c r="B195" s="302" t="s">
        <v>554</v>
      </c>
      <c r="C195" t="s">
        <v>213</v>
      </c>
      <c r="D195" s="298" t="s">
        <v>555</v>
      </c>
      <c r="F195" t="s">
        <v>521</v>
      </c>
      <c r="G195" t="s">
        <v>149</v>
      </c>
      <c r="H195" t="s">
        <v>213</v>
      </c>
      <c r="K195" t="s">
        <v>154</v>
      </c>
      <c r="N195" s="302" t="s">
        <v>553</v>
      </c>
      <c r="O195" s="302" t="s">
        <v>554</v>
      </c>
      <c r="P195" t="s">
        <v>213</v>
      </c>
      <c r="Q195" s="298" t="s">
        <v>555</v>
      </c>
      <c r="S195" t="s">
        <v>521</v>
      </c>
      <c r="T195" t="s">
        <v>149</v>
      </c>
      <c r="U195" t="s">
        <v>213</v>
      </c>
      <c r="X195" t="s">
        <v>154</v>
      </c>
      <c r="AA195" s="304" t="s">
        <v>553</v>
      </c>
      <c r="AB195" s="304" t="s">
        <v>554</v>
      </c>
      <c r="AC195" s="298" t="s">
        <v>213</v>
      </c>
      <c r="AD195" s="298" t="s">
        <v>555</v>
      </c>
      <c r="AE195" s="298"/>
      <c r="AF195" s="298" t="s">
        <v>521</v>
      </c>
      <c r="AG195" s="298" t="s">
        <v>149</v>
      </c>
      <c r="AH195" s="298" t="s">
        <v>213</v>
      </c>
      <c r="AI195" s="298"/>
      <c r="AJ195" s="298"/>
      <c r="AK195" t="s">
        <v>154</v>
      </c>
      <c r="AN195" s="304" t="s">
        <v>553</v>
      </c>
      <c r="AO195" s="304" t="s">
        <v>554</v>
      </c>
      <c r="AP195" s="298" t="s">
        <v>213</v>
      </c>
      <c r="AQ195" s="298" t="s">
        <v>555</v>
      </c>
      <c r="AR195" s="298"/>
      <c r="AS195" s="298" t="s">
        <v>521</v>
      </c>
      <c r="AT195" s="298" t="s">
        <v>149</v>
      </c>
      <c r="AU195" s="298" t="s">
        <v>213</v>
      </c>
      <c r="AV195" s="298"/>
      <c r="AW195" s="298"/>
      <c r="AX195" t="s">
        <v>154</v>
      </c>
    </row>
    <row r="196" spans="1:51" x14ac:dyDescent="0.25">
      <c r="A196" s="302" t="s">
        <v>556</v>
      </c>
      <c r="B196" s="302" t="s">
        <v>557</v>
      </c>
      <c r="C196" t="s">
        <v>213</v>
      </c>
      <c r="D196" t="s">
        <v>558</v>
      </c>
      <c r="F196" t="s">
        <v>521</v>
      </c>
      <c r="G196" t="s">
        <v>149</v>
      </c>
      <c r="H196" t="s">
        <v>213</v>
      </c>
      <c r="K196" s="306" t="s">
        <v>154</v>
      </c>
      <c r="N196" s="302" t="s">
        <v>556</v>
      </c>
      <c r="O196" s="302" t="s">
        <v>557</v>
      </c>
      <c r="P196" t="s">
        <v>213</v>
      </c>
      <c r="Q196" t="s">
        <v>558</v>
      </c>
      <c r="S196" t="s">
        <v>521</v>
      </c>
      <c r="T196" t="s">
        <v>149</v>
      </c>
      <c r="U196" t="s">
        <v>213</v>
      </c>
      <c r="X196" t="s">
        <v>154</v>
      </c>
      <c r="AA196" s="305" t="s">
        <v>556</v>
      </c>
      <c r="AB196" s="305" t="s">
        <v>557</v>
      </c>
      <c r="AC196" t="s">
        <v>213</v>
      </c>
      <c r="AD196" t="s">
        <v>558</v>
      </c>
      <c r="AF196" t="s">
        <v>521</v>
      </c>
      <c r="AG196" t="s">
        <v>149</v>
      </c>
      <c r="AH196" t="s">
        <v>213</v>
      </c>
      <c r="AK196" t="s">
        <v>154</v>
      </c>
      <c r="AN196" s="305" t="s">
        <v>556</v>
      </c>
      <c r="AO196" s="305" t="s">
        <v>557</v>
      </c>
      <c r="AP196" t="s">
        <v>213</v>
      </c>
      <c r="AQ196" t="s">
        <v>558</v>
      </c>
      <c r="AS196" t="s">
        <v>521</v>
      </c>
      <c r="AT196" t="s">
        <v>149</v>
      </c>
      <c r="AU196" t="s">
        <v>213</v>
      </c>
      <c r="AX196" t="s">
        <v>154</v>
      </c>
    </row>
    <row r="197" spans="1:51" x14ac:dyDescent="0.25">
      <c r="A197" s="302" t="s">
        <v>559</v>
      </c>
      <c r="B197" s="302" t="s">
        <v>560</v>
      </c>
      <c r="C197" t="s">
        <v>213</v>
      </c>
      <c r="D197" s="298" t="s">
        <v>561</v>
      </c>
      <c r="F197" t="s">
        <v>521</v>
      </c>
      <c r="G197" t="s">
        <v>149</v>
      </c>
      <c r="H197" t="s">
        <v>213</v>
      </c>
      <c r="K197" t="s">
        <v>154</v>
      </c>
      <c r="N197" s="302" t="s">
        <v>559</v>
      </c>
      <c r="O197" s="302" t="s">
        <v>560</v>
      </c>
      <c r="P197" t="s">
        <v>213</v>
      </c>
      <c r="Q197" s="298" t="s">
        <v>561</v>
      </c>
      <c r="S197" t="s">
        <v>521</v>
      </c>
      <c r="T197" t="s">
        <v>149</v>
      </c>
      <c r="U197" t="s">
        <v>213</v>
      </c>
      <c r="X197" t="s">
        <v>154</v>
      </c>
      <c r="AA197" s="304" t="s">
        <v>559</v>
      </c>
      <c r="AB197" s="304" t="s">
        <v>560</v>
      </c>
      <c r="AC197" s="298" t="s">
        <v>213</v>
      </c>
      <c r="AD197" s="298" t="s">
        <v>561</v>
      </c>
      <c r="AE197" s="298"/>
      <c r="AF197" s="298" t="s">
        <v>521</v>
      </c>
      <c r="AG197" s="298" t="s">
        <v>149</v>
      </c>
      <c r="AH197" s="298" t="s">
        <v>213</v>
      </c>
      <c r="AI197" s="298"/>
      <c r="AJ197" s="298"/>
      <c r="AK197" t="s">
        <v>154</v>
      </c>
      <c r="AN197" s="304" t="s">
        <v>559</v>
      </c>
      <c r="AO197" s="304" t="s">
        <v>560</v>
      </c>
      <c r="AP197" s="298" t="s">
        <v>213</v>
      </c>
      <c r="AQ197" s="298" t="s">
        <v>561</v>
      </c>
      <c r="AR197" s="298"/>
      <c r="AS197" s="298" t="s">
        <v>521</v>
      </c>
      <c r="AT197" s="298" t="s">
        <v>149</v>
      </c>
      <c r="AU197" s="298" t="s">
        <v>213</v>
      </c>
      <c r="AV197" s="298"/>
      <c r="AW197" s="298"/>
      <c r="AX197" t="s">
        <v>154</v>
      </c>
    </row>
    <row r="198" spans="1:51" x14ac:dyDescent="0.25">
      <c r="A198" s="302" t="s">
        <v>562</v>
      </c>
      <c r="B198" s="302" t="s">
        <v>563</v>
      </c>
      <c r="C198" t="s">
        <v>151</v>
      </c>
      <c r="D198" t="s">
        <v>564</v>
      </c>
      <c r="F198" t="s">
        <v>529</v>
      </c>
      <c r="G198" t="s">
        <v>149</v>
      </c>
      <c r="H198" t="s">
        <v>236</v>
      </c>
      <c r="I198" t="s">
        <v>150</v>
      </c>
      <c r="K198" t="s">
        <v>154</v>
      </c>
      <c r="N198" s="302" t="s">
        <v>562</v>
      </c>
      <c r="O198" s="302" t="s">
        <v>563</v>
      </c>
      <c r="P198" t="s">
        <v>151</v>
      </c>
      <c r="Q198" t="s">
        <v>564</v>
      </c>
      <c r="S198" t="s">
        <v>529</v>
      </c>
      <c r="T198" t="s">
        <v>149</v>
      </c>
      <c r="U198" t="s">
        <v>236</v>
      </c>
      <c r="V198" t="s">
        <v>150</v>
      </c>
      <c r="X198" t="s">
        <v>154</v>
      </c>
      <c r="AA198" s="305" t="s">
        <v>562</v>
      </c>
      <c r="AB198" s="305" t="s">
        <v>563</v>
      </c>
      <c r="AC198" t="s">
        <v>151</v>
      </c>
      <c r="AD198" t="s">
        <v>564</v>
      </c>
      <c r="AF198" t="s">
        <v>529</v>
      </c>
      <c r="AG198" t="s">
        <v>149</v>
      </c>
      <c r="AH198" t="s">
        <v>236</v>
      </c>
      <c r="AI198" t="s">
        <v>150</v>
      </c>
      <c r="AK198" t="s">
        <v>154</v>
      </c>
      <c r="AN198" s="305" t="s">
        <v>562</v>
      </c>
      <c r="AO198" s="305" t="s">
        <v>563</v>
      </c>
      <c r="AP198" t="s">
        <v>151</v>
      </c>
      <c r="AQ198" t="s">
        <v>564</v>
      </c>
      <c r="AS198" t="s">
        <v>529</v>
      </c>
      <c r="AT198" t="s">
        <v>149</v>
      </c>
      <c r="AU198" t="s">
        <v>236</v>
      </c>
      <c r="AV198" t="s">
        <v>150</v>
      </c>
      <c r="AX198" t="s">
        <v>154</v>
      </c>
    </row>
    <row r="199" spans="1:51" x14ac:dyDescent="0.25">
      <c r="A199" s="302" t="s">
        <v>565</v>
      </c>
      <c r="B199" s="302" t="s">
        <v>566</v>
      </c>
      <c r="C199" t="s">
        <v>151</v>
      </c>
      <c r="D199" s="298" t="s">
        <v>567</v>
      </c>
      <c r="F199" t="s">
        <v>529</v>
      </c>
      <c r="G199" t="s">
        <v>149</v>
      </c>
      <c r="H199" t="s">
        <v>236</v>
      </c>
      <c r="I199" t="s">
        <v>150</v>
      </c>
      <c r="K199" t="s">
        <v>154</v>
      </c>
      <c r="N199" s="302" t="s">
        <v>565</v>
      </c>
      <c r="O199" s="302" t="s">
        <v>566</v>
      </c>
      <c r="P199" t="s">
        <v>151</v>
      </c>
      <c r="Q199" s="298" t="s">
        <v>567</v>
      </c>
      <c r="S199" t="s">
        <v>529</v>
      </c>
      <c r="T199" t="s">
        <v>149</v>
      </c>
      <c r="U199" t="s">
        <v>236</v>
      </c>
      <c r="V199" t="s">
        <v>150</v>
      </c>
      <c r="X199" t="s">
        <v>154</v>
      </c>
      <c r="AA199" s="304" t="s">
        <v>565</v>
      </c>
      <c r="AB199" s="304" t="s">
        <v>566</v>
      </c>
      <c r="AC199" s="298" t="s">
        <v>151</v>
      </c>
      <c r="AD199" s="298" t="s">
        <v>567</v>
      </c>
      <c r="AE199" s="298"/>
      <c r="AF199" s="298" t="s">
        <v>529</v>
      </c>
      <c r="AG199" s="298" t="s">
        <v>149</v>
      </c>
      <c r="AH199" s="298" t="s">
        <v>236</v>
      </c>
      <c r="AI199" s="298" t="s">
        <v>150</v>
      </c>
      <c r="AJ199" s="298"/>
      <c r="AK199" t="s">
        <v>154</v>
      </c>
      <c r="AN199" s="304" t="s">
        <v>565</v>
      </c>
      <c r="AO199" s="304" t="s">
        <v>566</v>
      </c>
      <c r="AP199" s="298" t="s">
        <v>151</v>
      </c>
      <c r="AQ199" s="298" t="s">
        <v>567</v>
      </c>
      <c r="AR199" s="298"/>
      <c r="AS199" s="298" t="s">
        <v>529</v>
      </c>
      <c r="AT199" s="298" t="s">
        <v>149</v>
      </c>
      <c r="AU199" s="298" t="s">
        <v>236</v>
      </c>
      <c r="AV199" s="298" t="s">
        <v>150</v>
      </c>
      <c r="AW199" s="298"/>
      <c r="AX199" t="s">
        <v>154</v>
      </c>
    </row>
    <row r="200" spans="1:51" x14ac:dyDescent="0.25">
      <c r="A200" s="302" t="s">
        <v>568</v>
      </c>
      <c r="B200" s="302" t="s">
        <v>569</v>
      </c>
      <c r="C200" t="s">
        <v>151</v>
      </c>
      <c r="D200" t="s">
        <v>570</v>
      </c>
      <c r="F200" t="s">
        <v>529</v>
      </c>
      <c r="G200" t="s">
        <v>149</v>
      </c>
      <c r="H200" t="s">
        <v>236</v>
      </c>
      <c r="I200" t="s">
        <v>150</v>
      </c>
      <c r="K200" t="s">
        <v>154</v>
      </c>
      <c r="N200" s="302" t="s">
        <v>568</v>
      </c>
      <c r="O200" s="302" t="s">
        <v>569</v>
      </c>
      <c r="P200" t="s">
        <v>151</v>
      </c>
      <c r="Q200" t="s">
        <v>570</v>
      </c>
      <c r="S200" t="s">
        <v>529</v>
      </c>
      <c r="T200" t="s">
        <v>149</v>
      </c>
      <c r="U200" t="s">
        <v>236</v>
      </c>
      <c r="V200" t="s">
        <v>150</v>
      </c>
      <c r="X200" t="s">
        <v>154</v>
      </c>
      <c r="AA200" s="305" t="s">
        <v>568</v>
      </c>
      <c r="AB200" s="305" t="s">
        <v>569</v>
      </c>
      <c r="AC200" t="s">
        <v>151</v>
      </c>
      <c r="AD200" t="s">
        <v>570</v>
      </c>
      <c r="AF200" t="s">
        <v>529</v>
      </c>
      <c r="AG200" t="s">
        <v>149</v>
      </c>
      <c r="AH200" t="s">
        <v>236</v>
      </c>
      <c r="AI200" t="s">
        <v>150</v>
      </c>
      <c r="AK200" t="s">
        <v>154</v>
      </c>
      <c r="AN200" s="305" t="s">
        <v>568</v>
      </c>
      <c r="AO200" s="305" t="s">
        <v>569</v>
      </c>
      <c r="AP200" t="s">
        <v>151</v>
      </c>
      <c r="AQ200" t="s">
        <v>570</v>
      </c>
      <c r="AS200" t="s">
        <v>529</v>
      </c>
      <c r="AT200" t="s">
        <v>149</v>
      </c>
      <c r="AU200" t="s">
        <v>236</v>
      </c>
      <c r="AV200" t="s">
        <v>150</v>
      </c>
      <c r="AX200" t="s">
        <v>154</v>
      </c>
    </row>
    <row r="201" spans="1:51" x14ac:dyDescent="0.25">
      <c r="A201" s="302" t="s">
        <v>571</v>
      </c>
      <c r="B201" s="302" t="s">
        <v>572</v>
      </c>
      <c r="C201" t="s">
        <v>213</v>
      </c>
      <c r="D201" s="298" t="s">
        <v>573</v>
      </c>
      <c r="F201" t="s">
        <v>521</v>
      </c>
      <c r="G201" t="s">
        <v>149</v>
      </c>
      <c r="H201" t="s">
        <v>213</v>
      </c>
      <c r="K201" t="s">
        <v>216</v>
      </c>
      <c r="L201" t="s">
        <v>155</v>
      </c>
      <c r="N201" s="302" t="s">
        <v>571</v>
      </c>
      <c r="O201" s="302" t="s">
        <v>572</v>
      </c>
      <c r="P201" t="s">
        <v>213</v>
      </c>
      <c r="Q201" s="298" t="s">
        <v>573</v>
      </c>
      <c r="S201" t="s">
        <v>521</v>
      </c>
      <c r="T201" t="s">
        <v>149</v>
      </c>
      <c r="U201" t="s">
        <v>213</v>
      </c>
      <c r="X201" t="s">
        <v>216</v>
      </c>
      <c r="Y201" t="s">
        <v>155</v>
      </c>
      <c r="AA201" s="304" t="s">
        <v>571</v>
      </c>
      <c r="AB201" s="304" t="s">
        <v>572</v>
      </c>
      <c r="AC201" s="298" t="s">
        <v>213</v>
      </c>
      <c r="AD201" s="298" t="s">
        <v>573</v>
      </c>
      <c r="AE201" s="298"/>
      <c r="AF201" s="298" t="s">
        <v>521</v>
      </c>
      <c r="AG201" s="298" t="s">
        <v>149</v>
      </c>
      <c r="AH201" s="298" t="s">
        <v>213</v>
      </c>
      <c r="AI201" s="298"/>
      <c r="AJ201" s="298"/>
      <c r="AK201" t="s">
        <v>216</v>
      </c>
      <c r="AN201" s="304" t="s">
        <v>571</v>
      </c>
      <c r="AO201" s="304" t="s">
        <v>572</v>
      </c>
      <c r="AP201" s="298" t="s">
        <v>213</v>
      </c>
      <c r="AQ201" s="298" t="s">
        <v>573</v>
      </c>
      <c r="AR201" s="298"/>
      <c r="AS201" s="298" t="s">
        <v>521</v>
      </c>
      <c r="AT201" s="298" t="s">
        <v>149</v>
      </c>
      <c r="AU201" s="298" t="s">
        <v>213</v>
      </c>
      <c r="AV201" s="298"/>
      <c r="AW201" s="298"/>
      <c r="AX201" t="s">
        <v>216</v>
      </c>
    </row>
    <row r="202" spans="1:51" x14ac:dyDescent="0.25">
      <c r="A202" s="302" t="s">
        <v>574</v>
      </c>
      <c r="B202" s="302" t="s">
        <v>575</v>
      </c>
      <c r="C202" t="s">
        <v>213</v>
      </c>
      <c r="D202" t="s">
        <v>576</v>
      </c>
      <c r="F202" t="s">
        <v>521</v>
      </c>
      <c r="G202" t="s">
        <v>149</v>
      </c>
      <c r="H202" t="s">
        <v>213</v>
      </c>
      <c r="K202" s="306" t="s">
        <v>216</v>
      </c>
      <c r="L202" t="s">
        <v>178</v>
      </c>
      <c r="N202" s="302" t="s">
        <v>574</v>
      </c>
      <c r="O202" s="302" t="s">
        <v>575</v>
      </c>
      <c r="P202" t="s">
        <v>213</v>
      </c>
      <c r="Q202" t="s">
        <v>576</v>
      </c>
      <c r="S202" t="s">
        <v>521</v>
      </c>
      <c r="T202" t="s">
        <v>149</v>
      </c>
      <c r="U202" t="s">
        <v>213</v>
      </c>
      <c r="X202" t="s">
        <v>216</v>
      </c>
      <c r="Y202" t="s">
        <v>178</v>
      </c>
      <c r="AA202" s="305" t="s">
        <v>574</v>
      </c>
      <c r="AB202" s="305" t="s">
        <v>575</v>
      </c>
      <c r="AC202" t="s">
        <v>213</v>
      </c>
      <c r="AD202" t="s">
        <v>576</v>
      </c>
      <c r="AF202" t="s">
        <v>521</v>
      </c>
      <c r="AG202" t="s">
        <v>149</v>
      </c>
      <c r="AH202" t="s">
        <v>213</v>
      </c>
      <c r="AK202" t="s">
        <v>216</v>
      </c>
      <c r="AN202" s="305" t="s">
        <v>574</v>
      </c>
      <c r="AO202" s="305" t="s">
        <v>575</v>
      </c>
      <c r="AP202" t="s">
        <v>213</v>
      </c>
      <c r="AQ202" t="s">
        <v>576</v>
      </c>
      <c r="AS202" t="s">
        <v>521</v>
      </c>
      <c r="AT202" t="s">
        <v>149</v>
      </c>
      <c r="AU202" t="s">
        <v>213</v>
      </c>
      <c r="AX202" t="s">
        <v>216</v>
      </c>
    </row>
    <row r="203" spans="1:51" x14ac:dyDescent="0.25">
      <c r="A203" s="302" t="s">
        <v>577</v>
      </c>
      <c r="B203" s="302" t="s">
        <v>578</v>
      </c>
      <c r="C203" t="s">
        <v>206</v>
      </c>
      <c r="D203" s="298" t="s">
        <v>579</v>
      </c>
      <c r="F203" t="s">
        <v>529</v>
      </c>
      <c r="G203" t="s">
        <v>149</v>
      </c>
      <c r="H203" t="s">
        <v>203</v>
      </c>
      <c r="I203" t="s">
        <v>307</v>
      </c>
      <c r="K203" t="s">
        <v>177</v>
      </c>
      <c r="N203" s="302" t="s">
        <v>577</v>
      </c>
      <c r="O203" s="302" t="s">
        <v>578</v>
      </c>
      <c r="P203" t="s">
        <v>206</v>
      </c>
      <c r="Q203" s="298" t="s">
        <v>579</v>
      </c>
      <c r="S203" t="s">
        <v>529</v>
      </c>
      <c r="T203" t="s">
        <v>149</v>
      </c>
      <c r="U203" t="s">
        <v>203</v>
      </c>
      <c r="V203" t="s">
        <v>307</v>
      </c>
      <c r="X203" t="s">
        <v>177</v>
      </c>
      <c r="AA203" s="304" t="s">
        <v>577</v>
      </c>
      <c r="AB203" s="304" t="s">
        <v>578</v>
      </c>
      <c r="AC203" s="298" t="s">
        <v>206</v>
      </c>
      <c r="AD203" s="298" t="s">
        <v>579</v>
      </c>
      <c r="AE203" s="298"/>
      <c r="AF203" s="298" t="s">
        <v>529</v>
      </c>
      <c r="AG203" s="298" t="s">
        <v>149</v>
      </c>
      <c r="AH203" s="298" t="s">
        <v>203</v>
      </c>
      <c r="AI203" s="298" t="s">
        <v>307</v>
      </c>
      <c r="AJ203" s="298"/>
      <c r="AK203" t="s">
        <v>177</v>
      </c>
      <c r="AN203" s="304" t="s">
        <v>577</v>
      </c>
      <c r="AO203" s="304" t="s">
        <v>578</v>
      </c>
      <c r="AP203" s="298" t="s">
        <v>206</v>
      </c>
      <c r="AQ203" s="298" t="s">
        <v>579</v>
      </c>
      <c r="AR203" s="298"/>
      <c r="AS203" s="298" t="s">
        <v>529</v>
      </c>
      <c r="AT203" s="298" t="s">
        <v>149</v>
      </c>
      <c r="AU203" s="298" t="s">
        <v>203</v>
      </c>
      <c r="AV203" s="298" t="s">
        <v>307</v>
      </c>
      <c r="AW203" s="298"/>
      <c r="AX203" t="s">
        <v>177</v>
      </c>
    </row>
    <row r="204" spans="1:51" x14ac:dyDescent="0.25">
      <c r="A204" s="302" t="s">
        <v>580</v>
      </c>
      <c r="B204" s="302" t="s">
        <v>581</v>
      </c>
      <c r="C204" t="s">
        <v>206</v>
      </c>
      <c r="D204" t="s">
        <v>582</v>
      </c>
      <c r="F204" t="s">
        <v>529</v>
      </c>
      <c r="G204" t="s">
        <v>149</v>
      </c>
      <c r="H204" t="s">
        <v>203</v>
      </c>
      <c r="I204" t="s">
        <v>305</v>
      </c>
      <c r="K204" s="306" t="s">
        <v>177</v>
      </c>
      <c r="N204" s="302" t="s">
        <v>580</v>
      </c>
      <c r="O204" s="302" t="s">
        <v>581</v>
      </c>
      <c r="P204" t="s">
        <v>206</v>
      </c>
      <c r="Q204" t="s">
        <v>582</v>
      </c>
      <c r="S204" t="s">
        <v>529</v>
      </c>
      <c r="T204" t="s">
        <v>149</v>
      </c>
      <c r="U204" t="s">
        <v>203</v>
      </c>
      <c r="V204" t="s">
        <v>305</v>
      </c>
      <c r="X204" t="s">
        <v>177</v>
      </c>
      <c r="AA204" s="305" t="s">
        <v>580</v>
      </c>
      <c r="AB204" s="305" t="s">
        <v>581</v>
      </c>
      <c r="AC204" t="s">
        <v>206</v>
      </c>
      <c r="AD204" t="s">
        <v>582</v>
      </c>
      <c r="AF204" t="s">
        <v>529</v>
      </c>
      <c r="AG204" t="s">
        <v>149</v>
      </c>
      <c r="AH204" t="s">
        <v>203</v>
      </c>
      <c r="AI204" t="s">
        <v>305</v>
      </c>
      <c r="AK204" t="s">
        <v>177</v>
      </c>
      <c r="AN204" s="305" t="s">
        <v>580</v>
      </c>
      <c r="AO204" s="305" t="s">
        <v>581</v>
      </c>
      <c r="AP204" t="s">
        <v>206</v>
      </c>
      <c r="AQ204" t="s">
        <v>582</v>
      </c>
      <c r="AS204" t="s">
        <v>529</v>
      </c>
      <c r="AT204" t="s">
        <v>149</v>
      </c>
      <c r="AU204" t="s">
        <v>203</v>
      </c>
      <c r="AV204" t="s">
        <v>305</v>
      </c>
      <c r="AX204" t="s">
        <v>177</v>
      </c>
    </row>
    <row r="205" spans="1:51" x14ac:dyDescent="0.25">
      <c r="A205" s="302" t="s">
        <v>583</v>
      </c>
      <c r="B205" s="302" t="s">
        <v>584</v>
      </c>
      <c r="C205" t="s">
        <v>206</v>
      </c>
      <c r="D205" s="298" t="s">
        <v>585</v>
      </c>
      <c r="F205" t="s">
        <v>529</v>
      </c>
      <c r="G205" t="s">
        <v>149</v>
      </c>
      <c r="H205" t="s">
        <v>203</v>
      </c>
      <c r="I205" t="s">
        <v>305</v>
      </c>
      <c r="K205" t="s">
        <v>177</v>
      </c>
      <c r="N205" s="302" t="s">
        <v>583</v>
      </c>
      <c r="O205" s="302" t="s">
        <v>584</v>
      </c>
      <c r="P205" t="s">
        <v>206</v>
      </c>
      <c r="Q205" s="298" t="s">
        <v>585</v>
      </c>
      <c r="S205" t="s">
        <v>529</v>
      </c>
      <c r="T205" t="s">
        <v>149</v>
      </c>
      <c r="U205" t="s">
        <v>203</v>
      </c>
      <c r="V205" t="s">
        <v>305</v>
      </c>
      <c r="X205" t="s">
        <v>177</v>
      </c>
      <c r="AA205" s="304" t="s">
        <v>583</v>
      </c>
      <c r="AB205" s="304" t="s">
        <v>584</v>
      </c>
      <c r="AC205" s="298" t="s">
        <v>206</v>
      </c>
      <c r="AD205" s="298" t="s">
        <v>585</v>
      </c>
      <c r="AE205" s="298"/>
      <c r="AF205" s="298" t="s">
        <v>529</v>
      </c>
      <c r="AG205" s="298" t="s">
        <v>149</v>
      </c>
      <c r="AH205" s="298" t="s">
        <v>203</v>
      </c>
      <c r="AI205" s="298" t="s">
        <v>305</v>
      </c>
      <c r="AJ205" s="298"/>
      <c r="AK205" t="s">
        <v>177</v>
      </c>
      <c r="AN205" s="304" t="s">
        <v>583</v>
      </c>
      <c r="AO205" s="304" t="s">
        <v>584</v>
      </c>
      <c r="AP205" s="298" t="s">
        <v>206</v>
      </c>
      <c r="AQ205" s="298" t="s">
        <v>585</v>
      </c>
      <c r="AR205" s="298"/>
      <c r="AS205" s="298" t="s">
        <v>529</v>
      </c>
      <c r="AT205" s="298" t="s">
        <v>149</v>
      </c>
      <c r="AU205" s="298" t="s">
        <v>203</v>
      </c>
      <c r="AV205" s="298" t="s">
        <v>305</v>
      </c>
      <c r="AW205" s="298"/>
      <c r="AX205" t="s">
        <v>177</v>
      </c>
    </row>
    <row r="206" spans="1:51" x14ac:dyDescent="0.25">
      <c r="A206" s="302" t="s">
        <v>586</v>
      </c>
      <c r="B206" s="302" t="s">
        <v>587</v>
      </c>
      <c r="C206" t="s">
        <v>252</v>
      </c>
      <c r="D206" t="s">
        <v>564</v>
      </c>
      <c r="F206" t="s">
        <v>529</v>
      </c>
      <c r="G206" t="s">
        <v>149</v>
      </c>
      <c r="H206" t="s">
        <v>148</v>
      </c>
      <c r="I206" t="s">
        <v>230</v>
      </c>
      <c r="K206" t="s">
        <v>225</v>
      </c>
      <c r="N206" s="302" t="s">
        <v>586</v>
      </c>
      <c r="O206" s="302" t="s">
        <v>587</v>
      </c>
      <c r="P206" t="s">
        <v>252</v>
      </c>
      <c r="Q206" t="s">
        <v>564</v>
      </c>
      <c r="S206" t="s">
        <v>529</v>
      </c>
      <c r="T206" t="s">
        <v>149</v>
      </c>
      <c r="U206" t="s">
        <v>148</v>
      </c>
      <c r="V206" t="s">
        <v>230</v>
      </c>
      <c r="X206" t="s">
        <v>225</v>
      </c>
      <c r="AA206" s="305" t="s">
        <v>586</v>
      </c>
      <c r="AB206" s="305" t="s">
        <v>587</v>
      </c>
      <c r="AC206" t="s">
        <v>252</v>
      </c>
      <c r="AD206" t="s">
        <v>564</v>
      </c>
      <c r="AF206" t="s">
        <v>529</v>
      </c>
      <c r="AG206" t="s">
        <v>149</v>
      </c>
      <c r="AH206" t="s">
        <v>148</v>
      </c>
      <c r="AI206" t="s">
        <v>230</v>
      </c>
      <c r="AK206" t="s">
        <v>225</v>
      </c>
      <c r="AN206" s="305" t="s">
        <v>586</v>
      </c>
      <c r="AO206" s="305" t="s">
        <v>587</v>
      </c>
      <c r="AP206" t="s">
        <v>252</v>
      </c>
      <c r="AQ206" t="s">
        <v>564</v>
      </c>
      <c r="AS206" t="s">
        <v>529</v>
      </c>
      <c r="AT206" t="s">
        <v>149</v>
      </c>
      <c r="AU206" t="s">
        <v>148</v>
      </c>
      <c r="AV206" t="s">
        <v>230</v>
      </c>
      <c r="AX206" t="s">
        <v>225</v>
      </c>
    </row>
    <row r="207" spans="1:51" x14ac:dyDescent="0.25">
      <c r="A207" s="302" t="s">
        <v>588</v>
      </c>
      <c r="B207" s="302" t="s">
        <v>589</v>
      </c>
      <c r="C207" t="s">
        <v>252</v>
      </c>
      <c r="D207" s="298" t="s">
        <v>567</v>
      </c>
      <c r="F207" t="s">
        <v>529</v>
      </c>
      <c r="G207" t="s">
        <v>149</v>
      </c>
      <c r="H207" t="s">
        <v>148</v>
      </c>
      <c r="I207" t="s">
        <v>230</v>
      </c>
      <c r="K207" t="s">
        <v>225</v>
      </c>
      <c r="N207" s="302" t="s">
        <v>588</v>
      </c>
      <c r="O207" s="302" t="s">
        <v>589</v>
      </c>
      <c r="P207" t="s">
        <v>252</v>
      </c>
      <c r="Q207" s="298" t="s">
        <v>567</v>
      </c>
      <c r="S207" t="s">
        <v>529</v>
      </c>
      <c r="T207" t="s">
        <v>149</v>
      </c>
      <c r="U207" t="s">
        <v>148</v>
      </c>
      <c r="V207" t="s">
        <v>230</v>
      </c>
      <c r="X207" t="s">
        <v>225</v>
      </c>
      <c r="AA207" s="304" t="s">
        <v>588</v>
      </c>
      <c r="AB207" s="304" t="s">
        <v>589</v>
      </c>
      <c r="AC207" s="298" t="s">
        <v>252</v>
      </c>
      <c r="AD207" s="298" t="s">
        <v>567</v>
      </c>
      <c r="AE207" s="298"/>
      <c r="AF207" s="298" t="s">
        <v>529</v>
      </c>
      <c r="AG207" s="298" t="s">
        <v>149</v>
      </c>
      <c r="AH207" s="298" t="s">
        <v>148</v>
      </c>
      <c r="AI207" s="298" t="s">
        <v>230</v>
      </c>
      <c r="AJ207" s="298"/>
      <c r="AK207" t="s">
        <v>225</v>
      </c>
      <c r="AN207" s="304" t="s">
        <v>588</v>
      </c>
      <c r="AO207" s="304" t="s">
        <v>589</v>
      </c>
      <c r="AP207" s="298" t="s">
        <v>252</v>
      </c>
      <c r="AQ207" s="298" t="s">
        <v>567</v>
      </c>
      <c r="AR207" s="298"/>
      <c r="AS207" s="298" t="s">
        <v>529</v>
      </c>
      <c r="AT207" s="298" t="s">
        <v>149</v>
      </c>
      <c r="AU207" s="298" t="s">
        <v>148</v>
      </c>
      <c r="AV207" s="298" t="s">
        <v>230</v>
      </c>
      <c r="AW207" s="298"/>
      <c r="AX207" t="s">
        <v>225</v>
      </c>
    </row>
    <row r="208" spans="1:51" x14ac:dyDescent="0.25">
      <c r="A208" s="302" t="s">
        <v>590</v>
      </c>
      <c r="B208" s="302" t="s">
        <v>591</v>
      </c>
      <c r="C208" t="s">
        <v>252</v>
      </c>
      <c r="D208" t="s">
        <v>570</v>
      </c>
      <c r="F208" t="s">
        <v>529</v>
      </c>
      <c r="G208" t="s">
        <v>149</v>
      </c>
      <c r="H208" t="s">
        <v>148</v>
      </c>
      <c r="I208" t="s">
        <v>230</v>
      </c>
      <c r="K208" t="s">
        <v>225</v>
      </c>
      <c r="N208" s="302" t="s">
        <v>590</v>
      </c>
      <c r="O208" s="302" t="s">
        <v>591</v>
      </c>
      <c r="P208" t="s">
        <v>252</v>
      </c>
      <c r="Q208" t="s">
        <v>570</v>
      </c>
      <c r="S208" t="s">
        <v>529</v>
      </c>
      <c r="T208" t="s">
        <v>149</v>
      </c>
      <c r="U208" t="s">
        <v>148</v>
      </c>
      <c r="V208" t="s">
        <v>230</v>
      </c>
      <c r="X208" t="s">
        <v>225</v>
      </c>
      <c r="AA208" s="305" t="s">
        <v>590</v>
      </c>
      <c r="AB208" s="305" t="s">
        <v>591</v>
      </c>
      <c r="AC208" t="s">
        <v>252</v>
      </c>
      <c r="AD208" t="s">
        <v>570</v>
      </c>
      <c r="AF208" t="s">
        <v>529</v>
      </c>
      <c r="AG208" t="s">
        <v>149</v>
      </c>
      <c r="AH208" t="s">
        <v>148</v>
      </c>
      <c r="AI208" t="s">
        <v>230</v>
      </c>
      <c r="AK208" t="s">
        <v>225</v>
      </c>
      <c r="AN208" s="305" t="s">
        <v>590</v>
      </c>
      <c r="AO208" s="305" t="s">
        <v>591</v>
      </c>
      <c r="AP208" t="s">
        <v>252</v>
      </c>
      <c r="AQ208" t="s">
        <v>570</v>
      </c>
      <c r="AS208" t="s">
        <v>529</v>
      </c>
      <c r="AT208" t="s">
        <v>149</v>
      </c>
      <c r="AU208" t="s">
        <v>148</v>
      </c>
      <c r="AV208" t="s">
        <v>230</v>
      </c>
      <c r="AX208" t="s">
        <v>225</v>
      </c>
    </row>
    <row r="209" spans="1:51" x14ac:dyDescent="0.25">
      <c r="A209" s="302" t="s">
        <v>592</v>
      </c>
      <c r="B209" s="302" t="s">
        <v>593</v>
      </c>
      <c r="C209" t="s">
        <v>213</v>
      </c>
      <c r="D209" s="298" t="s">
        <v>594</v>
      </c>
      <c r="F209" t="s">
        <v>521</v>
      </c>
      <c r="G209" t="s">
        <v>149</v>
      </c>
      <c r="H209" t="s">
        <v>213</v>
      </c>
      <c r="K209" t="s">
        <v>216</v>
      </c>
      <c r="N209" s="302" t="s">
        <v>592</v>
      </c>
      <c r="O209" s="302" t="s">
        <v>593</v>
      </c>
      <c r="P209" t="s">
        <v>213</v>
      </c>
      <c r="Q209" s="298" t="s">
        <v>594</v>
      </c>
      <c r="S209" t="s">
        <v>521</v>
      </c>
      <c r="T209" t="s">
        <v>149</v>
      </c>
      <c r="U209" t="s">
        <v>213</v>
      </c>
      <c r="X209" t="s">
        <v>216</v>
      </c>
      <c r="Y209" t="s">
        <v>235</v>
      </c>
      <c r="AA209" s="304" t="s">
        <v>592</v>
      </c>
      <c r="AB209" s="304" t="s">
        <v>593</v>
      </c>
      <c r="AC209" s="298" t="s">
        <v>213</v>
      </c>
      <c r="AD209" s="298" t="s">
        <v>594</v>
      </c>
      <c r="AE209" s="298"/>
      <c r="AF209" s="298" t="s">
        <v>521</v>
      </c>
      <c r="AG209" s="298" t="s">
        <v>149</v>
      </c>
      <c r="AH209" s="298" t="s">
        <v>213</v>
      </c>
      <c r="AI209" s="298"/>
      <c r="AJ209" s="298"/>
      <c r="AK209" t="s">
        <v>216</v>
      </c>
      <c r="AL209" t="s">
        <v>235</v>
      </c>
      <c r="AN209" s="304" t="s">
        <v>592</v>
      </c>
      <c r="AO209" s="304" t="s">
        <v>593</v>
      </c>
      <c r="AP209" s="298" t="s">
        <v>213</v>
      </c>
      <c r="AQ209" s="298" t="s">
        <v>594</v>
      </c>
      <c r="AR209" s="298"/>
      <c r="AS209" s="298" t="s">
        <v>521</v>
      </c>
      <c r="AT209" s="298" t="s">
        <v>149</v>
      </c>
      <c r="AU209" s="298" t="s">
        <v>213</v>
      </c>
      <c r="AV209" s="298"/>
      <c r="AW209" s="298"/>
      <c r="AX209" t="s">
        <v>216</v>
      </c>
      <c r="AY209" t="s">
        <v>235</v>
      </c>
    </row>
    <row r="210" spans="1:51" x14ac:dyDescent="0.25">
      <c r="A210" s="306" t="s">
        <v>595</v>
      </c>
      <c r="B210" s="303"/>
      <c r="D210" t="s">
        <v>596</v>
      </c>
      <c r="K210" s="306" t="s">
        <v>194</v>
      </c>
      <c r="N210" s="306" t="s">
        <v>595</v>
      </c>
      <c r="O210" s="303"/>
      <c r="Q210" t="s">
        <v>596</v>
      </c>
      <c r="X210" t="s">
        <v>194</v>
      </c>
      <c r="AA210" s="306" t="s">
        <v>595</v>
      </c>
      <c r="AB210" s="306"/>
      <c r="AD210" t="s">
        <v>596</v>
      </c>
      <c r="AK210" t="s">
        <v>194</v>
      </c>
      <c r="AN210" s="306" t="s">
        <v>595</v>
      </c>
      <c r="AO210" s="306"/>
      <c r="AQ210" t="s">
        <v>596</v>
      </c>
      <c r="AX210" t="s">
        <v>194</v>
      </c>
    </row>
    <row r="211" spans="1:51" x14ac:dyDescent="0.25">
      <c r="A211" s="308"/>
      <c r="B211" s="309"/>
      <c r="N211" s="308"/>
      <c r="O211" s="309"/>
      <c r="AA211" s="308"/>
      <c r="AB211" s="308"/>
      <c r="AN211" s="308"/>
      <c r="AO211" s="308"/>
    </row>
    <row r="212" spans="1:51" x14ac:dyDescent="0.25">
      <c r="A212" s="308"/>
      <c r="B212" s="309"/>
      <c r="N212" s="308"/>
      <c r="O212" s="309"/>
      <c r="AA212" s="308"/>
      <c r="AB212" s="308"/>
      <c r="AN212" s="308"/>
      <c r="AO212" s="308"/>
    </row>
    <row r="213" spans="1:51" x14ac:dyDescent="0.25">
      <c r="A213" s="308"/>
      <c r="B213" s="309"/>
      <c r="N213" s="308"/>
      <c r="O213" s="309"/>
      <c r="AA213" t="s">
        <v>597</v>
      </c>
      <c r="AB213" s="308"/>
      <c r="AN213" t="s">
        <v>597</v>
      </c>
      <c r="AO213" s="308"/>
    </row>
    <row r="214" spans="1:51" x14ac:dyDescent="0.25">
      <c r="A214" s="308"/>
      <c r="B214" s="309"/>
      <c r="N214" s="308"/>
      <c r="O214" s="309"/>
      <c r="AA214" s="299" t="s">
        <v>507</v>
      </c>
      <c r="AB214" s="299" t="s">
        <v>508</v>
      </c>
      <c r="AC214" s="299" t="s">
        <v>509</v>
      </c>
      <c r="AD214" s="299" t="s">
        <v>510</v>
      </c>
      <c r="AE214" s="299" t="s">
        <v>511</v>
      </c>
      <c r="AF214" s="299" t="s">
        <v>353</v>
      </c>
      <c r="AG214" s="299" t="s">
        <v>512</v>
      </c>
      <c r="AH214" s="299" t="s">
        <v>513</v>
      </c>
      <c r="AI214" s="299" t="s">
        <v>514</v>
      </c>
      <c r="AJ214" s="299" t="s">
        <v>515</v>
      </c>
      <c r="AK214" s="299" t="s">
        <v>516</v>
      </c>
      <c r="AL214" s="299" t="s">
        <v>517</v>
      </c>
      <c r="AN214" s="299" t="s">
        <v>507</v>
      </c>
      <c r="AO214" s="299" t="s">
        <v>508</v>
      </c>
      <c r="AP214" s="299" t="s">
        <v>509</v>
      </c>
      <c r="AQ214" s="299" t="s">
        <v>510</v>
      </c>
      <c r="AR214" s="299" t="s">
        <v>511</v>
      </c>
      <c r="AS214" s="299" t="s">
        <v>353</v>
      </c>
      <c r="AT214" s="299" t="s">
        <v>512</v>
      </c>
      <c r="AU214" s="299" t="s">
        <v>513</v>
      </c>
      <c r="AV214" s="299" t="s">
        <v>514</v>
      </c>
      <c r="AW214" s="299" t="s">
        <v>515</v>
      </c>
      <c r="AX214" s="318" t="s">
        <v>516</v>
      </c>
      <c r="AY214" s="318" t="s">
        <v>517</v>
      </c>
    </row>
    <row r="215" spans="1:51" x14ac:dyDescent="0.25">
      <c r="A215" s="308"/>
      <c r="B215" s="309"/>
      <c r="N215" s="308"/>
      <c r="O215" s="309"/>
      <c r="AA215" s="298" t="s">
        <v>598</v>
      </c>
      <c r="AB215" s="298" t="s">
        <v>599</v>
      </c>
      <c r="AC215" s="298" t="s">
        <v>252</v>
      </c>
      <c r="AD215" s="298" t="s">
        <v>579</v>
      </c>
      <c r="AE215" s="298"/>
      <c r="AF215" s="298" t="s">
        <v>529</v>
      </c>
      <c r="AG215" s="298" t="s">
        <v>149</v>
      </c>
      <c r="AH215" s="298" t="s">
        <v>148</v>
      </c>
      <c r="AI215" s="298"/>
      <c r="AJ215" s="298"/>
      <c r="AK215" s="316" t="s">
        <v>225</v>
      </c>
      <c r="AN215" s="298" t="s">
        <v>598</v>
      </c>
      <c r="AO215" s="298" t="s">
        <v>599</v>
      </c>
      <c r="AP215" s="298" t="s">
        <v>252</v>
      </c>
      <c r="AQ215" s="298" t="s">
        <v>579</v>
      </c>
      <c r="AR215" s="298"/>
      <c r="AS215" s="298" t="s">
        <v>529</v>
      </c>
      <c r="AT215" s="298" t="s">
        <v>149</v>
      </c>
      <c r="AU215" s="298" t="s">
        <v>148</v>
      </c>
      <c r="AV215" s="298"/>
      <c r="AW215" s="298"/>
      <c r="AX215" s="298" t="s">
        <v>225</v>
      </c>
      <c r="AY215" s="298"/>
    </row>
    <row r="216" spans="1:51" x14ac:dyDescent="0.25">
      <c r="A216" s="308"/>
      <c r="B216" s="309"/>
      <c r="N216" s="308"/>
      <c r="O216" s="309"/>
      <c r="AA216" t="s">
        <v>600</v>
      </c>
      <c r="AB216" t="s">
        <v>601</v>
      </c>
      <c r="AC216" t="s">
        <v>252</v>
      </c>
      <c r="AD216" t="s">
        <v>582</v>
      </c>
      <c r="AF216" t="s">
        <v>529</v>
      </c>
      <c r="AG216" t="s">
        <v>149</v>
      </c>
      <c r="AH216" t="s">
        <v>148</v>
      </c>
      <c r="AK216" s="316" t="s">
        <v>225</v>
      </c>
      <c r="AN216" t="s">
        <v>600</v>
      </c>
      <c r="AO216" t="s">
        <v>601</v>
      </c>
      <c r="AP216" t="s">
        <v>252</v>
      </c>
      <c r="AQ216" t="s">
        <v>582</v>
      </c>
      <c r="AS216" t="s">
        <v>529</v>
      </c>
      <c r="AT216" t="s">
        <v>149</v>
      </c>
      <c r="AU216" t="s">
        <v>148</v>
      </c>
      <c r="AX216" t="s">
        <v>225</v>
      </c>
    </row>
    <row r="217" spans="1:51" x14ac:dyDescent="0.25">
      <c r="A217" s="308"/>
      <c r="B217" s="309"/>
      <c r="N217" s="308"/>
      <c r="O217" s="309"/>
      <c r="AA217" s="298" t="s">
        <v>602</v>
      </c>
      <c r="AB217" s="298" t="s">
        <v>603</v>
      </c>
      <c r="AC217" s="298" t="s">
        <v>252</v>
      </c>
      <c r="AD217" s="298" t="s">
        <v>585</v>
      </c>
      <c r="AE217" s="298"/>
      <c r="AF217" s="298" t="s">
        <v>529</v>
      </c>
      <c r="AG217" s="298" t="s">
        <v>149</v>
      </c>
      <c r="AH217" s="298" t="s">
        <v>148</v>
      </c>
      <c r="AI217" s="298"/>
      <c r="AJ217" s="298"/>
      <c r="AK217" s="316" t="s">
        <v>225</v>
      </c>
      <c r="AN217" s="310" t="s">
        <v>604</v>
      </c>
      <c r="AO217" s="298"/>
      <c r="AP217" s="298"/>
      <c r="AQ217" s="298" t="s">
        <v>585</v>
      </c>
      <c r="AR217" s="298"/>
      <c r="AS217" s="298"/>
      <c r="AT217" s="298"/>
      <c r="AU217" s="298"/>
      <c r="AV217" s="298"/>
      <c r="AW217" s="298"/>
      <c r="AX217" s="298" t="s">
        <v>194</v>
      </c>
      <c r="AY217" s="298"/>
    </row>
    <row r="218" spans="1:51" x14ac:dyDescent="0.25">
      <c r="A218" s="308"/>
      <c r="B218" s="309"/>
      <c r="N218" s="308"/>
      <c r="O218" s="309"/>
      <c r="AA218" t="s">
        <v>605</v>
      </c>
      <c r="AB218" t="s">
        <v>606</v>
      </c>
      <c r="AC218" t="s">
        <v>252</v>
      </c>
      <c r="AD218" t="s">
        <v>564</v>
      </c>
      <c r="AF218" t="s">
        <v>529</v>
      </c>
      <c r="AG218" t="s">
        <v>149</v>
      </c>
      <c r="AH218" t="s">
        <v>148</v>
      </c>
      <c r="AK218" s="316" t="s">
        <v>225</v>
      </c>
      <c r="AN218" s="306" t="s">
        <v>607</v>
      </c>
      <c r="AQ218" t="s">
        <v>564</v>
      </c>
      <c r="AX218" t="s">
        <v>194</v>
      </c>
    </row>
    <row r="219" spans="1:51" x14ac:dyDescent="0.25">
      <c r="A219" s="308"/>
      <c r="B219" s="309"/>
      <c r="N219" s="308"/>
      <c r="O219" s="309"/>
      <c r="AA219" s="298" t="s">
        <v>608</v>
      </c>
      <c r="AB219" s="298" t="s">
        <v>609</v>
      </c>
      <c r="AC219" s="298" t="s">
        <v>151</v>
      </c>
      <c r="AD219" s="298" t="s">
        <v>567</v>
      </c>
      <c r="AE219" s="298"/>
      <c r="AF219" s="298" t="s">
        <v>529</v>
      </c>
      <c r="AG219" s="298" t="s">
        <v>149</v>
      </c>
      <c r="AH219" s="298" t="s">
        <v>236</v>
      </c>
      <c r="AI219" s="298" t="s">
        <v>150</v>
      </c>
      <c r="AJ219" s="298"/>
      <c r="AK219" s="316" t="s">
        <v>225</v>
      </c>
      <c r="AN219" s="298" t="s">
        <v>608</v>
      </c>
      <c r="AO219" s="298" t="s">
        <v>609</v>
      </c>
      <c r="AP219" s="298" t="s">
        <v>151</v>
      </c>
      <c r="AQ219" s="298" t="s">
        <v>567</v>
      </c>
      <c r="AR219" s="298"/>
      <c r="AS219" s="298" t="s">
        <v>529</v>
      </c>
      <c r="AT219" s="298" t="s">
        <v>149</v>
      </c>
      <c r="AU219" s="298" t="s">
        <v>236</v>
      </c>
      <c r="AV219" s="298" t="s">
        <v>150</v>
      </c>
      <c r="AW219" s="298"/>
      <c r="AX219" s="298" t="s">
        <v>225</v>
      </c>
      <c r="AY219" s="298"/>
    </row>
    <row r="220" spans="1:51" x14ac:dyDescent="0.25">
      <c r="A220" s="308"/>
      <c r="B220" s="309"/>
      <c r="N220" s="308"/>
      <c r="O220" s="309"/>
      <c r="AA220" t="s">
        <v>610</v>
      </c>
      <c r="AB220" t="s">
        <v>611</v>
      </c>
      <c r="AC220" t="s">
        <v>151</v>
      </c>
      <c r="AD220" t="s">
        <v>570</v>
      </c>
      <c r="AF220" t="s">
        <v>529</v>
      </c>
      <c r="AG220" t="s">
        <v>149</v>
      </c>
      <c r="AH220" t="s">
        <v>236</v>
      </c>
      <c r="AI220" t="s">
        <v>150</v>
      </c>
      <c r="AK220" s="316" t="s">
        <v>225</v>
      </c>
      <c r="AN220" s="306" t="s">
        <v>612</v>
      </c>
      <c r="AQ220" t="s">
        <v>570</v>
      </c>
      <c r="AX220" t="s">
        <v>194</v>
      </c>
    </row>
    <row r="221" spans="1:51" x14ac:dyDescent="0.25">
      <c r="AA221" s="298" t="s">
        <v>613</v>
      </c>
      <c r="AB221" s="298" t="s">
        <v>614</v>
      </c>
      <c r="AC221" s="298" t="s">
        <v>151</v>
      </c>
      <c r="AD221" s="298" t="s">
        <v>594</v>
      </c>
      <c r="AE221" s="298"/>
      <c r="AF221" s="298" t="s">
        <v>529</v>
      </c>
      <c r="AG221" s="298" t="s">
        <v>149</v>
      </c>
      <c r="AH221" s="298" t="s">
        <v>236</v>
      </c>
      <c r="AI221" s="298" t="s">
        <v>150</v>
      </c>
      <c r="AJ221" s="298"/>
      <c r="AK221" s="316" t="s">
        <v>225</v>
      </c>
      <c r="AN221" s="310" t="s">
        <v>615</v>
      </c>
      <c r="AO221" s="298"/>
      <c r="AP221" s="298"/>
      <c r="AQ221" s="298" t="s">
        <v>594</v>
      </c>
      <c r="AR221" s="298"/>
      <c r="AS221" s="298"/>
      <c r="AT221" s="298"/>
      <c r="AU221" s="298"/>
      <c r="AV221" s="298"/>
      <c r="AW221" s="298"/>
      <c r="AX221" s="298" t="s">
        <v>194</v>
      </c>
      <c r="AY221" s="298"/>
    </row>
    <row r="222" spans="1:51" x14ac:dyDescent="0.25">
      <c r="AA222" t="s">
        <v>616</v>
      </c>
      <c r="AB222" t="s">
        <v>617</v>
      </c>
      <c r="AC222" t="s">
        <v>151</v>
      </c>
      <c r="AD222" t="s">
        <v>596</v>
      </c>
      <c r="AF222" t="s">
        <v>529</v>
      </c>
      <c r="AG222" t="s">
        <v>149</v>
      </c>
      <c r="AH222" t="s">
        <v>236</v>
      </c>
      <c r="AI222" t="s">
        <v>150</v>
      </c>
      <c r="AK222" s="316" t="s">
        <v>225</v>
      </c>
      <c r="AN222" s="306" t="s">
        <v>595</v>
      </c>
      <c r="AQ222" t="s">
        <v>596</v>
      </c>
      <c r="AX222" t="s">
        <v>194</v>
      </c>
    </row>
    <row r="223" spans="1:51" x14ac:dyDescent="0.25">
      <c r="AA223" s="298" t="s">
        <v>618</v>
      </c>
      <c r="AB223" s="298" t="s">
        <v>619</v>
      </c>
      <c r="AC223" s="298" t="s">
        <v>151</v>
      </c>
      <c r="AD223" s="298" t="s">
        <v>579</v>
      </c>
      <c r="AE223" s="298"/>
      <c r="AF223" s="298" t="s">
        <v>529</v>
      </c>
      <c r="AG223" s="298" t="s">
        <v>149</v>
      </c>
      <c r="AH223" s="298" t="s">
        <v>236</v>
      </c>
      <c r="AI223" s="298" t="s">
        <v>150</v>
      </c>
      <c r="AJ223" s="298"/>
      <c r="AK223" s="316" t="s">
        <v>225</v>
      </c>
    </row>
    <row r="224" spans="1:51" x14ac:dyDescent="0.25">
      <c r="AA224" t="s">
        <v>620</v>
      </c>
      <c r="AB224" t="s">
        <v>621</v>
      </c>
      <c r="AC224" t="s">
        <v>151</v>
      </c>
      <c r="AD224" t="s">
        <v>582</v>
      </c>
      <c r="AF224" t="s">
        <v>529</v>
      </c>
      <c r="AG224" t="s">
        <v>149</v>
      </c>
      <c r="AH224" t="s">
        <v>236</v>
      </c>
      <c r="AI224" t="s">
        <v>150</v>
      </c>
      <c r="AK224" s="316" t="s">
        <v>225</v>
      </c>
    </row>
    <row r="226" spans="1:51" x14ac:dyDescent="0.25">
      <c r="A226" t="s">
        <v>622</v>
      </c>
      <c r="N226" t="s">
        <v>622</v>
      </c>
      <c r="AA226" t="s">
        <v>622</v>
      </c>
      <c r="AN226" t="s">
        <v>622</v>
      </c>
    </row>
    <row r="227" spans="1:51" x14ac:dyDescent="0.25">
      <c r="A227" s="299" t="s">
        <v>507</v>
      </c>
      <c r="B227" s="299" t="s">
        <v>508</v>
      </c>
      <c r="C227" s="299" t="s">
        <v>509</v>
      </c>
      <c r="D227" t="s">
        <v>510</v>
      </c>
      <c r="E227" t="s">
        <v>511</v>
      </c>
      <c r="F227" s="299" t="s">
        <v>353</v>
      </c>
      <c r="G227" s="299" t="s">
        <v>512</v>
      </c>
      <c r="H227" s="299" t="s">
        <v>513</v>
      </c>
      <c r="I227" s="299" t="s">
        <v>514</v>
      </c>
      <c r="J227" s="299" t="s">
        <v>515</v>
      </c>
      <c r="K227" t="s">
        <v>516</v>
      </c>
      <c r="L227" s="299" t="s">
        <v>517</v>
      </c>
      <c r="N227" s="299" t="s">
        <v>507</v>
      </c>
      <c r="O227" s="299" t="s">
        <v>508</v>
      </c>
      <c r="P227" s="299" t="s">
        <v>509</v>
      </c>
      <c r="Q227" t="s">
        <v>510</v>
      </c>
      <c r="R227" t="s">
        <v>511</v>
      </c>
      <c r="S227" s="299" t="s">
        <v>353</v>
      </c>
      <c r="T227" s="299" t="s">
        <v>512</v>
      </c>
      <c r="U227" s="299" t="s">
        <v>513</v>
      </c>
      <c r="V227" s="299" t="s">
        <v>514</v>
      </c>
      <c r="W227" s="299" t="s">
        <v>515</v>
      </c>
      <c r="X227" s="299" t="s">
        <v>516</v>
      </c>
      <c r="Y227" s="299" t="s">
        <v>517</v>
      </c>
      <c r="AA227" s="299" t="s">
        <v>507</v>
      </c>
      <c r="AB227" s="299" t="s">
        <v>508</v>
      </c>
      <c r="AC227" s="299" t="s">
        <v>509</v>
      </c>
      <c r="AD227" s="299" t="s">
        <v>510</v>
      </c>
      <c r="AE227" s="299" t="s">
        <v>511</v>
      </c>
      <c r="AF227" s="299" t="s">
        <v>353</v>
      </c>
      <c r="AG227" s="299" t="s">
        <v>512</v>
      </c>
      <c r="AH227" s="299" t="s">
        <v>513</v>
      </c>
      <c r="AI227" s="299" t="s">
        <v>514</v>
      </c>
      <c r="AJ227" s="299" t="s">
        <v>515</v>
      </c>
      <c r="AK227" s="299" t="s">
        <v>516</v>
      </c>
      <c r="AL227" s="299" t="s">
        <v>517</v>
      </c>
      <c r="AN227" s="299" t="s">
        <v>507</v>
      </c>
      <c r="AO227" s="299" t="s">
        <v>508</v>
      </c>
      <c r="AP227" s="299" t="s">
        <v>509</v>
      </c>
      <c r="AQ227" s="299" t="s">
        <v>510</v>
      </c>
      <c r="AR227" s="299" t="s">
        <v>511</v>
      </c>
      <c r="AS227" s="299" t="s">
        <v>353</v>
      </c>
      <c r="AT227" s="299" t="s">
        <v>512</v>
      </c>
      <c r="AU227" s="299" t="s">
        <v>513</v>
      </c>
      <c r="AV227" s="299" t="s">
        <v>514</v>
      </c>
      <c r="AW227" s="299" t="s">
        <v>515</v>
      </c>
      <c r="AX227" s="299" t="s">
        <v>516</v>
      </c>
      <c r="AY227" s="299" t="s">
        <v>517</v>
      </c>
    </row>
    <row r="228" spans="1:51" x14ac:dyDescent="0.25">
      <c r="A228" t="s">
        <v>623</v>
      </c>
      <c r="B228" t="s">
        <v>624</v>
      </c>
      <c r="C228" t="s">
        <v>213</v>
      </c>
      <c r="D228" s="298" t="s">
        <v>625</v>
      </c>
      <c r="F228" t="s">
        <v>521</v>
      </c>
      <c r="G228" t="s">
        <v>149</v>
      </c>
      <c r="H228" t="s">
        <v>213</v>
      </c>
      <c r="K228" t="s">
        <v>260</v>
      </c>
      <c r="N228" t="s">
        <v>623</v>
      </c>
      <c r="O228" t="s">
        <v>624</v>
      </c>
      <c r="P228" t="s">
        <v>213</v>
      </c>
      <c r="Q228" s="298" t="s">
        <v>625</v>
      </c>
      <c r="S228" t="s">
        <v>521</v>
      </c>
      <c r="T228" t="s">
        <v>149</v>
      </c>
      <c r="U228" t="s">
        <v>213</v>
      </c>
      <c r="X228" t="s">
        <v>260</v>
      </c>
      <c r="AA228" s="298" t="s">
        <v>623</v>
      </c>
      <c r="AB228" s="298" t="s">
        <v>624</v>
      </c>
      <c r="AC228" s="298" t="s">
        <v>213</v>
      </c>
      <c r="AD228" s="298" t="s">
        <v>625</v>
      </c>
      <c r="AE228" s="298"/>
      <c r="AF228" s="298" t="s">
        <v>521</v>
      </c>
      <c r="AG228" s="298" t="s">
        <v>149</v>
      </c>
      <c r="AH228" s="298" t="s">
        <v>213</v>
      </c>
      <c r="AI228" s="298"/>
      <c r="AJ228" s="298"/>
      <c r="AK228" t="s">
        <v>260</v>
      </c>
      <c r="AN228" s="298" t="s">
        <v>623</v>
      </c>
      <c r="AO228" s="298" t="s">
        <v>624</v>
      </c>
      <c r="AP228" s="298" t="s">
        <v>213</v>
      </c>
      <c r="AQ228" s="298" t="s">
        <v>625</v>
      </c>
      <c r="AR228" s="298"/>
      <c r="AS228" s="298" t="s">
        <v>521</v>
      </c>
      <c r="AT228" s="298" t="s">
        <v>149</v>
      </c>
      <c r="AU228" s="298" t="s">
        <v>213</v>
      </c>
      <c r="AV228" s="298"/>
      <c r="AW228" s="298"/>
    </row>
    <row r="229" spans="1:51" x14ac:dyDescent="0.25">
      <c r="A229" t="s">
        <v>626</v>
      </c>
      <c r="B229" t="s">
        <v>627</v>
      </c>
      <c r="C229" t="s">
        <v>151</v>
      </c>
      <c r="D229" t="s">
        <v>628</v>
      </c>
      <c r="F229" t="s">
        <v>529</v>
      </c>
      <c r="G229" t="s">
        <v>149</v>
      </c>
      <c r="H229" t="s">
        <v>236</v>
      </c>
      <c r="I229" t="s">
        <v>150</v>
      </c>
      <c r="K229" t="s">
        <v>241</v>
      </c>
      <c r="N229" t="s">
        <v>626</v>
      </c>
      <c r="O229" t="s">
        <v>627</v>
      </c>
      <c r="P229" t="s">
        <v>151</v>
      </c>
      <c r="Q229" t="s">
        <v>628</v>
      </c>
      <c r="S229" t="s">
        <v>529</v>
      </c>
      <c r="T229" t="s">
        <v>149</v>
      </c>
      <c r="U229" t="s">
        <v>236</v>
      </c>
      <c r="V229" t="s">
        <v>150</v>
      </c>
      <c r="X229" t="s">
        <v>241</v>
      </c>
      <c r="AA229" t="s">
        <v>626</v>
      </c>
      <c r="AB229" t="s">
        <v>627</v>
      </c>
      <c r="AC229" t="s">
        <v>151</v>
      </c>
      <c r="AD229" t="s">
        <v>628</v>
      </c>
      <c r="AF229" t="s">
        <v>529</v>
      </c>
      <c r="AG229" t="s">
        <v>149</v>
      </c>
      <c r="AH229" t="s">
        <v>236</v>
      </c>
      <c r="AI229" t="s">
        <v>150</v>
      </c>
      <c r="AK229" t="s">
        <v>241</v>
      </c>
      <c r="AN229" t="s">
        <v>626</v>
      </c>
      <c r="AO229" t="s">
        <v>627</v>
      </c>
      <c r="AP229" t="s">
        <v>151</v>
      </c>
      <c r="AQ229" t="s">
        <v>628</v>
      </c>
      <c r="AS229" t="s">
        <v>529</v>
      </c>
      <c r="AT229" t="s">
        <v>149</v>
      </c>
      <c r="AU229" t="s">
        <v>236</v>
      </c>
      <c r="AV229" t="s">
        <v>150</v>
      </c>
    </row>
    <row r="230" spans="1:51" x14ac:dyDescent="0.25">
      <c r="A230" t="s">
        <v>629</v>
      </c>
      <c r="B230" t="s">
        <v>630</v>
      </c>
      <c r="C230" t="s">
        <v>213</v>
      </c>
      <c r="D230" s="298" t="s">
        <v>631</v>
      </c>
      <c r="F230" t="s">
        <v>521</v>
      </c>
      <c r="G230" t="s">
        <v>149</v>
      </c>
      <c r="H230" t="s">
        <v>213</v>
      </c>
      <c r="K230" t="s">
        <v>260</v>
      </c>
      <c r="N230" t="s">
        <v>629</v>
      </c>
      <c r="O230" t="s">
        <v>630</v>
      </c>
      <c r="P230" t="s">
        <v>213</v>
      </c>
      <c r="Q230" s="298" t="s">
        <v>631</v>
      </c>
      <c r="S230" t="s">
        <v>521</v>
      </c>
      <c r="T230" t="s">
        <v>149</v>
      </c>
      <c r="U230" t="s">
        <v>213</v>
      </c>
      <c r="X230" t="s">
        <v>260</v>
      </c>
      <c r="AA230" s="298" t="s">
        <v>629</v>
      </c>
      <c r="AB230" s="298" t="s">
        <v>630</v>
      </c>
      <c r="AC230" s="298" t="s">
        <v>213</v>
      </c>
      <c r="AD230" s="298" t="s">
        <v>631</v>
      </c>
      <c r="AE230" s="298"/>
      <c r="AF230" s="298" t="s">
        <v>521</v>
      </c>
      <c r="AG230" s="298" t="s">
        <v>149</v>
      </c>
      <c r="AH230" s="298" t="s">
        <v>213</v>
      </c>
      <c r="AI230" s="298"/>
      <c r="AJ230" s="298"/>
      <c r="AK230" t="s">
        <v>260</v>
      </c>
      <c r="AN230" s="298" t="s">
        <v>629</v>
      </c>
      <c r="AO230" s="298" t="s">
        <v>630</v>
      </c>
      <c r="AP230" s="298" t="s">
        <v>213</v>
      </c>
      <c r="AQ230" s="298" t="s">
        <v>631</v>
      </c>
      <c r="AR230" s="298"/>
      <c r="AS230" s="298" t="s">
        <v>521</v>
      </c>
      <c r="AT230" s="298" t="s">
        <v>149</v>
      </c>
      <c r="AU230" s="298" t="s">
        <v>213</v>
      </c>
      <c r="AV230" s="298"/>
      <c r="AW230" s="298"/>
    </row>
    <row r="231" spans="1:51" x14ac:dyDescent="0.25">
      <c r="A231" t="s">
        <v>632</v>
      </c>
      <c r="B231" t="s">
        <v>633</v>
      </c>
      <c r="C231" t="s">
        <v>151</v>
      </c>
      <c r="D231" t="s">
        <v>634</v>
      </c>
      <c r="F231" t="s">
        <v>529</v>
      </c>
      <c r="G231" t="s">
        <v>149</v>
      </c>
      <c r="H231" t="s">
        <v>236</v>
      </c>
      <c r="I231" t="s">
        <v>150</v>
      </c>
      <c r="K231" t="s">
        <v>241</v>
      </c>
      <c r="N231" t="s">
        <v>632</v>
      </c>
      <c r="O231" t="s">
        <v>633</v>
      </c>
      <c r="P231" t="s">
        <v>151</v>
      </c>
      <c r="Q231" t="s">
        <v>634</v>
      </c>
      <c r="S231" t="s">
        <v>529</v>
      </c>
      <c r="T231" t="s">
        <v>149</v>
      </c>
      <c r="U231" t="s">
        <v>236</v>
      </c>
      <c r="V231" t="s">
        <v>150</v>
      </c>
      <c r="X231" t="s">
        <v>241</v>
      </c>
      <c r="AA231" t="s">
        <v>632</v>
      </c>
      <c r="AB231" t="s">
        <v>633</v>
      </c>
      <c r="AC231" t="s">
        <v>151</v>
      </c>
      <c r="AD231" t="s">
        <v>634</v>
      </c>
      <c r="AF231" t="s">
        <v>529</v>
      </c>
      <c r="AG231" t="s">
        <v>149</v>
      </c>
      <c r="AH231" t="s">
        <v>236</v>
      </c>
      <c r="AI231" t="s">
        <v>150</v>
      </c>
      <c r="AK231" t="s">
        <v>241</v>
      </c>
      <c r="AN231" t="s">
        <v>632</v>
      </c>
      <c r="AO231" t="s">
        <v>633</v>
      </c>
      <c r="AP231" t="s">
        <v>151</v>
      </c>
      <c r="AQ231" t="s">
        <v>634</v>
      </c>
      <c r="AS231" t="s">
        <v>529</v>
      </c>
      <c r="AT231" t="s">
        <v>149</v>
      </c>
      <c r="AU231" t="s">
        <v>236</v>
      </c>
      <c r="AV231" t="s">
        <v>150</v>
      </c>
    </row>
    <row r="232" spans="1:51" x14ac:dyDescent="0.25">
      <c r="A232" t="s">
        <v>635</v>
      </c>
      <c r="B232" t="s">
        <v>636</v>
      </c>
      <c r="C232" t="s">
        <v>213</v>
      </c>
      <c r="D232" s="298" t="s">
        <v>637</v>
      </c>
      <c r="F232" t="s">
        <v>521</v>
      </c>
      <c r="G232" t="s">
        <v>149</v>
      </c>
      <c r="H232" t="s">
        <v>213</v>
      </c>
      <c r="K232" t="s">
        <v>260</v>
      </c>
      <c r="N232" t="s">
        <v>635</v>
      </c>
      <c r="O232" t="s">
        <v>636</v>
      </c>
      <c r="P232" t="s">
        <v>213</v>
      </c>
      <c r="Q232" s="298" t="s">
        <v>637</v>
      </c>
      <c r="S232" t="s">
        <v>521</v>
      </c>
      <c r="T232" t="s">
        <v>149</v>
      </c>
      <c r="U232" t="s">
        <v>213</v>
      </c>
      <c r="X232" t="s">
        <v>260</v>
      </c>
      <c r="AA232" s="298" t="s">
        <v>635</v>
      </c>
      <c r="AB232" s="298" t="s">
        <v>636</v>
      </c>
      <c r="AC232" s="298" t="s">
        <v>213</v>
      </c>
      <c r="AD232" s="298" t="s">
        <v>637</v>
      </c>
      <c r="AE232" s="298"/>
      <c r="AF232" s="298" t="s">
        <v>521</v>
      </c>
      <c r="AG232" s="298" t="s">
        <v>149</v>
      </c>
      <c r="AH232" s="298" t="s">
        <v>213</v>
      </c>
      <c r="AI232" s="298"/>
      <c r="AJ232" s="298"/>
      <c r="AK232" t="s">
        <v>260</v>
      </c>
      <c r="AN232" s="298" t="s">
        <v>635</v>
      </c>
      <c r="AO232" s="298" t="s">
        <v>636</v>
      </c>
      <c r="AP232" s="298" t="s">
        <v>213</v>
      </c>
      <c r="AQ232" s="298" t="s">
        <v>637</v>
      </c>
      <c r="AR232" s="298"/>
      <c r="AS232" s="298" t="s">
        <v>521</v>
      </c>
      <c r="AT232" s="298" t="s">
        <v>149</v>
      </c>
      <c r="AU232" s="298" t="s">
        <v>213</v>
      </c>
      <c r="AV232" s="298"/>
      <c r="AW232" s="298"/>
    </row>
    <row r="233" spans="1:51" x14ac:dyDescent="0.25">
      <c r="A233" t="s">
        <v>638</v>
      </c>
      <c r="B233" t="s">
        <v>639</v>
      </c>
      <c r="C233" t="s">
        <v>151</v>
      </c>
      <c r="D233" t="s">
        <v>640</v>
      </c>
      <c r="F233" t="s">
        <v>529</v>
      </c>
      <c r="G233" t="s">
        <v>149</v>
      </c>
      <c r="H233" t="s">
        <v>236</v>
      </c>
      <c r="I233" t="s">
        <v>150</v>
      </c>
      <c r="K233" t="s">
        <v>241</v>
      </c>
      <c r="N233" t="s">
        <v>638</v>
      </c>
      <c r="O233" t="s">
        <v>639</v>
      </c>
      <c r="P233" t="s">
        <v>151</v>
      </c>
      <c r="Q233" t="s">
        <v>640</v>
      </c>
      <c r="S233" t="s">
        <v>529</v>
      </c>
      <c r="T233" t="s">
        <v>149</v>
      </c>
      <c r="U233" t="s">
        <v>236</v>
      </c>
      <c r="V233" t="s">
        <v>150</v>
      </c>
      <c r="X233" t="s">
        <v>241</v>
      </c>
      <c r="AA233" t="s">
        <v>638</v>
      </c>
      <c r="AB233" t="s">
        <v>639</v>
      </c>
      <c r="AC233" t="s">
        <v>151</v>
      </c>
      <c r="AD233" t="s">
        <v>640</v>
      </c>
      <c r="AF233" t="s">
        <v>529</v>
      </c>
      <c r="AG233" t="s">
        <v>149</v>
      </c>
      <c r="AH233" t="s">
        <v>236</v>
      </c>
      <c r="AI233" t="s">
        <v>150</v>
      </c>
      <c r="AK233" t="s">
        <v>241</v>
      </c>
      <c r="AN233" t="s">
        <v>638</v>
      </c>
      <c r="AO233" t="s">
        <v>639</v>
      </c>
      <c r="AP233" t="s">
        <v>151</v>
      </c>
      <c r="AQ233" t="s">
        <v>640</v>
      </c>
      <c r="AS233" t="s">
        <v>529</v>
      </c>
      <c r="AT233" t="s">
        <v>149</v>
      </c>
      <c r="AU233" t="s">
        <v>236</v>
      </c>
      <c r="AV233" t="s">
        <v>150</v>
      </c>
    </row>
    <row r="234" spans="1:51" x14ac:dyDescent="0.25">
      <c r="A234" t="s">
        <v>641</v>
      </c>
      <c r="B234" s="300" t="s">
        <v>642</v>
      </c>
      <c r="C234" t="s">
        <v>213</v>
      </c>
      <c r="D234" s="298" t="s">
        <v>625</v>
      </c>
      <c r="F234" t="s">
        <v>521</v>
      </c>
      <c r="G234" t="s">
        <v>149</v>
      </c>
      <c r="H234" t="s">
        <v>213</v>
      </c>
      <c r="K234" s="316" t="s">
        <v>255</v>
      </c>
      <c r="N234" t="s">
        <v>641</v>
      </c>
      <c r="O234" s="300" t="s">
        <v>642</v>
      </c>
      <c r="P234" t="s">
        <v>213</v>
      </c>
      <c r="Q234" s="298" t="s">
        <v>625</v>
      </c>
      <c r="S234" t="s">
        <v>521</v>
      </c>
      <c r="T234" t="s">
        <v>149</v>
      </c>
      <c r="U234" t="s">
        <v>213</v>
      </c>
      <c r="X234" t="s">
        <v>255</v>
      </c>
      <c r="AA234" s="298" t="s">
        <v>641</v>
      </c>
      <c r="AB234" s="298" t="s">
        <v>642</v>
      </c>
      <c r="AC234" s="298" t="s">
        <v>213</v>
      </c>
      <c r="AD234" s="298" t="s">
        <v>625</v>
      </c>
      <c r="AE234" s="298"/>
      <c r="AF234" s="298" t="s">
        <v>521</v>
      </c>
      <c r="AG234" s="298" t="s">
        <v>149</v>
      </c>
      <c r="AH234" s="298" t="s">
        <v>213</v>
      </c>
      <c r="AI234" s="298"/>
      <c r="AJ234" s="298"/>
      <c r="AK234" t="s">
        <v>255</v>
      </c>
      <c r="AN234" s="298" t="s">
        <v>641</v>
      </c>
      <c r="AO234" s="298" t="s">
        <v>642</v>
      </c>
      <c r="AP234" s="298" t="s">
        <v>213</v>
      </c>
      <c r="AQ234" s="298" t="s">
        <v>625</v>
      </c>
      <c r="AR234" s="298"/>
      <c r="AS234" s="298" t="s">
        <v>521</v>
      </c>
      <c r="AT234" s="298" t="s">
        <v>149</v>
      </c>
      <c r="AU234" s="298" t="s">
        <v>213</v>
      </c>
      <c r="AV234" s="298"/>
      <c r="AW234" s="298"/>
    </row>
    <row r="235" spans="1:51" x14ac:dyDescent="0.25">
      <c r="A235" t="s">
        <v>643</v>
      </c>
      <c r="B235" s="300" t="s">
        <v>644</v>
      </c>
      <c r="C235" t="s">
        <v>151</v>
      </c>
      <c r="D235" t="s">
        <v>628</v>
      </c>
      <c r="F235" t="s">
        <v>529</v>
      </c>
      <c r="G235" t="s">
        <v>149</v>
      </c>
      <c r="H235" t="s">
        <v>236</v>
      </c>
      <c r="I235" t="s">
        <v>150</v>
      </c>
      <c r="K235" t="s">
        <v>241</v>
      </c>
      <c r="N235" t="s">
        <v>643</v>
      </c>
      <c r="O235" s="300" t="s">
        <v>644</v>
      </c>
      <c r="P235" t="s">
        <v>151</v>
      </c>
      <c r="Q235" t="s">
        <v>628</v>
      </c>
      <c r="S235" t="s">
        <v>529</v>
      </c>
      <c r="T235" t="s">
        <v>149</v>
      </c>
      <c r="U235" t="s">
        <v>236</v>
      </c>
      <c r="V235" t="s">
        <v>150</v>
      </c>
      <c r="X235" t="s">
        <v>241</v>
      </c>
      <c r="AA235" t="s">
        <v>643</v>
      </c>
      <c r="AB235" t="s">
        <v>644</v>
      </c>
      <c r="AC235" t="s">
        <v>151</v>
      </c>
      <c r="AD235" t="s">
        <v>628</v>
      </c>
      <c r="AF235" t="s">
        <v>529</v>
      </c>
      <c r="AG235" t="s">
        <v>149</v>
      </c>
      <c r="AH235" t="s">
        <v>236</v>
      </c>
      <c r="AI235" t="s">
        <v>150</v>
      </c>
      <c r="AK235" t="s">
        <v>241</v>
      </c>
      <c r="AN235" t="s">
        <v>643</v>
      </c>
      <c r="AO235" t="s">
        <v>644</v>
      </c>
      <c r="AP235" t="s">
        <v>151</v>
      </c>
      <c r="AQ235" t="s">
        <v>628</v>
      </c>
      <c r="AS235" t="s">
        <v>529</v>
      </c>
      <c r="AT235" t="s">
        <v>149</v>
      </c>
      <c r="AU235" t="s">
        <v>236</v>
      </c>
      <c r="AV235" t="s">
        <v>150</v>
      </c>
    </row>
    <row r="236" spans="1:51" x14ac:dyDescent="0.25">
      <c r="A236" s="300" t="s">
        <v>645</v>
      </c>
      <c r="B236" s="300" t="s">
        <v>646</v>
      </c>
      <c r="C236" t="s">
        <v>213</v>
      </c>
      <c r="D236" s="298" t="s">
        <v>631</v>
      </c>
      <c r="F236" t="s">
        <v>521</v>
      </c>
      <c r="G236" t="s">
        <v>149</v>
      </c>
      <c r="H236" t="s">
        <v>213</v>
      </c>
      <c r="K236" s="316" t="s">
        <v>255</v>
      </c>
      <c r="N236" s="300" t="s">
        <v>645</v>
      </c>
      <c r="O236" s="300" t="s">
        <v>646</v>
      </c>
      <c r="P236" t="s">
        <v>213</v>
      </c>
      <c r="Q236" s="298" t="s">
        <v>631</v>
      </c>
      <c r="S236" t="s">
        <v>521</v>
      </c>
      <c r="T236" t="s">
        <v>149</v>
      </c>
      <c r="U236" t="s">
        <v>213</v>
      </c>
      <c r="X236" s="316" t="s">
        <v>255</v>
      </c>
      <c r="AA236" s="298" t="s">
        <v>645</v>
      </c>
      <c r="AB236" s="298" t="s">
        <v>646</v>
      </c>
      <c r="AC236" s="298" t="s">
        <v>213</v>
      </c>
      <c r="AD236" s="298" t="s">
        <v>631</v>
      </c>
      <c r="AE236" s="298"/>
      <c r="AF236" s="298" t="s">
        <v>521</v>
      </c>
      <c r="AG236" s="298" t="s">
        <v>149</v>
      </c>
      <c r="AH236" s="298" t="s">
        <v>213</v>
      </c>
      <c r="AI236" s="298"/>
      <c r="AJ236" s="298"/>
      <c r="AK236" t="s">
        <v>255</v>
      </c>
      <c r="AN236" s="298" t="s">
        <v>645</v>
      </c>
      <c r="AO236" s="298" t="s">
        <v>646</v>
      </c>
      <c r="AP236" s="298" t="s">
        <v>213</v>
      </c>
      <c r="AQ236" s="298" t="s">
        <v>631</v>
      </c>
      <c r="AR236" s="298"/>
      <c r="AS236" s="298" t="s">
        <v>521</v>
      </c>
      <c r="AT236" s="298" t="s">
        <v>149</v>
      </c>
      <c r="AU236" s="298" t="s">
        <v>213</v>
      </c>
      <c r="AV236" s="298"/>
      <c r="AW236" s="298"/>
    </row>
    <row r="237" spans="1:51" x14ac:dyDescent="0.25">
      <c r="A237" s="306" t="s">
        <v>647</v>
      </c>
      <c r="B237" s="300"/>
      <c r="D237" t="s">
        <v>648</v>
      </c>
      <c r="F237" t="s">
        <v>521</v>
      </c>
      <c r="G237" t="s">
        <v>149</v>
      </c>
      <c r="H237" t="s">
        <v>213</v>
      </c>
      <c r="K237" t="s">
        <v>194</v>
      </c>
      <c r="N237" s="300" t="s">
        <v>649</v>
      </c>
      <c r="O237" s="300" t="s">
        <v>650</v>
      </c>
      <c r="P237" t="s">
        <v>213</v>
      </c>
      <c r="Q237" t="s">
        <v>648</v>
      </c>
      <c r="S237" t="s">
        <v>521</v>
      </c>
      <c r="T237" t="s">
        <v>149</v>
      </c>
      <c r="U237" t="s">
        <v>213</v>
      </c>
      <c r="X237" s="316" t="s">
        <v>255</v>
      </c>
      <c r="AA237" t="s">
        <v>649</v>
      </c>
      <c r="AB237" t="s">
        <v>650</v>
      </c>
      <c r="AC237" t="s">
        <v>213</v>
      </c>
      <c r="AD237" t="s">
        <v>648</v>
      </c>
      <c r="AF237" t="s">
        <v>521</v>
      </c>
      <c r="AG237" t="s">
        <v>149</v>
      </c>
      <c r="AH237" t="s">
        <v>213</v>
      </c>
      <c r="AK237" t="s">
        <v>255</v>
      </c>
      <c r="AN237" t="s">
        <v>649</v>
      </c>
      <c r="AO237" t="s">
        <v>650</v>
      </c>
      <c r="AP237" t="s">
        <v>213</v>
      </c>
      <c r="AQ237" t="s">
        <v>648</v>
      </c>
      <c r="AS237" t="s">
        <v>521</v>
      </c>
      <c r="AT237" t="s">
        <v>149</v>
      </c>
      <c r="AU237" t="s">
        <v>213</v>
      </c>
    </row>
    <row r="238" spans="1:51" x14ac:dyDescent="0.25">
      <c r="A238" s="300" t="s">
        <v>651</v>
      </c>
      <c r="B238" s="300" t="s">
        <v>652</v>
      </c>
      <c r="C238" t="s">
        <v>213</v>
      </c>
      <c r="D238" s="298" t="s">
        <v>637</v>
      </c>
      <c r="F238" t="s">
        <v>521</v>
      </c>
      <c r="G238" t="s">
        <v>149</v>
      </c>
      <c r="H238" t="s">
        <v>213</v>
      </c>
      <c r="J238" t="s">
        <v>220</v>
      </c>
      <c r="K238" s="316" t="s">
        <v>255</v>
      </c>
      <c r="N238" s="300" t="s">
        <v>651</v>
      </c>
      <c r="O238" s="300" t="s">
        <v>652</v>
      </c>
      <c r="P238" t="s">
        <v>213</v>
      </c>
      <c r="Q238" s="298" t="s">
        <v>637</v>
      </c>
      <c r="S238" t="s">
        <v>521</v>
      </c>
      <c r="T238" t="s">
        <v>149</v>
      </c>
      <c r="U238" t="s">
        <v>213</v>
      </c>
      <c r="W238" t="s">
        <v>220</v>
      </c>
      <c r="X238" s="316" t="s">
        <v>255</v>
      </c>
      <c r="AA238" s="298" t="s">
        <v>651</v>
      </c>
      <c r="AB238" s="298" t="s">
        <v>652</v>
      </c>
      <c r="AC238" s="298" t="s">
        <v>213</v>
      </c>
      <c r="AD238" s="298" t="s">
        <v>637</v>
      </c>
      <c r="AE238" s="298"/>
      <c r="AF238" s="298" t="s">
        <v>521</v>
      </c>
      <c r="AG238" s="298" t="s">
        <v>149</v>
      </c>
      <c r="AH238" s="298" t="s">
        <v>213</v>
      </c>
      <c r="AI238" s="298"/>
      <c r="AJ238" s="298" t="s">
        <v>220</v>
      </c>
      <c r="AK238" t="s">
        <v>255</v>
      </c>
      <c r="AN238" s="298" t="s">
        <v>651</v>
      </c>
      <c r="AO238" s="298" t="s">
        <v>652</v>
      </c>
      <c r="AP238" s="298" t="s">
        <v>213</v>
      </c>
      <c r="AQ238" s="298" t="s">
        <v>637</v>
      </c>
      <c r="AR238" s="298"/>
      <c r="AS238" s="298" t="s">
        <v>521</v>
      </c>
      <c r="AT238" s="298" t="s">
        <v>149</v>
      </c>
      <c r="AU238" s="298" t="s">
        <v>213</v>
      </c>
      <c r="AV238" s="298"/>
      <c r="AW238" s="298" t="s">
        <v>220</v>
      </c>
    </row>
    <row r="239" spans="1:51" x14ac:dyDescent="0.25">
      <c r="A239" s="306" t="s">
        <v>653</v>
      </c>
      <c r="B239" s="300"/>
      <c r="D239" t="s">
        <v>654</v>
      </c>
      <c r="F239" t="s">
        <v>521</v>
      </c>
      <c r="G239" t="s">
        <v>149</v>
      </c>
      <c r="H239" t="s">
        <v>213</v>
      </c>
      <c r="K239" t="s">
        <v>194</v>
      </c>
      <c r="N239" s="300" t="s">
        <v>655</v>
      </c>
      <c r="O239" s="300" t="s">
        <v>656</v>
      </c>
      <c r="P239" t="s">
        <v>213</v>
      </c>
      <c r="Q239" t="s">
        <v>654</v>
      </c>
      <c r="S239" t="s">
        <v>521</v>
      </c>
      <c r="T239" t="s">
        <v>149</v>
      </c>
      <c r="U239" t="s">
        <v>213</v>
      </c>
      <c r="X239" s="316" t="s">
        <v>255</v>
      </c>
      <c r="Y239" t="s">
        <v>249</v>
      </c>
      <c r="AA239" t="s">
        <v>655</v>
      </c>
      <c r="AB239" t="s">
        <v>656</v>
      </c>
      <c r="AC239" t="s">
        <v>213</v>
      </c>
      <c r="AD239" t="s">
        <v>654</v>
      </c>
      <c r="AF239" t="s">
        <v>521</v>
      </c>
      <c r="AG239" t="s">
        <v>149</v>
      </c>
      <c r="AH239" t="s">
        <v>213</v>
      </c>
      <c r="AK239" t="s">
        <v>255</v>
      </c>
      <c r="AL239" t="s">
        <v>249</v>
      </c>
      <c r="AN239" t="s">
        <v>655</v>
      </c>
      <c r="AO239" t="s">
        <v>656</v>
      </c>
      <c r="AP239" t="s">
        <v>213</v>
      </c>
      <c r="AQ239" t="s">
        <v>654</v>
      </c>
      <c r="AS239" t="s">
        <v>521</v>
      </c>
      <c r="AT239" t="s">
        <v>149</v>
      </c>
      <c r="AU239" t="s">
        <v>213</v>
      </c>
    </row>
    <row r="240" spans="1:51" x14ac:dyDescent="0.25">
      <c r="A240" s="300" t="s">
        <v>657</v>
      </c>
      <c r="B240" s="300" t="s">
        <v>658</v>
      </c>
      <c r="C240" t="s">
        <v>151</v>
      </c>
      <c r="D240" s="298" t="s">
        <v>659</v>
      </c>
      <c r="F240" t="s">
        <v>529</v>
      </c>
      <c r="G240" t="s">
        <v>149</v>
      </c>
      <c r="H240" t="s">
        <v>236</v>
      </c>
      <c r="I240" t="s">
        <v>150</v>
      </c>
      <c r="J240" t="s">
        <v>147</v>
      </c>
      <c r="K240" s="316" t="s">
        <v>241</v>
      </c>
      <c r="N240" s="300" t="s">
        <v>657</v>
      </c>
      <c r="O240" s="300" t="s">
        <v>658</v>
      </c>
      <c r="P240" t="s">
        <v>151</v>
      </c>
      <c r="Q240" s="298" t="s">
        <v>659</v>
      </c>
      <c r="S240" t="s">
        <v>529</v>
      </c>
      <c r="T240" t="s">
        <v>149</v>
      </c>
      <c r="U240" t="s">
        <v>236</v>
      </c>
      <c r="V240" t="s">
        <v>150</v>
      </c>
      <c r="W240" t="s">
        <v>147</v>
      </c>
      <c r="X240" t="s">
        <v>241</v>
      </c>
      <c r="AA240" s="298" t="s">
        <v>657</v>
      </c>
      <c r="AB240" s="298" t="s">
        <v>658</v>
      </c>
      <c r="AC240" s="298" t="s">
        <v>151</v>
      </c>
      <c r="AD240" s="298" t="s">
        <v>659</v>
      </c>
      <c r="AE240" s="298"/>
      <c r="AF240" s="298" t="s">
        <v>529</v>
      </c>
      <c r="AG240" s="298" t="s">
        <v>149</v>
      </c>
      <c r="AH240" s="298" t="s">
        <v>236</v>
      </c>
      <c r="AI240" s="298" t="s">
        <v>150</v>
      </c>
      <c r="AJ240" s="298" t="s">
        <v>147</v>
      </c>
      <c r="AK240" t="s">
        <v>241</v>
      </c>
      <c r="AN240" s="298" t="s">
        <v>657</v>
      </c>
      <c r="AO240" s="298" t="s">
        <v>658</v>
      </c>
      <c r="AP240" s="298" t="s">
        <v>151</v>
      </c>
      <c r="AQ240" s="298" t="s">
        <v>659</v>
      </c>
      <c r="AR240" s="298"/>
      <c r="AS240" s="298" t="s">
        <v>529</v>
      </c>
      <c r="AT240" s="298" t="s">
        <v>149</v>
      </c>
      <c r="AU240" s="298" t="s">
        <v>236</v>
      </c>
      <c r="AV240" s="298" t="s">
        <v>150</v>
      </c>
      <c r="AW240" s="298" t="s">
        <v>147</v>
      </c>
    </row>
    <row r="241" spans="1:51" x14ac:dyDescent="0.25">
      <c r="A241" s="300" t="s">
        <v>660</v>
      </c>
      <c r="B241" s="300" t="s">
        <v>661</v>
      </c>
      <c r="C241" t="s">
        <v>213</v>
      </c>
      <c r="D241" t="s">
        <v>662</v>
      </c>
      <c r="F241" t="s">
        <v>521</v>
      </c>
      <c r="G241" t="s">
        <v>149</v>
      </c>
      <c r="H241" t="s">
        <v>213</v>
      </c>
      <c r="K241" s="316" t="s">
        <v>255</v>
      </c>
      <c r="L241" t="s">
        <v>249</v>
      </c>
      <c r="N241" s="300" t="s">
        <v>660</v>
      </c>
      <c r="O241" s="300" t="s">
        <v>661</v>
      </c>
      <c r="P241" t="s">
        <v>213</v>
      </c>
      <c r="Q241" t="s">
        <v>662</v>
      </c>
      <c r="S241" t="s">
        <v>521</v>
      </c>
      <c r="T241" t="s">
        <v>149</v>
      </c>
      <c r="U241" t="s">
        <v>213</v>
      </c>
      <c r="X241" t="s">
        <v>255</v>
      </c>
      <c r="Y241" t="s">
        <v>249</v>
      </c>
      <c r="AA241" t="s">
        <v>660</v>
      </c>
      <c r="AB241" t="s">
        <v>661</v>
      </c>
      <c r="AC241" t="s">
        <v>213</v>
      </c>
      <c r="AD241" t="s">
        <v>662</v>
      </c>
      <c r="AF241" t="s">
        <v>521</v>
      </c>
      <c r="AG241" t="s">
        <v>149</v>
      </c>
      <c r="AH241" t="s">
        <v>213</v>
      </c>
      <c r="AK241" t="s">
        <v>255</v>
      </c>
      <c r="AL241" t="s">
        <v>249</v>
      </c>
      <c r="AN241" t="s">
        <v>660</v>
      </c>
      <c r="AO241" t="s">
        <v>661</v>
      </c>
      <c r="AP241" t="s">
        <v>213</v>
      </c>
      <c r="AQ241" t="s">
        <v>662</v>
      </c>
      <c r="AS241" t="s">
        <v>521</v>
      </c>
      <c r="AT241" t="s">
        <v>149</v>
      </c>
      <c r="AU241" t="s">
        <v>213</v>
      </c>
    </row>
    <row r="242" spans="1:51" x14ac:dyDescent="0.25">
      <c r="A242" s="300" t="s">
        <v>663</v>
      </c>
      <c r="B242" s="300" t="s">
        <v>664</v>
      </c>
      <c r="C242" t="s">
        <v>213</v>
      </c>
      <c r="D242" s="298" t="s">
        <v>631</v>
      </c>
      <c r="F242" t="s">
        <v>521</v>
      </c>
      <c r="G242" t="s">
        <v>149</v>
      </c>
      <c r="H242" t="s">
        <v>213</v>
      </c>
      <c r="K242" t="s">
        <v>255</v>
      </c>
      <c r="L242" s="316"/>
      <c r="N242" s="300" t="s">
        <v>663</v>
      </c>
      <c r="O242" s="300" t="s">
        <v>664</v>
      </c>
      <c r="P242" t="s">
        <v>213</v>
      </c>
      <c r="Q242" s="298" t="s">
        <v>631</v>
      </c>
      <c r="S242" t="s">
        <v>521</v>
      </c>
      <c r="T242" t="s">
        <v>149</v>
      </c>
      <c r="U242" t="s">
        <v>213</v>
      </c>
      <c r="X242" s="316"/>
      <c r="Y242" s="316"/>
      <c r="AA242" s="298" t="s">
        <v>663</v>
      </c>
      <c r="AB242" s="298" t="s">
        <v>664</v>
      </c>
      <c r="AC242" s="298" t="s">
        <v>213</v>
      </c>
      <c r="AD242" s="298" t="s">
        <v>631</v>
      </c>
      <c r="AE242" s="298"/>
      <c r="AF242" s="298" t="s">
        <v>521</v>
      </c>
      <c r="AG242" s="298" t="s">
        <v>149</v>
      </c>
      <c r="AH242" s="298" t="s">
        <v>213</v>
      </c>
      <c r="AI242" s="298"/>
      <c r="AJ242" s="298"/>
      <c r="AN242" s="298" t="s">
        <v>663</v>
      </c>
      <c r="AO242" s="298" t="s">
        <v>664</v>
      </c>
      <c r="AP242" s="298" t="s">
        <v>213</v>
      </c>
      <c r="AQ242" s="298" t="s">
        <v>631</v>
      </c>
      <c r="AR242" s="298"/>
      <c r="AS242" s="298" t="s">
        <v>521</v>
      </c>
      <c r="AT242" s="298" t="s">
        <v>149</v>
      </c>
      <c r="AU242" s="298" t="s">
        <v>213</v>
      </c>
      <c r="AV242" s="298"/>
      <c r="AW242" s="298"/>
    </row>
    <row r="243" spans="1:51" x14ac:dyDescent="0.25">
      <c r="A243" t="s">
        <v>665</v>
      </c>
      <c r="B243" t="s">
        <v>666</v>
      </c>
      <c r="C243" t="s">
        <v>151</v>
      </c>
      <c r="D243" t="s">
        <v>634</v>
      </c>
      <c r="F243" t="s">
        <v>529</v>
      </c>
      <c r="G243" t="s">
        <v>149</v>
      </c>
      <c r="H243" t="s">
        <v>236</v>
      </c>
      <c r="I243" t="s">
        <v>150</v>
      </c>
      <c r="J243" t="s">
        <v>171</v>
      </c>
      <c r="K243" t="s">
        <v>241</v>
      </c>
      <c r="N243" t="s">
        <v>665</v>
      </c>
      <c r="O243" t="s">
        <v>666</v>
      </c>
      <c r="P243" t="s">
        <v>151</v>
      </c>
      <c r="Q243" t="s">
        <v>634</v>
      </c>
      <c r="S243" t="s">
        <v>529</v>
      </c>
      <c r="T243" t="s">
        <v>149</v>
      </c>
      <c r="U243" t="s">
        <v>236</v>
      </c>
      <c r="V243" t="s">
        <v>150</v>
      </c>
      <c r="W243" t="s">
        <v>171</v>
      </c>
      <c r="X243" t="s">
        <v>241</v>
      </c>
      <c r="AA243" t="s">
        <v>665</v>
      </c>
      <c r="AB243" t="s">
        <v>666</v>
      </c>
      <c r="AC243" t="s">
        <v>151</v>
      </c>
      <c r="AD243" t="s">
        <v>634</v>
      </c>
      <c r="AF243" t="s">
        <v>529</v>
      </c>
      <c r="AG243" t="s">
        <v>149</v>
      </c>
      <c r="AH243" t="s">
        <v>236</v>
      </c>
      <c r="AI243" t="s">
        <v>150</v>
      </c>
      <c r="AJ243" t="s">
        <v>171</v>
      </c>
      <c r="AK243" t="s">
        <v>241</v>
      </c>
      <c r="AN243" t="s">
        <v>665</v>
      </c>
      <c r="AO243" t="s">
        <v>666</v>
      </c>
      <c r="AP243" t="s">
        <v>151</v>
      </c>
      <c r="AQ243" t="s">
        <v>634</v>
      </c>
      <c r="AS243" t="s">
        <v>529</v>
      </c>
      <c r="AT243" t="s">
        <v>149</v>
      </c>
      <c r="AU243" t="s">
        <v>236</v>
      </c>
      <c r="AV243" t="s">
        <v>150</v>
      </c>
      <c r="AW243" t="s">
        <v>171</v>
      </c>
    </row>
    <row r="244" spans="1:51" x14ac:dyDescent="0.25">
      <c r="A244" t="s">
        <v>667</v>
      </c>
      <c r="B244" t="s">
        <v>668</v>
      </c>
      <c r="C244" t="s">
        <v>151</v>
      </c>
      <c r="D244" s="298" t="s">
        <v>669</v>
      </c>
      <c r="F244" t="s">
        <v>529</v>
      </c>
      <c r="G244" t="s">
        <v>149</v>
      </c>
      <c r="H244" t="s">
        <v>236</v>
      </c>
      <c r="I244" t="s">
        <v>150</v>
      </c>
      <c r="J244" t="s">
        <v>171</v>
      </c>
      <c r="K244" t="s">
        <v>241</v>
      </c>
      <c r="N244" t="s">
        <v>667</v>
      </c>
      <c r="O244" t="s">
        <v>668</v>
      </c>
      <c r="P244" t="s">
        <v>151</v>
      </c>
      <c r="Q244" s="298" t="s">
        <v>669</v>
      </c>
      <c r="S244" t="s">
        <v>529</v>
      </c>
      <c r="T244" t="s">
        <v>149</v>
      </c>
      <c r="U244" t="s">
        <v>236</v>
      </c>
      <c r="V244" t="s">
        <v>150</v>
      </c>
      <c r="W244" t="s">
        <v>171</v>
      </c>
      <c r="X244" t="s">
        <v>241</v>
      </c>
      <c r="AA244" s="298" t="s">
        <v>667</v>
      </c>
      <c r="AB244" s="298" t="s">
        <v>668</v>
      </c>
      <c r="AC244" s="298" t="s">
        <v>151</v>
      </c>
      <c r="AD244" s="298" t="s">
        <v>669</v>
      </c>
      <c r="AE244" s="298"/>
      <c r="AF244" s="298" t="s">
        <v>529</v>
      </c>
      <c r="AG244" s="298" t="s">
        <v>149</v>
      </c>
      <c r="AH244" s="298" t="s">
        <v>236</v>
      </c>
      <c r="AI244" s="298" t="s">
        <v>150</v>
      </c>
      <c r="AJ244" s="298" t="s">
        <v>171</v>
      </c>
      <c r="AK244" t="s">
        <v>241</v>
      </c>
      <c r="AN244" s="298" t="s">
        <v>667</v>
      </c>
      <c r="AO244" s="298" t="s">
        <v>668</v>
      </c>
      <c r="AP244" s="298" t="s">
        <v>151</v>
      </c>
      <c r="AQ244" s="298" t="s">
        <v>669</v>
      </c>
      <c r="AR244" s="298"/>
      <c r="AS244" s="298" t="s">
        <v>529</v>
      </c>
      <c r="AT244" s="298" t="s">
        <v>149</v>
      </c>
      <c r="AU244" s="298" t="s">
        <v>236</v>
      </c>
      <c r="AV244" s="298" t="s">
        <v>150</v>
      </c>
      <c r="AW244" s="298" t="s">
        <v>171</v>
      </c>
    </row>
    <row r="245" spans="1:51" x14ac:dyDescent="0.25">
      <c r="D245" t="s">
        <v>640</v>
      </c>
      <c r="Q245" t="s">
        <v>640</v>
      </c>
      <c r="AA245" t="s">
        <v>670</v>
      </c>
      <c r="AD245" t="s">
        <v>640</v>
      </c>
      <c r="AQ245" t="s">
        <v>640</v>
      </c>
    </row>
    <row r="249" spans="1:51" x14ac:dyDescent="0.25">
      <c r="A249" t="s">
        <v>671</v>
      </c>
      <c r="N249" t="s">
        <v>671</v>
      </c>
      <c r="AA249" t="s">
        <v>671</v>
      </c>
      <c r="AN249" t="s">
        <v>671</v>
      </c>
    </row>
    <row r="250" spans="1:51" x14ac:dyDescent="0.25">
      <c r="A250" t="s">
        <v>507</v>
      </c>
      <c r="B250" t="s">
        <v>508</v>
      </c>
      <c r="C250" t="s">
        <v>509</v>
      </c>
      <c r="D250" t="s">
        <v>510</v>
      </c>
      <c r="E250" t="s">
        <v>511</v>
      </c>
      <c r="F250" t="s">
        <v>353</v>
      </c>
      <c r="G250" t="s">
        <v>512</v>
      </c>
      <c r="H250" t="s">
        <v>513</v>
      </c>
      <c r="I250" t="s">
        <v>514</v>
      </c>
      <c r="J250" t="s">
        <v>515</v>
      </c>
      <c r="K250" t="s">
        <v>516</v>
      </c>
      <c r="L250" s="299" t="s">
        <v>517</v>
      </c>
      <c r="N250" t="s">
        <v>507</v>
      </c>
      <c r="O250" t="s">
        <v>508</v>
      </c>
      <c r="P250" t="s">
        <v>509</v>
      </c>
      <c r="Q250" t="s">
        <v>510</v>
      </c>
      <c r="R250" t="s">
        <v>511</v>
      </c>
      <c r="S250" t="s">
        <v>353</v>
      </c>
      <c r="T250" t="s">
        <v>512</v>
      </c>
      <c r="U250" t="s">
        <v>513</v>
      </c>
      <c r="V250" t="s">
        <v>514</v>
      </c>
      <c r="W250" t="s">
        <v>515</v>
      </c>
      <c r="X250" s="299" t="s">
        <v>516</v>
      </c>
      <c r="Y250" s="299" t="s">
        <v>517</v>
      </c>
      <c r="AA250" s="299" t="s">
        <v>507</v>
      </c>
      <c r="AB250" s="299" t="s">
        <v>508</v>
      </c>
      <c r="AC250" s="299" t="s">
        <v>509</v>
      </c>
      <c r="AD250" s="299" t="s">
        <v>510</v>
      </c>
      <c r="AE250" s="299" t="s">
        <v>511</v>
      </c>
      <c r="AF250" s="299" t="s">
        <v>353</v>
      </c>
      <c r="AG250" s="299" t="s">
        <v>512</v>
      </c>
      <c r="AH250" s="299" t="s">
        <v>513</v>
      </c>
      <c r="AI250" s="299" t="s">
        <v>514</v>
      </c>
      <c r="AJ250" s="299" t="s">
        <v>515</v>
      </c>
      <c r="AK250" s="299" t="s">
        <v>516</v>
      </c>
      <c r="AL250" s="299" t="s">
        <v>517</v>
      </c>
      <c r="AN250" s="299" t="s">
        <v>507</v>
      </c>
      <c r="AO250" s="299" t="s">
        <v>508</v>
      </c>
      <c r="AP250" s="299" t="s">
        <v>509</v>
      </c>
      <c r="AQ250" s="299" t="s">
        <v>510</v>
      </c>
      <c r="AR250" s="299" t="s">
        <v>511</v>
      </c>
      <c r="AS250" s="299" t="s">
        <v>353</v>
      </c>
      <c r="AT250" s="299" t="s">
        <v>512</v>
      </c>
      <c r="AU250" s="299" t="s">
        <v>513</v>
      </c>
      <c r="AV250" s="299" t="s">
        <v>514</v>
      </c>
      <c r="AW250" s="299" t="s">
        <v>515</v>
      </c>
      <c r="AX250" s="299" t="s">
        <v>516</v>
      </c>
      <c r="AY250" s="299" t="s">
        <v>517</v>
      </c>
    </row>
    <row r="251" spans="1:51" x14ac:dyDescent="0.25">
      <c r="A251" s="298" t="s">
        <v>672</v>
      </c>
      <c r="B251" s="298" t="s">
        <v>673</v>
      </c>
      <c r="C251" s="298" t="s">
        <v>213</v>
      </c>
      <c r="D251" s="298" t="s">
        <v>674</v>
      </c>
      <c r="E251" s="298"/>
      <c r="F251" s="298" t="s">
        <v>521</v>
      </c>
      <c r="G251" t="s">
        <v>149</v>
      </c>
      <c r="H251" s="298" t="s">
        <v>213</v>
      </c>
      <c r="I251" s="298"/>
      <c r="K251" t="s">
        <v>265</v>
      </c>
      <c r="N251" s="298" t="s">
        <v>672</v>
      </c>
      <c r="O251" s="298" t="s">
        <v>673</v>
      </c>
      <c r="P251" s="298" t="s">
        <v>213</v>
      </c>
      <c r="Q251" s="298" t="s">
        <v>674</v>
      </c>
      <c r="R251" s="298"/>
      <c r="S251" s="298" t="s">
        <v>521</v>
      </c>
      <c r="T251" t="s">
        <v>149</v>
      </c>
      <c r="U251" s="298" t="s">
        <v>213</v>
      </c>
      <c r="V251" s="298"/>
      <c r="X251" t="s">
        <v>265</v>
      </c>
      <c r="AA251" t="s">
        <v>675</v>
      </c>
      <c r="AB251" t="s">
        <v>676</v>
      </c>
      <c r="AC251" t="s">
        <v>174</v>
      </c>
      <c r="AD251" t="s">
        <v>659</v>
      </c>
      <c r="AF251" t="s">
        <v>529</v>
      </c>
      <c r="AG251" t="s">
        <v>149</v>
      </c>
      <c r="AH251" t="s">
        <v>236</v>
      </c>
      <c r="AI251" s="298" t="s">
        <v>150</v>
      </c>
      <c r="AN251" t="s">
        <v>675</v>
      </c>
      <c r="AO251" t="s">
        <v>676</v>
      </c>
      <c r="AP251" t="s">
        <v>174</v>
      </c>
      <c r="AQ251" t="s">
        <v>640</v>
      </c>
      <c r="AS251" t="s">
        <v>529</v>
      </c>
      <c r="AT251" t="s">
        <v>149</v>
      </c>
      <c r="AU251" t="s">
        <v>236</v>
      </c>
      <c r="AV251" s="298" t="s">
        <v>150</v>
      </c>
      <c r="AX251" s="298"/>
      <c r="AY251" s="298"/>
    </row>
    <row r="252" spans="1:51" x14ac:dyDescent="0.25">
      <c r="AA252" t="s">
        <v>677</v>
      </c>
      <c r="AB252" t="s">
        <v>678</v>
      </c>
      <c r="AC252" t="s">
        <v>174</v>
      </c>
      <c r="AD252" t="s">
        <v>628</v>
      </c>
      <c r="AF252" t="s">
        <v>529</v>
      </c>
      <c r="AG252" t="s">
        <v>149</v>
      </c>
      <c r="AH252" t="s">
        <v>236</v>
      </c>
      <c r="AI252" t="s">
        <v>150</v>
      </c>
    </row>
    <row r="253" spans="1:51" x14ac:dyDescent="0.25">
      <c r="AA253" t="s">
        <v>679</v>
      </c>
      <c r="AB253" t="s">
        <v>680</v>
      </c>
      <c r="AC253" t="s">
        <v>174</v>
      </c>
      <c r="AD253" t="s">
        <v>681</v>
      </c>
      <c r="AF253" t="s">
        <v>529</v>
      </c>
      <c r="AG253" t="s">
        <v>149</v>
      </c>
      <c r="AH253" t="s">
        <v>236</v>
      </c>
      <c r="AI253" t="s">
        <v>150</v>
      </c>
    </row>
    <row r="254" spans="1:51" x14ac:dyDescent="0.25">
      <c r="AA254" t="s">
        <v>682</v>
      </c>
      <c r="AB254" t="s">
        <v>683</v>
      </c>
      <c r="AC254" t="s">
        <v>174</v>
      </c>
      <c r="AD254" t="s">
        <v>634</v>
      </c>
      <c r="AF254" t="s">
        <v>529</v>
      </c>
      <c r="AG254" t="s">
        <v>149</v>
      </c>
      <c r="AH254" t="s">
        <v>236</v>
      </c>
      <c r="AI254" t="s">
        <v>150</v>
      </c>
    </row>
    <row r="255" spans="1:51" x14ac:dyDescent="0.25">
      <c r="AA255" t="s">
        <v>684</v>
      </c>
      <c r="AB255" t="s">
        <v>685</v>
      </c>
      <c r="AC255" t="s">
        <v>174</v>
      </c>
      <c r="AD255" t="s">
        <v>669</v>
      </c>
      <c r="AF255" t="s">
        <v>529</v>
      </c>
      <c r="AG255" t="s">
        <v>149</v>
      </c>
      <c r="AH255" t="s">
        <v>236</v>
      </c>
      <c r="AI255" t="s">
        <v>150</v>
      </c>
    </row>
    <row r="256" spans="1:51" x14ac:dyDescent="0.25">
      <c r="AA256" t="s">
        <v>686</v>
      </c>
      <c r="AB256" t="s">
        <v>687</v>
      </c>
      <c r="AC256" t="s">
        <v>174</v>
      </c>
      <c r="AD256" t="s">
        <v>640</v>
      </c>
      <c r="AF256" t="s">
        <v>529</v>
      </c>
      <c r="AG256" t="s">
        <v>149</v>
      </c>
      <c r="AH256" t="s">
        <v>236</v>
      </c>
      <c r="AI256" t="s">
        <v>150</v>
      </c>
    </row>
  </sheetData>
  <phoneticPr fontId="42" type="noConversion"/>
  <dataValidations count="15">
    <dataValidation type="list" allowBlank="1" showInputMessage="1" showErrorMessage="1" sqref="H99:M150" xr:uid="{A01672FB-C379-4063-B27D-5DDED9B36D50}">
      <formula1>CPSKDLIST</formula1>
    </dataValidation>
    <dataValidation type="list" allowBlank="1" showInputMessage="1" showErrorMessage="1" sqref="U39" xr:uid="{069DF4A6-60FA-47E7-9DB6-CF42371FDBE7}">
      <formula1>$Q$41:$T$41</formula1>
    </dataValidation>
    <dataValidation type="list" allowBlank="1" showInputMessage="1" showErrorMessage="1" sqref="B65:B85" xr:uid="{9489062B-0E07-4FF6-87B3-47A6A6864D51}">
      <formula1>BPHX_Type</formula1>
    </dataValidation>
    <dataValidation type="list" allowBlank="1" showInputMessage="1" showErrorMessage="1" sqref="C65:C85" xr:uid="{A4A10B28-E65A-4FB7-9BB9-5D9EC5A9F5B7}">
      <formula1>BPHX_Config</formula1>
    </dataValidation>
    <dataValidation type="list" allowBlank="1" showInputMessage="1" showErrorMessage="1" sqref="M65:M85" xr:uid="{7790C126-6A86-4EA0-9EF3-DD88CF7298DD}">
      <formula1>Coolant</formula1>
    </dataValidation>
    <dataValidation type="list" allowBlank="1" showInputMessage="1" showErrorMessage="1" sqref="F65:F85" xr:uid="{B7727A5D-9C12-4089-8454-8917BC86831B}">
      <formula1>Refrigerant</formula1>
    </dataValidation>
    <dataValidation type="list" allowBlank="1" showInputMessage="1" showErrorMessage="1" sqref="F88:F94" xr:uid="{F1DE4CCC-073A-4770-AA20-CBAE225536CF}">
      <formula1>AirCondModels</formula1>
    </dataValidation>
    <dataValidation type="list" allowBlank="1" showInputMessage="1" showErrorMessage="1" sqref="J251 J228:J245 J195:J222 W183:W191 W195:W220 W251 W228:W245 AJ228:AJ245 AJ251:AJ256 AW251 AW228:AW244 AJ215:AJ223 AW183:AW190 AJ183:AJ190 AJ195:AJ213 AW195:AW213 AW215:AW222 J183:J193" xr:uid="{5F9754B9-8F05-49BC-B47F-8D16BDFF0BC7}">
      <formula1>Option</formula1>
    </dataValidation>
    <dataValidation type="list" allowBlank="1" showInputMessage="1" showErrorMessage="1" sqref="H251 H195:H222 U183:U191 U195:U220 U251 AH215:AH225 AU183:AU190 AH192 AH183:AH190 AH195:AH213 AU195:AU213 AU215:AU222 AU192 H183:H193" xr:uid="{9C796D4B-07E7-4D03-9C53-5A7D8062671D}">
      <formula1>IO_unit</formula1>
    </dataValidation>
    <dataValidation type="list" allowBlank="1" showInputMessage="1" showErrorMessage="1" sqref="G228:G245 G251 G195:G222 T183:T191 T195:T220 T251 T228:T245 AT228:AT244 AT247:AT248 AG228:AG245 AG195:AG213 AG251:AG256 AT251 AT195:AT213 G183:G193" xr:uid="{449AF63B-0049-42EA-A571-E6493CD0634E}">
      <formula1>Comm_type</formula1>
    </dataValidation>
    <dataValidation type="list" allowBlank="1" showInputMessage="1" showErrorMessage="1" sqref="I228:I245 I251 I195:I222 V183:V191 V195:V220 V251 V228:V245 AV247:AV248 AI228:AI245 AI251:AI256 AV251 AV228:AV244 AI215:AI225 AV183:AV190 AI192 AI183:AI190 AI195:AI213 AV195:AV213 AV215:AV222 AV192 I183:I193" xr:uid="{4C19FBA5-E097-42D9-90D3-56FB9B2B5E42}">
      <formula1>IO_range</formula1>
    </dataValidation>
    <dataValidation type="list" allowBlank="1" showInputMessage="1" showErrorMessage="1" sqref="C228:C245 C251 C195:C222 P183:P191 P195:P220 P251 P228:P245 AC228:AC245 AP247:AP248 AC251:AC256 AP251 AP228:AP244 AC215:AC225 AP183:AP190 AC192 AC183:AC190 AC195:AC213 AP195:AP213 AP215:AP222 AP192 C183:C193" xr:uid="{A81A7BBE-D0CA-4097-ADF1-158EEEA9531D}">
      <formula1>Control_signal</formula1>
    </dataValidation>
    <dataValidation type="list" allowBlank="1" showInputMessage="1" showErrorMessage="1" sqref="U65:U74" xr:uid="{77D8B2F2-ACD8-486E-B369-02F599458540}">
      <formula1>Application</formula1>
    </dataValidation>
    <dataValidation type="list" allowBlank="1" showInputMessage="1" showErrorMessage="1" sqref="K183:K190 K195:K210 K228:K245 K251 X251 X228:X245 X195:X210 AX215:AX222 AK195:AK210 X183:X190 AK183:AK190 AK228:AK245 AK251:AK256 AX195:AX210 AK215:AK224 AX251 AX228:AX245 AX183:AX190" xr:uid="{D041B9F2-6F05-47E4-884A-4DB0CC303549}">
      <formula1>IO_Type</formula1>
    </dataValidation>
    <dataValidation type="list" allowBlank="1" showInputMessage="1" showErrorMessage="1" sqref="L183:L190 L195:L210 L228:L245 L251 Y228:Y245 Y183:Y190 Y195:Y210 Y251 AL195:AL210 AL215:AL224 AL228:AL245 AL251:AL256 AL183:AL190 AY195:AY210 AY215:AY222 AY251 AY228:AY245 AY183:AY190" xr:uid="{CDC1E9D4-EE57-4FCB-9E7F-F47CFBC3EC91}">
      <formula1>Ladder_Type</formula1>
    </dataValidation>
  </dataValidations>
  <pageMargins left="0.7" right="0.7" top="0.75" bottom="0.75" header="0.3" footer="0.3"/>
  <tableParts count="2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6038D-CB2C-4171-B0AD-335472AB2C8E}">
  <sheetPr codeName="Sheet2"/>
  <dimension ref="A1:AD279"/>
  <sheetViews>
    <sheetView zoomScaleNormal="100" zoomScaleSheetLayoutView="100" workbookViewId="0">
      <selection activeCell="Z67" sqref="Z67"/>
    </sheetView>
  </sheetViews>
  <sheetFormatPr baseColWidth="10" defaultColWidth="9.140625" defaultRowHeight="15" outlineLevelRow="3" x14ac:dyDescent="0.25"/>
  <cols>
    <col min="1" max="1" width="4.42578125" style="122" customWidth="1"/>
    <col min="2" max="2" width="11" style="122" customWidth="1"/>
    <col min="3" max="3" width="0.85546875" style="122" customWidth="1"/>
    <col min="4" max="4" width="6.5703125" style="122" customWidth="1"/>
    <col min="5" max="5" width="0.85546875" style="122" customWidth="1"/>
    <col min="6" max="6" width="11.28515625" style="122" customWidth="1"/>
    <col min="7" max="7" width="0.85546875" style="122" customWidth="1"/>
    <col min="8" max="8" width="11.28515625" style="122" customWidth="1"/>
    <col min="9" max="9" width="0.85546875" style="122" customWidth="1"/>
    <col min="10" max="10" width="11.28515625" style="122" customWidth="1"/>
    <col min="11" max="11" width="0.85546875" style="122" customWidth="1"/>
    <col min="12" max="12" width="11.28515625" style="122" customWidth="1"/>
    <col min="13" max="13" width="0.85546875" style="122" customWidth="1"/>
    <col min="14" max="14" width="11.28515625" style="122" customWidth="1"/>
    <col min="15" max="15" width="0.85546875" style="122" customWidth="1"/>
    <col min="16" max="16" width="11.28515625" style="122" customWidth="1"/>
    <col min="17" max="17" width="0.85546875" style="122" customWidth="1"/>
    <col min="18" max="18" width="11.28515625" style="122" customWidth="1"/>
    <col min="19" max="19" width="0.85546875" style="122" customWidth="1"/>
    <col min="20" max="20" width="11.28515625" style="122" customWidth="1"/>
    <col min="21" max="21" width="0.85546875" style="122" customWidth="1"/>
    <col min="22" max="22" width="11.28515625" style="122" customWidth="1"/>
    <col min="23" max="44" width="6.85546875" style="122" customWidth="1"/>
    <col min="45" max="16384" width="9.140625" style="122"/>
  </cols>
  <sheetData>
    <row r="1" spans="1:30" ht="37.5" customHeight="1" x14ac:dyDescent="0.35">
      <c r="A1" s="121"/>
      <c r="B1" s="396" t="s">
        <v>0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181"/>
      <c r="X1" s="181"/>
      <c r="Y1" s="181"/>
      <c r="Z1" s="181"/>
    </row>
    <row r="2" spans="1:30" x14ac:dyDescent="0.25">
      <c r="A2" s="324" t="s">
        <v>1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324"/>
      <c r="R2" s="324"/>
      <c r="S2" s="324"/>
      <c r="T2" s="324"/>
      <c r="U2" s="324"/>
      <c r="V2" s="324"/>
    </row>
    <row r="3" spans="1:30" ht="3" customHeight="1" x14ac:dyDescent="0.25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</row>
    <row r="4" spans="1:30" ht="14.1" customHeight="1" x14ac:dyDescent="0.25">
      <c r="A4" s="121"/>
      <c r="B4" s="126" t="s">
        <v>2</v>
      </c>
      <c r="C4" s="127"/>
      <c r="D4" s="320" t="s">
        <v>688</v>
      </c>
      <c r="E4" s="320"/>
      <c r="F4" s="320"/>
      <c r="G4" s="320"/>
      <c r="H4" s="320"/>
      <c r="I4" s="320"/>
      <c r="J4" s="321" t="s">
        <v>689</v>
      </c>
      <c r="K4" s="321"/>
      <c r="L4" s="321"/>
      <c r="M4" s="320" t="s">
        <v>690</v>
      </c>
      <c r="N4" s="320"/>
      <c r="O4" s="320"/>
      <c r="P4" s="320"/>
      <c r="Q4" s="320"/>
      <c r="R4" s="126" t="s">
        <v>3</v>
      </c>
      <c r="S4" s="381">
        <v>46080</v>
      </c>
      <c r="T4" s="320"/>
      <c r="U4" s="320"/>
      <c r="V4" s="320"/>
      <c r="AC4" s="122">
        <v>460</v>
      </c>
      <c r="AD4" s="122">
        <v>575</v>
      </c>
    </row>
    <row r="5" spans="1:30" ht="2.1" customHeight="1" x14ac:dyDescent="0.25">
      <c r="A5" s="121"/>
      <c r="B5" s="128"/>
      <c r="C5" s="127"/>
      <c r="D5" s="127"/>
      <c r="E5" s="127"/>
      <c r="F5" s="127"/>
      <c r="G5" s="127"/>
      <c r="H5" s="127"/>
      <c r="I5" s="127"/>
      <c r="J5" s="127"/>
      <c r="K5" s="129"/>
      <c r="L5" s="129"/>
      <c r="M5" s="127"/>
      <c r="N5" s="127"/>
      <c r="O5" s="127"/>
      <c r="P5" s="127"/>
      <c r="Q5" s="127"/>
      <c r="R5" s="127"/>
      <c r="S5" s="127"/>
      <c r="T5" s="130"/>
      <c r="U5" s="130"/>
      <c r="V5" s="130"/>
    </row>
    <row r="6" spans="1:30" ht="14.1" customHeight="1" x14ac:dyDescent="0.25">
      <c r="A6" s="121"/>
      <c r="B6" s="126" t="s">
        <v>691</v>
      </c>
      <c r="C6" s="127"/>
      <c r="D6" s="320" t="s">
        <v>692</v>
      </c>
      <c r="E6" s="320"/>
      <c r="F6" s="320"/>
      <c r="G6" s="320"/>
      <c r="H6" s="320"/>
      <c r="I6" s="320"/>
      <c r="J6" s="321" t="s">
        <v>6</v>
      </c>
      <c r="K6" s="321"/>
      <c r="L6" s="321"/>
      <c r="M6" s="320" t="s">
        <v>7</v>
      </c>
      <c r="N6" s="320"/>
      <c r="O6" s="320"/>
      <c r="P6" s="320"/>
      <c r="Q6" s="320"/>
      <c r="R6" s="126" t="s">
        <v>693</v>
      </c>
      <c r="S6" s="320">
        <v>1</v>
      </c>
      <c r="T6" s="320"/>
      <c r="U6" s="320"/>
      <c r="V6" s="320"/>
      <c r="AA6" s="122" t="s">
        <v>8</v>
      </c>
      <c r="AC6" s="122">
        <v>78</v>
      </c>
      <c r="AD6" s="122">
        <f>AC6*AC4/AD4</f>
        <v>62.4</v>
      </c>
    </row>
    <row r="7" spans="1:30" ht="2.1" customHeight="1" x14ac:dyDescent="0.25">
      <c r="A7" s="121"/>
      <c r="B7" s="128"/>
      <c r="C7" s="127"/>
      <c r="D7" s="173"/>
      <c r="E7" s="173"/>
      <c r="F7" s="173"/>
      <c r="G7" s="173"/>
      <c r="H7" s="173"/>
      <c r="I7" s="127"/>
      <c r="J7" s="127"/>
      <c r="K7" s="129"/>
      <c r="L7" s="129"/>
      <c r="M7" s="127"/>
      <c r="N7" s="127"/>
      <c r="O7" s="127"/>
      <c r="P7" s="127"/>
      <c r="Q7" s="127"/>
      <c r="R7" s="127"/>
      <c r="S7" s="127"/>
      <c r="T7" s="130"/>
      <c r="U7" s="130"/>
      <c r="V7" s="130"/>
    </row>
    <row r="8" spans="1:30" ht="14.1" customHeight="1" x14ac:dyDescent="0.25">
      <c r="A8" s="121"/>
      <c r="B8" s="126" t="s">
        <v>694</v>
      </c>
      <c r="C8" s="127"/>
      <c r="D8" s="320" t="s">
        <v>695</v>
      </c>
      <c r="E8" s="320"/>
      <c r="F8" s="320"/>
      <c r="G8" s="320"/>
      <c r="H8" s="320"/>
      <c r="I8" s="320"/>
      <c r="J8" s="126" t="s">
        <v>24</v>
      </c>
      <c r="K8" s="182" t="s">
        <v>379</v>
      </c>
      <c r="L8" s="182"/>
      <c r="M8" s="321" t="s">
        <v>696</v>
      </c>
      <c r="N8" s="321"/>
      <c r="O8" s="322">
        <f>24.9*1.25+24.9*5+2.3*6</f>
        <v>169.42500000000001</v>
      </c>
      <c r="P8" s="322"/>
      <c r="Q8" s="322"/>
      <c r="R8" s="158" t="s">
        <v>697</v>
      </c>
      <c r="S8" s="322">
        <v>200</v>
      </c>
      <c r="T8" s="322"/>
      <c r="U8" s="322"/>
      <c r="V8" s="322"/>
      <c r="AA8" s="122" t="s">
        <v>12</v>
      </c>
      <c r="AC8" s="122">
        <f>AD6*2.25+AD6</f>
        <v>202.8</v>
      </c>
    </row>
    <row r="9" spans="1:30" ht="2.1" customHeight="1" x14ac:dyDescent="0.25">
      <c r="A9" s="121"/>
      <c r="B9" s="124"/>
      <c r="C9" s="123"/>
      <c r="D9" s="174"/>
      <c r="E9" s="174"/>
      <c r="F9" s="174"/>
      <c r="G9" s="174"/>
      <c r="H9" s="123"/>
      <c r="I9" s="123"/>
      <c r="J9" s="123"/>
      <c r="K9" s="123"/>
      <c r="L9" s="123"/>
      <c r="M9" s="123"/>
      <c r="N9" s="123"/>
      <c r="O9" s="123"/>
      <c r="P9" s="123"/>
      <c r="Q9" s="123"/>
      <c r="R9" s="123"/>
      <c r="S9" s="123"/>
      <c r="T9" s="121"/>
      <c r="U9" s="121"/>
      <c r="V9" s="121"/>
    </row>
    <row r="10" spans="1:30" ht="1.1499999999999999" customHeight="1" x14ac:dyDescent="0.25">
      <c r="A10" s="121"/>
      <c r="B10" s="124"/>
      <c r="C10" s="123"/>
      <c r="D10" s="174"/>
      <c r="E10" s="174"/>
      <c r="F10" s="174"/>
      <c r="G10" s="174"/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23"/>
      <c r="S10" s="123"/>
      <c r="T10" s="121"/>
      <c r="U10" s="121"/>
      <c r="V10" s="121"/>
    </row>
    <row r="11" spans="1:30" ht="14.1" hidden="1" customHeight="1" x14ac:dyDescent="0.25">
      <c r="A11" s="121"/>
      <c r="B11" s="126" t="s">
        <v>29</v>
      </c>
      <c r="C11" s="127"/>
      <c r="D11" s="320" t="s">
        <v>698</v>
      </c>
      <c r="E11" s="320"/>
      <c r="F11" s="320"/>
      <c r="G11" s="320"/>
      <c r="H11" s="126" t="s">
        <v>699</v>
      </c>
      <c r="I11" s="320">
        <v>2</v>
      </c>
      <c r="J11" s="320"/>
      <c r="K11" s="320"/>
      <c r="L11" s="320"/>
      <c r="M11" s="321" t="s">
        <v>700</v>
      </c>
      <c r="N11" s="321"/>
      <c r="O11" s="321"/>
      <c r="P11" s="321"/>
      <c r="Q11" s="321"/>
      <c r="R11" s="124"/>
      <c r="S11" s="389"/>
      <c r="T11" s="389"/>
      <c r="U11" s="389"/>
      <c r="V11" s="389"/>
    </row>
    <row r="12" spans="1:30" ht="2.1" customHeight="1" x14ac:dyDescent="0.25">
      <c r="A12" s="121"/>
      <c r="B12" s="124"/>
      <c r="C12" s="123"/>
      <c r="D12" s="123"/>
      <c r="E12" s="123"/>
      <c r="F12" s="123"/>
      <c r="G12" s="123"/>
      <c r="H12" s="123"/>
      <c r="I12" s="123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1"/>
      <c r="U12" s="121"/>
      <c r="V12" s="121"/>
    </row>
    <row r="13" spans="1:30" x14ac:dyDescent="0.25">
      <c r="A13" s="324" t="s">
        <v>19</v>
      </c>
      <c r="B13" s="324"/>
      <c r="C13" s="324"/>
      <c r="D13" s="324"/>
      <c r="E13" s="324"/>
      <c r="F13" s="324"/>
      <c r="G13" s="324"/>
      <c r="H13" s="324"/>
      <c r="I13" s="324"/>
      <c r="J13" s="324"/>
      <c r="K13" s="324"/>
      <c r="L13" s="324"/>
      <c r="M13" s="324"/>
      <c r="N13" s="324"/>
      <c r="O13" s="324"/>
      <c r="P13" s="324"/>
      <c r="Q13" s="324"/>
      <c r="R13" s="324"/>
      <c r="S13" s="324"/>
      <c r="T13" s="324"/>
      <c r="U13" s="324"/>
      <c r="V13" s="324"/>
    </row>
    <row r="14" spans="1:30" ht="2.1" customHeight="1" x14ac:dyDescent="0.25">
      <c r="A14" s="121"/>
      <c r="B14" s="124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1"/>
      <c r="U14" s="121"/>
      <c r="V14" s="121"/>
    </row>
    <row r="15" spans="1:30" ht="14.1" customHeight="1" x14ac:dyDescent="0.25">
      <c r="A15" s="333" t="s">
        <v>701</v>
      </c>
      <c r="B15" s="333"/>
      <c r="C15" s="333"/>
      <c r="D15" s="333"/>
      <c r="E15" s="333"/>
      <c r="F15" s="319" t="s">
        <v>702</v>
      </c>
      <c r="G15" s="319"/>
      <c r="H15" s="319"/>
      <c r="I15" s="328" t="s">
        <v>703</v>
      </c>
      <c r="J15" s="328"/>
      <c r="K15" s="328"/>
      <c r="L15" s="328"/>
      <c r="M15" s="328"/>
      <c r="N15" s="388">
        <v>2</v>
      </c>
      <c r="O15" s="388"/>
      <c r="P15" s="388"/>
      <c r="Q15" s="185"/>
      <c r="R15" s="328" t="s">
        <v>704</v>
      </c>
      <c r="S15" s="328"/>
      <c r="T15" s="328"/>
      <c r="U15" s="178"/>
      <c r="V15" s="198" t="s">
        <v>141</v>
      </c>
      <c r="AA15" s="122" t="s">
        <v>23</v>
      </c>
    </row>
    <row r="16" spans="1:30" ht="1.5" customHeight="1" x14ac:dyDescent="0.25">
      <c r="A16" s="177"/>
      <c r="B16" s="177"/>
      <c r="C16" s="177"/>
      <c r="D16" s="177"/>
      <c r="E16" s="177"/>
      <c r="F16" s="200"/>
      <c r="G16" s="200"/>
      <c r="H16" s="200"/>
      <c r="I16" s="165"/>
      <c r="J16" s="165"/>
      <c r="K16" s="165"/>
      <c r="L16" s="165"/>
      <c r="M16" s="165"/>
      <c r="N16" s="176"/>
      <c r="O16" s="176"/>
      <c r="P16" s="176"/>
      <c r="Q16" s="185"/>
      <c r="R16" s="165"/>
      <c r="S16" s="165"/>
      <c r="T16" s="165"/>
      <c r="U16" s="178"/>
      <c r="V16" s="176"/>
    </row>
    <row r="17" spans="1:25" ht="15" customHeight="1" x14ac:dyDescent="0.25">
      <c r="A17" s="328" t="s">
        <v>29</v>
      </c>
      <c r="B17" s="328"/>
      <c r="C17" s="328"/>
      <c r="D17" s="328"/>
      <c r="E17" s="328"/>
      <c r="F17" s="388" t="s">
        <v>705</v>
      </c>
      <c r="G17" s="388"/>
      <c r="H17" s="388"/>
      <c r="I17" s="328" t="s">
        <v>706</v>
      </c>
      <c r="J17" s="328"/>
      <c r="K17" s="328"/>
      <c r="L17" s="328"/>
      <c r="M17" s="328"/>
      <c r="N17" s="388">
        <v>6</v>
      </c>
      <c r="O17" s="388"/>
      <c r="P17" s="388"/>
      <c r="Q17" s="185"/>
      <c r="R17" s="328" t="s">
        <v>26</v>
      </c>
      <c r="S17" s="328"/>
      <c r="T17" s="328"/>
      <c r="U17" s="178"/>
      <c r="V17" s="183" t="s">
        <v>707</v>
      </c>
      <c r="W17" s="183"/>
      <c r="X17" s="183"/>
      <c r="Y17" s="183"/>
    </row>
    <row r="18" spans="1:25" ht="1.5" customHeight="1" x14ac:dyDescent="0.25">
      <c r="A18" s="165"/>
      <c r="B18" s="165"/>
      <c r="C18" s="165"/>
      <c r="D18" s="165"/>
      <c r="E18" s="165"/>
      <c r="F18" s="176"/>
      <c r="G18" s="176"/>
      <c r="H18" s="176"/>
      <c r="I18" s="165"/>
      <c r="J18" s="165"/>
      <c r="K18" s="165"/>
      <c r="L18" s="165"/>
      <c r="M18" s="165"/>
      <c r="N18" s="176"/>
      <c r="O18" s="176"/>
      <c r="P18" s="176"/>
      <c r="Q18" s="185"/>
      <c r="R18" s="165"/>
      <c r="S18" s="165"/>
      <c r="T18" s="165"/>
      <c r="U18" s="178"/>
      <c r="V18" s="186"/>
      <c r="W18" s="183"/>
      <c r="X18" s="183"/>
      <c r="Y18" s="183"/>
    </row>
    <row r="19" spans="1:25" ht="15" customHeight="1" x14ac:dyDescent="0.25">
      <c r="A19" s="328" t="s">
        <v>36</v>
      </c>
      <c r="B19" s="328"/>
      <c r="C19" s="328"/>
      <c r="D19" s="328"/>
      <c r="E19" s="328"/>
      <c r="F19" s="388" t="s">
        <v>34</v>
      </c>
      <c r="G19" s="388"/>
      <c r="H19" s="388"/>
      <c r="I19" s="328"/>
      <c r="J19" s="328"/>
      <c r="K19" s="328"/>
      <c r="L19" s="328"/>
      <c r="M19" s="328"/>
      <c r="N19" s="388" t="s">
        <v>34</v>
      </c>
      <c r="O19" s="388"/>
      <c r="P19" s="388"/>
      <c r="Q19" s="185"/>
      <c r="R19" s="328" t="s">
        <v>708</v>
      </c>
      <c r="S19" s="328"/>
      <c r="T19" s="328"/>
      <c r="U19" s="178"/>
      <c r="V19" s="198">
        <v>466</v>
      </c>
    </row>
    <row r="20" spans="1:25" ht="1.5" customHeight="1" x14ac:dyDescent="0.25">
      <c r="A20" s="165"/>
      <c r="B20" s="165"/>
      <c r="C20" s="165"/>
      <c r="D20" s="165"/>
      <c r="E20" s="165"/>
      <c r="F20" s="176"/>
      <c r="G20" s="176"/>
      <c r="H20" s="176"/>
      <c r="I20" s="165"/>
      <c r="J20" s="165"/>
      <c r="K20" s="165"/>
      <c r="L20" s="165"/>
      <c r="M20" s="165"/>
      <c r="N20" s="176"/>
      <c r="O20" s="176"/>
      <c r="P20" s="176"/>
      <c r="Q20" s="185"/>
      <c r="R20" s="165"/>
      <c r="S20" s="165"/>
      <c r="T20" s="165"/>
      <c r="U20" s="178"/>
      <c r="V20" s="176"/>
    </row>
    <row r="21" spans="1:25" x14ac:dyDescent="0.25">
      <c r="A21" s="121"/>
      <c r="B21" s="328" t="s">
        <v>709</v>
      </c>
      <c r="C21" s="328"/>
      <c r="D21" s="328"/>
      <c r="E21" s="178"/>
      <c r="F21" s="198">
        <v>6</v>
      </c>
      <c r="G21" s="121"/>
      <c r="H21" s="121"/>
      <c r="I21" s="123"/>
      <c r="J21" s="328" t="s">
        <v>710</v>
      </c>
      <c r="K21" s="328"/>
      <c r="L21" s="328"/>
      <c r="M21" s="328"/>
      <c r="N21" s="388" t="s">
        <v>711</v>
      </c>
      <c r="O21" s="388"/>
      <c r="P21" s="388"/>
      <c r="Q21" s="185"/>
      <c r="R21" s="328" t="s">
        <v>712</v>
      </c>
      <c r="S21" s="328"/>
      <c r="T21" s="328"/>
      <c r="U21" s="184"/>
      <c r="V21" s="199">
        <v>10.199999999999999</v>
      </c>
    </row>
    <row r="22" spans="1:25" ht="15" hidden="1" customHeight="1" x14ac:dyDescent="0.25">
      <c r="I22" s="123"/>
      <c r="J22" s="123"/>
      <c r="K22" s="121"/>
      <c r="L22" s="121"/>
      <c r="N22" s="121"/>
      <c r="O22" s="121"/>
      <c r="P22" s="121"/>
      <c r="Q22" s="121"/>
      <c r="R22" s="121"/>
      <c r="S22" s="121"/>
      <c r="T22" s="121"/>
      <c r="U22" s="121"/>
      <c r="V22" s="121"/>
    </row>
    <row r="23" spans="1:25" ht="15" hidden="1" customHeight="1" x14ac:dyDescent="0.25">
      <c r="I23" s="123"/>
      <c r="J23" s="123"/>
      <c r="K23" s="121"/>
      <c r="L23" s="121"/>
      <c r="N23" s="121"/>
      <c r="O23" s="121"/>
      <c r="P23" s="121"/>
      <c r="Q23" s="121"/>
      <c r="R23" s="121"/>
      <c r="S23" s="121"/>
      <c r="T23" s="121"/>
      <c r="U23" s="121"/>
      <c r="V23" s="121"/>
    </row>
    <row r="24" spans="1:25" ht="15" customHeight="1" outlineLevel="1" x14ac:dyDescent="0.25">
      <c r="I24" s="167"/>
      <c r="J24" s="167"/>
      <c r="K24" s="121"/>
      <c r="L24" s="121"/>
      <c r="N24" s="121"/>
      <c r="O24" s="121"/>
      <c r="P24" s="121"/>
      <c r="Q24" s="121"/>
      <c r="R24" s="121"/>
      <c r="S24" s="121"/>
      <c r="T24" s="121"/>
      <c r="U24" s="121"/>
      <c r="V24" s="121"/>
    </row>
    <row r="25" spans="1:25" ht="15" customHeight="1" outlineLevel="1" x14ac:dyDescent="0.25">
      <c r="I25" s="123"/>
      <c r="J25" s="123"/>
      <c r="K25" s="121"/>
      <c r="L25" s="121"/>
      <c r="N25" s="121"/>
      <c r="O25" s="121"/>
      <c r="P25" s="121"/>
      <c r="Q25" s="121"/>
      <c r="R25" s="121"/>
      <c r="S25" s="121"/>
      <c r="T25" s="121"/>
      <c r="U25" s="121"/>
      <c r="V25" s="121"/>
    </row>
    <row r="26" spans="1:25" ht="15" customHeight="1" outlineLevel="1" x14ac:dyDescent="0.25">
      <c r="I26" s="123"/>
      <c r="J26" s="123"/>
      <c r="K26" s="121"/>
      <c r="L26" s="121"/>
      <c r="N26" s="121"/>
      <c r="O26" s="121"/>
      <c r="P26" s="121"/>
      <c r="Q26" s="121"/>
      <c r="R26" s="121"/>
      <c r="S26" s="121"/>
      <c r="T26" s="121"/>
      <c r="U26" s="121"/>
      <c r="V26" s="121"/>
    </row>
    <row r="27" spans="1:25" ht="3" customHeight="1" outlineLevel="1" x14ac:dyDescent="0.25">
      <c r="A27" s="172"/>
      <c r="B27" s="328"/>
      <c r="C27" s="328"/>
      <c r="D27" s="328"/>
      <c r="E27" s="125"/>
      <c r="F27" s="332"/>
      <c r="G27" s="332"/>
      <c r="H27" s="332"/>
      <c r="I27" s="123"/>
      <c r="J27" s="123"/>
      <c r="K27" s="121"/>
      <c r="L27" s="121"/>
      <c r="N27" s="121"/>
      <c r="O27" s="121"/>
      <c r="P27" s="121"/>
      <c r="Q27" s="121"/>
      <c r="R27" s="121"/>
      <c r="S27" s="121"/>
      <c r="T27" s="121"/>
      <c r="U27" s="121"/>
      <c r="V27" s="121"/>
    </row>
    <row r="28" spans="1:25" outlineLevel="1" x14ac:dyDescent="0.25">
      <c r="A28" s="324" t="s">
        <v>47</v>
      </c>
      <c r="B28" s="324"/>
      <c r="C28" s="324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</row>
    <row r="29" spans="1:25" outlineLevel="1" x14ac:dyDescent="0.25">
      <c r="A29" s="180"/>
      <c r="B29" s="180"/>
      <c r="C29" s="180"/>
      <c r="D29" s="180"/>
      <c r="E29" s="180"/>
      <c r="F29" s="335" t="s">
        <v>57</v>
      </c>
      <c r="G29" s="335"/>
      <c r="H29" s="336"/>
      <c r="I29" s="187"/>
      <c r="J29" s="337" t="s">
        <v>58</v>
      </c>
      <c r="K29" s="335"/>
      <c r="L29" s="336"/>
      <c r="M29" s="187"/>
      <c r="N29" s="337" t="s">
        <v>59</v>
      </c>
      <c r="O29" s="335"/>
      <c r="P29" s="336"/>
      <c r="Q29" s="187"/>
      <c r="R29" s="337" t="s">
        <v>713</v>
      </c>
      <c r="S29" s="335"/>
      <c r="T29" s="335"/>
      <c r="U29" s="180"/>
      <c r="V29" s="180"/>
    </row>
    <row r="30" spans="1:25" outlineLevel="1" x14ac:dyDescent="0.25">
      <c r="A30" s="338"/>
      <c r="B30" s="328" t="s">
        <v>61</v>
      </c>
      <c r="C30" s="328"/>
      <c r="D30" s="328"/>
      <c r="E30" s="125"/>
      <c r="F30" s="131">
        <v>41</v>
      </c>
      <c r="G30" s="131">
        <v>50</v>
      </c>
      <c r="H30" s="190">
        <f t="shared" ref="H30:H31" si="0">CONVERT(F30,"F","C")</f>
        <v>5</v>
      </c>
      <c r="I30" s="188"/>
      <c r="J30" s="131">
        <v>41.3</v>
      </c>
      <c r="K30" s="131">
        <v>50</v>
      </c>
      <c r="L30" s="190">
        <f t="shared" ref="L30:L31" si="1">CONVERT(J30,"F","C")</f>
        <v>5.1666666666666652</v>
      </c>
      <c r="M30" s="188"/>
      <c r="N30" s="131">
        <v>41.4</v>
      </c>
      <c r="O30" s="131">
        <v>50</v>
      </c>
      <c r="P30" s="190">
        <f t="shared" ref="P30:P31" si="2">CONVERT(N30,"F","C")</f>
        <v>5.2222222222222214</v>
      </c>
      <c r="Q30" s="188"/>
      <c r="R30" s="131">
        <v>41.5</v>
      </c>
      <c r="S30" s="131">
        <v>50</v>
      </c>
      <c r="T30" s="190">
        <f t="shared" ref="T30:T31" si="3">CONVERT(R30,"F","C")</f>
        <v>5.2777777777777777</v>
      </c>
      <c r="U30" s="121"/>
      <c r="V30" s="121"/>
    </row>
    <row r="31" spans="1:25" outlineLevel="1" x14ac:dyDescent="0.25">
      <c r="A31" s="338"/>
      <c r="B31" s="328" t="s">
        <v>62</v>
      </c>
      <c r="C31" s="328"/>
      <c r="D31" s="328"/>
      <c r="E31" s="125"/>
      <c r="F31" s="131">
        <v>115</v>
      </c>
      <c r="G31" s="131">
        <v>140</v>
      </c>
      <c r="H31" s="190">
        <f t="shared" si="0"/>
        <v>46.111111111111107</v>
      </c>
      <c r="I31" s="188"/>
      <c r="J31" s="131">
        <v>118.5</v>
      </c>
      <c r="K31" s="131">
        <v>140</v>
      </c>
      <c r="L31" s="190">
        <f t="shared" si="1"/>
        <v>48.055555555555557</v>
      </c>
      <c r="M31" s="188"/>
      <c r="N31" s="131">
        <v>121.4</v>
      </c>
      <c r="O31" s="131">
        <v>140</v>
      </c>
      <c r="P31" s="190">
        <f t="shared" si="2"/>
        <v>49.666666666666671</v>
      </c>
      <c r="Q31" s="188"/>
      <c r="R31" s="131">
        <v>130.80000000000001</v>
      </c>
      <c r="S31" s="131">
        <v>140</v>
      </c>
      <c r="T31" s="190">
        <f t="shared" si="3"/>
        <v>54.888888888888893</v>
      </c>
      <c r="U31" s="121"/>
      <c r="V31" s="121"/>
    </row>
    <row r="32" spans="1:25" ht="13.5" customHeight="1" outlineLevel="1" x14ac:dyDescent="0.25">
      <c r="A32" s="338"/>
      <c r="B32" s="328" t="s">
        <v>64</v>
      </c>
      <c r="C32" s="328"/>
      <c r="D32" s="328"/>
      <c r="E32" s="125"/>
      <c r="F32" s="133">
        <v>1098.6500000000001</v>
      </c>
      <c r="G32" s="134"/>
      <c r="H32" s="191">
        <f>F32/12</f>
        <v>91.554166666666674</v>
      </c>
      <c r="I32" s="189"/>
      <c r="J32" s="193">
        <v>1081.95</v>
      </c>
      <c r="K32" s="134"/>
      <c r="L32" s="191">
        <f>J32/12</f>
        <v>90.162500000000009</v>
      </c>
      <c r="M32" s="188"/>
      <c r="N32" s="193">
        <v>1064.8182999999999</v>
      </c>
      <c r="O32" s="134"/>
      <c r="P32" s="191">
        <f>N32/12</f>
        <v>88.734858333333321</v>
      </c>
      <c r="Q32" s="188"/>
      <c r="R32" s="193">
        <v>1003.486</v>
      </c>
      <c r="S32" s="134"/>
      <c r="T32" s="135">
        <f>R32/12</f>
        <v>83.623833333333337</v>
      </c>
      <c r="U32" s="121"/>
      <c r="V32" s="121"/>
      <c r="W32" s="122" t="s">
        <v>63</v>
      </c>
      <c r="X32" s="122">
        <v>41</v>
      </c>
    </row>
    <row r="33" spans="1:24" ht="15" customHeight="1" outlineLevel="1" x14ac:dyDescent="0.25">
      <c r="A33" s="338"/>
      <c r="B33" s="328" t="s">
        <v>65</v>
      </c>
      <c r="C33" s="328"/>
      <c r="D33" s="328"/>
      <c r="E33" s="125"/>
      <c r="F33" s="136">
        <f>F32</f>
        <v>1098.6500000000001</v>
      </c>
      <c r="G33" s="134"/>
      <c r="H33" s="191">
        <f>F33/12</f>
        <v>91.554166666666674</v>
      </c>
      <c r="I33" s="189"/>
      <c r="J33" s="194">
        <f>J32</f>
        <v>1081.95</v>
      </c>
      <c r="K33" s="134"/>
      <c r="L33" s="191">
        <f>J33/12</f>
        <v>90.162500000000009</v>
      </c>
      <c r="M33" s="188"/>
      <c r="N33" s="194">
        <f>N32</f>
        <v>1064.8182999999999</v>
      </c>
      <c r="O33" s="134"/>
      <c r="P33" s="191">
        <f>N33/12</f>
        <v>88.734858333333321</v>
      </c>
      <c r="Q33" s="188"/>
      <c r="R33" s="194">
        <f>R32</f>
        <v>1003.486</v>
      </c>
      <c r="S33" s="134"/>
      <c r="T33" s="135">
        <f>R33/12</f>
        <v>83.623833333333337</v>
      </c>
      <c r="U33" s="121"/>
      <c r="V33" s="121"/>
    </row>
    <row r="34" spans="1:24" ht="13.5" customHeight="1" outlineLevel="1" x14ac:dyDescent="0.25">
      <c r="A34" s="338"/>
      <c r="B34" s="328" t="s">
        <v>67</v>
      </c>
      <c r="C34" s="328"/>
      <c r="D34" s="328"/>
      <c r="E34" s="125"/>
      <c r="F34" s="326">
        <v>89.631</v>
      </c>
      <c r="G34" s="326"/>
      <c r="H34" s="327"/>
      <c r="I34" s="189"/>
      <c r="J34" s="339">
        <v>93.096000000000004</v>
      </c>
      <c r="K34" s="326"/>
      <c r="L34" s="327"/>
      <c r="M34" s="188"/>
      <c r="N34" s="339">
        <v>96.054000000000002</v>
      </c>
      <c r="O34" s="326"/>
      <c r="P34" s="327"/>
      <c r="Q34" s="188"/>
      <c r="R34" s="339">
        <v>106.241</v>
      </c>
      <c r="S34" s="326"/>
      <c r="T34" s="326"/>
      <c r="U34" s="121"/>
      <c r="V34" s="121"/>
      <c r="W34" s="122" t="s">
        <v>66</v>
      </c>
      <c r="X34" s="122">
        <v>176</v>
      </c>
    </row>
    <row r="35" spans="1:24" ht="14.1" customHeight="1" outlineLevel="1" x14ac:dyDescent="0.25">
      <c r="A35" s="338"/>
      <c r="B35" s="328" t="s">
        <v>68</v>
      </c>
      <c r="C35" s="328"/>
      <c r="D35" s="328"/>
      <c r="E35" s="125"/>
      <c r="F35" s="326">
        <f>$V$21</f>
        <v>10.199999999999999</v>
      </c>
      <c r="G35" s="326"/>
      <c r="H35" s="327"/>
      <c r="I35" s="189"/>
      <c r="J35" s="326"/>
      <c r="K35" s="326"/>
      <c r="L35" s="327"/>
      <c r="M35" s="188"/>
      <c r="N35" s="326"/>
      <c r="O35" s="326"/>
      <c r="P35" s="327"/>
      <c r="Q35" s="188"/>
      <c r="R35" s="326"/>
      <c r="S35" s="326"/>
      <c r="T35" s="327"/>
      <c r="U35" s="121"/>
      <c r="V35" s="121"/>
    </row>
    <row r="36" spans="1:24" ht="13.5" customHeight="1" outlineLevel="1" x14ac:dyDescent="0.25">
      <c r="A36" s="338"/>
      <c r="B36" s="328" t="s">
        <v>69</v>
      </c>
      <c r="C36" s="328"/>
      <c r="D36" s="328"/>
      <c r="E36" s="125"/>
      <c r="F36" s="133">
        <f>H36*3.413</f>
        <v>1404.5606030000001</v>
      </c>
      <c r="G36" s="137"/>
      <c r="H36" s="192">
        <f>IF(F32+3.413*F34=0,"",(F32+3.413*F34)/3.413)</f>
        <v>411.53255288602406</v>
      </c>
      <c r="I36" s="189"/>
      <c r="J36" s="193">
        <f>L36*3.413</f>
        <v>1399.6866480000001</v>
      </c>
      <c r="K36" s="137"/>
      <c r="L36" s="192">
        <f>(J32/3.413)+J34</f>
        <v>410.10449692352773</v>
      </c>
      <c r="M36" s="188"/>
      <c r="N36" s="193">
        <f>P36*3.413</f>
        <v>1392.6506019999999</v>
      </c>
      <c r="O36" s="137"/>
      <c r="P36" s="192">
        <f>IF(N32+3.413*N34=0,"",(N32+3.413*N34)/3.413)</f>
        <v>408.04295399941401</v>
      </c>
      <c r="Q36" s="188"/>
      <c r="R36" s="193">
        <f>T36*3.413</f>
        <v>1366.0865329999999</v>
      </c>
      <c r="S36" s="137"/>
      <c r="T36" s="138">
        <f>IF(R32+3.413*R34=0,"",(R32+3.413*R34)/3.413)</f>
        <v>400.25975183123353</v>
      </c>
      <c r="U36" s="121"/>
      <c r="V36" s="121"/>
    </row>
    <row r="37" spans="1:24" ht="13.5" customHeight="1" outlineLevel="1" x14ac:dyDescent="0.25">
      <c r="A37" s="338"/>
      <c r="B37" s="328" t="s">
        <v>70</v>
      </c>
      <c r="C37" s="328"/>
      <c r="D37" s="328"/>
      <c r="E37" s="125"/>
      <c r="F37" s="329">
        <f>IFERROR(H36/(F34+F35),"")</f>
        <v>4.1222922026827744</v>
      </c>
      <c r="G37" s="329"/>
      <c r="H37" s="330"/>
      <c r="I37" s="189"/>
      <c r="J37" s="331">
        <f>IFERROR(L36/(J34+J35),"")</f>
        <v>4.4051784923469075</v>
      </c>
      <c r="K37" s="329"/>
      <c r="L37" s="330"/>
      <c r="M37" s="188"/>
      <c r="N37" s="331">
        <f>IFERROR(P36/(N34+N35),"")</f>
        <v>4.2480579049223772</v>
      </c>
      <c r="O37" s="329"/>
      <c r="P37" s="330"/>
      <c r="Q37" s="188"/>
      <c r="R37" s="331">
        <f>IFERROR(T36/(R34+R35),"")</f>
        <v>3.7674697323183475</v>
      </c>
      <c r="S37" s="329"/>
      <c r="T37" s="329"/>
      <c r="U37" s="121"/>
      <c r="V37" s="121"/>
      <c r="W37" s="122">
        <f>F36/12</f>
        <v>117.04671691666668</v>
      </c>
    </row>
    <row r="38" spans="1:24" ht="13.5" customHeight="1" outlineLevel="1" x14ac:dyDescent="0.25">
      <c r="A38" s="338"/>
      <c r="B38" s="328" t="s">
        <v>71</v>
      </c>
      <c r="C38" s="328"/>
      <c r="D38" s="328"/>
      <c r="E38" s="125"/>
      <c r="F38" s="329">
        <f>IFERROR(F32/((F34+F35)*3.413),"")</f>
        <v>3.2244648744981421</v>
      </c>
      <c r="G38" s="329"/>
      <c r="H38" s="330"/>
      <c r="I38" s="189"/>
      <c r="J38" s="331">
        <f>IFERROR(J32/((J34+J35)*3.413),"")</f>
        <v>3.4051784923469075</v>
      </c>
      <c r="K38" s="329"/>
      <c r="L38" s="330"/>
      <c r="M38" s="188"/>
      <c r="N38" s="331">
        <f>IFERROR(N32/((N34+N35)*3.413),"")</f>
        <v>3.2480579049223772</v>
      </c>
      <c r="O38" s="329"/>
      <c r="P38" s="330"/>
      <c r="Q38" s="188"/>
      <c r="R38" s="331">
        <f>IFERROR(R32/((R34+R35)*3.413),"")</f>
        <v>2.767469732318347</v>
      </c>
      <c r="S38" s="329"/>
      <c r="T38" s="329"/>
      <c r="U38" s="121"/>
      <c r="V38" s="121"/>
    </row>
    <row r="39" spans="1:24" ht="13.5" customHeight="1" outlineLevel="1" x14ac:dyDescent="0.25">
      <c r="A39" s="338"/>
      <c r="B39" s="328" t="s">
        <v>72</v>
      </c>
      <c r="C39" s="328"/>
      <c r="D39" s="328"/>
      <c r="E39" s="125"/>
      <c r="F39" s="329"/>
      <c r="G39" s="329"/>
      <c r="H39" s="330"/>
      <c r="I39" s="189"/>
      <c r="J39" s="331">
        <f>J38+J37</f>
        <v>7.810356984693815</v>
      </c>
      <c r="K39" s="329"/>
      <c r="L39" s="330"/>
      <c r="M39" s="188"/>
      <c r="N39" s="331">
        <f>N38+N37</f>
        <v>7.4961158098447545</v>
      </c>
      <c r="O39" s="329"/>
      <c r="P39" s="330"/>
      <c r="Q39" s="188"/>
      <c r="R39" s="331">
        <f>R38+R37</f>
        <v>6.534939464636695</v>
      </c>
      <c r="S39" s="329"/>
      <c r="T39" s="329"/>
      <c r="U39" s="121"/>
      <c r="V39" s="121"/>
    </row>
    <row r="40" spans="1:24" ht="13.5" customHeight="1" outlineLevel="1" x14ac:dyDescent="0.25">
      <c r="A40" s="338"/>
      <c r="B40" s="328" t="s">
        <v>73</v>
      </c>
      <c r="C40" s="328"/>
      <c r="D40" s="328"/>
      <c r="E40" s="125"/>
      <c r="F40" s="131"/>
      <c r="G40" s="131"/>
      <c r="H40" s="190"/>
      <c r="I40" s="189"/>
      <c r="J40" s="195">
        <v>90</v>
      </c>
      <c r="K40" s="131">
        <v>50</v>
      </c>
      <c r="L40" s="190">
        <f t="shared" ref="L40:L41" si="4">CONVERT(J40,"F","C")</f>
        <v>32.222222222222221</v>
      </c>
      <c r="M40" s="188"/>
      <c r="N40" s="195">
        <v>100</v>
      </c>
      <c r="O40" s="131">
        <v>50</v>
      </c>
      <c r="P40" s="190">
        <f t="shared" ref="P40:P41" si="5">CONVERT(N40,"F","C")</f>
        <v>37.777777777777779</v>
      </c>
      <c r="Q40" s="188"/>
      <c r="R40" s="195">
        <v>110</v>
      </c>
      <c r="S40" s="131">
        <v>50</v>
      </c>
      <c r="T40" s="132">
        <f t="shared" ref="T40:T41" si="6">CONVERT(R40,"F","C")</f>
        <v>43.333333333333336</v>
      </c>
      <c r="U40" s="121"/>
      <c r="V40" s="121"/>
    </row>
    <row r="41" spans="1:24" ht="13.5" customHeight="1" outlineLevel="1" x14ac:dyDescent="0.25">
      <c r="A41" s="338"/>
      <c r="B41" s="328" t="s">
        <v>74</v>
      </c>
      <c r="C41" s="328"/>
      <c r="D41" s="328"/>
      <c r="E41" s="125"/>
      <c r="F41" s="131"/>
      <c r="G41" s="131"/>
      <c r="H41" s="190"/>
      <c r="I41" s="189"/>
      <c r="J41" s="195">
        <v>120</v>
      </c>
      <c r="K41" s="131">
        <v>140</v>
      </c>
      <c r="L41" s="190">
        <f t="shared" si="4"/>
        <v>48.888888888888886</v>
      </c>
      <c r="M41" s="188"/>
      <c r="N41" s="195">
        <v>120</v>
      </c>
      <c r="O41" s="131">
        <v>140</v>
      </c>
      <c r="P41" s="190">
        <f t="shared" si="5"/>
        <v>48.888888888888886</v>
      </c>
      <c r="Q41" s="188"/>
      <c r="R41" s="195">
        <v>130</v>
      </c>
      <c r="S41" s="131">
        <v>140</v>
      </c>
      <c r="T41" s="132">
        <f t="shared" si="6"/>
        <v>54.444444444444443</v>
      </c>
      <c r="U41" s="121"/>
      <c r="V41" s="121"/>
      <c r="W41" s="122">
        <f>F34/W37</f>
        <v>0.76577115839835341</v>
      </c>
    </row>
    <row r="42" spans="1:24" ht="13.5" customHeight="1" outlineLevel="1" x14ac:dyDescent="0.25">
      <c r="A42" s="338"/>
      <c r="B42" s="328" t="s">
        <v>75</v>
      </c>
      <c r="C42" s="328"/>
      <c r="D42" s="328"/>
      <c r="E42" s="125"/>
      <c r="F42" s="340"/>
      <c r="G42" s="340"/>
      <c r="H42" s="341"/>
      <c r="I42" s="189"/>
      <c r="J42" s="342">
        <v>100.7</v>
      </c>
      <c r="K42" s="340"/>
      <c r="L42" s="341"/>
      <c r="M42" s="188"/>
      <c r="N42" s="342">
        <v>150.19999999999999</v>
      </c>
      <c r="O42" s="340"/>
      <c r="P42" s="341"/>
      <c r="Q42" s="188"/>
      <c r="R42" s="342">
        <v>148.19999999999999</v>
      </c>
      <c r="S42" s="340"/>
      <c r="T42" s="340"/>
      <c r="U42" s="121"/>
      <c r="V42" s="121"/>
    </row>
    <row r="43" spans="1:24" ht="13.5" customHeight="1" outlineLevel="1" x14ac:dyDescent="0.25">
      <c r="A43" s="338"/>
      <c r="B43" s="328" t="s">
        <v>76</v>
      </c>
      <c r="C43" s="328"/>
      <c r="D43" s="328"/>
      <c r="E43" s="125"/>
      <c r="F43" s="343"/>
      <c r="G43" s="343"/>
      <c r="H43" s="344"/>
      <c r="I43" s="188"/>
      <c r="J43" s="345">
        <v>0.64670000000000005</v>
      </c>
      <c r="K43" s="343"/>
      <c r="L43" s="344"/>
      <c r="M43" s="188"/>
      <c r="N43" s="345">
        <v>1.3620000000000001</v>
      </c>
      <c r="O43" s="343"/>
      <c r="P43" s="344"/>
      <c r="Q43" s="188"/>
      <c r="R43" s="345">
        <v>1.2989999999999999</v>
      </c>
      <c r="S43" s="343"/>
      <c r="T43" s="343"/>
      <c r="U43" s="121"/>
      <c r="V43" s="121"/>
    </row>
    <row r="44" spans="1:24" ht="13.5" customHeight="1" outlineLevel="1" x14ac:dyDescent="0.25">
      <c r="A44" s="338"/>
      <c r="B44" s="328" t="s">
        <v>77</v>
      </c>
      <c r="C44" s="328"/>
      <c r="D44" s="328"/>
      <c r="E44" s="125"/>
      <c r="F44" s="131">
        <v>54</v>
      </c>
      <c r="G44" s="131">
        <v>50</v>
      </c>
      <c r="H44" s="190">
        <f t="shared" ref="H44:H45" si="7">CONVERT(F44,"F","C")</f>
        <v>12.222222222222221</v>
      </c>
      <c r="I44" s="188"/>
      <c r="J44" s="195">
        <v>54</v>
      </c>
      <c r="K44" s="131">
        <v>50</v>
      </c>
      <c r="L44" s="190">
        <f t="shared" ref="L44:L45" si="8">CONVERT(J44,"F","C")</f>
        <v>12.222222222222221</v>
      </c>
      <c r="M44" s="188"/>
      <c r="N44" s="195">
        <v>54</v>
      </c>
      <c r="O44" s="131">
        <v>50</v>
      </c>
      <c r="P44" s="190">
        <f t="shared" ref="P44:P45" si="9">CONVERT(N44,"F","C")</f>
        <v>12.222222222222221</v>
      </c>
      <c r="Q44" s="188"/>
      <c r="R44" s="195">
        <v>54</v>
      </c>
      <c r="S44" s="131">
        <v>50</v>
      </c>
      <c r="T44" s="132">
        <f t="shared" ref="T44:T45" si="10">CONVERT(R44,"F","C")</f>
        <v>12.222222222222221</v>
      </c>
      <c r="U44" s="121"/>
      <c r="V44" s="121"/>
    </row>
    <row r="45" spans="1:24" ht="13.5" customHeight="1" outlineLevel="1" x14ac:dyDescent="0.25">
      <c r="A45" s="338"/>
      <c r="B45" s="328" t="s">
        <v>78</v>
      </c>
      <c r="C45" s="328"/>
      <c r="D45" s="328"/>
      <c r="E45" s="125"/>
      <c r="F45" s="131">
        <v>44</v>
      </c>
      <c r="G45" s="131">
        <v>140</v>
      </c>
      <c r="H45" s="190">
        <f t="shared" si="7"/>
        <v>6.6666666666666661</v>
      </c>
      <c r="I45" s="188"/>
      <c r="J45" s="195">
        <v>44</v>
      </c>
      <c r="K45" s="131">
        <v>140</v>
      </c>
      <c r="L45" s="190">
        <f t="shared" si="8"/>
        <v>6.6666666666666661</v>
      </c>
      <c r="M45" s="188"/>
      <c r="N45" s="195">
        <v>44</v>
      </c>
      <c r="O45" s="131">
        <v>140</v>
      </c>
      <c r="P45" s="190">
        <f t="shared" si="9"/>
        <v>6.6666666666666661</v>
      </c>
      <c r="Q45" s="188"/>
      <c r="R45" s="195">
        <v>44</v>
      </c>
      <c r="S45" s="131">
        <v>140</v>
      </c>
      <c r="T45" s="132">
        <f t="shared" si="10"/>
        <v>6.6666666666666661</v>
      </c>
      <c r="U45" s="121"/>
      <c r="V45" s="121"/>
    </row>
    <row r="46" spans="1:24" ht="13.5" customHeight="1" outlineLevel="1" x14ac:dyDescent="0.25">
      <c r="A46" s="338"/>
      <c r="B46" s="328" t="s">
        <v>79</v>
      </c>
      <c r="C46" s="328"/>
      <c r="D46" s="328"/>
      <c r="E46" s="125"/>
      <c r="F46" s="340">
        <v>240.2</v>
      </c>
      <c r="G46" s="340"/>
      <c r="H46" s="341"/>
      <c r="I46" s="188"/>
      <c r="J46" s="342">
        <v>236.5</v>
      </c>
      <c r="K46" s="340"/>
      <c r="L46" s="341"/>
      <c r="M46" s="188"/>
      <c r="N46" s="342">
        <v>232.8</v>
      </c>
      <c r="O46" s="340"/>
      <c r="P46" s="341"/>
      <c r="Q46" s="188"/>
      <c r="R46" s="342">
        <v>219.4</v>
      </c>
      <c r="S46" s="340"/>
      <c r="T46" s="340"/>
      <c r="U46" s="121"/>
      <c r="V46" s="121"/>
    </row>
    <row r="47" spans="1:24" ht="13.5" customHeight="1" outlineLevel="1" x14ac:dyDescent="0.25">
      <c r="A47" s="338"/>
      <c r="B47" s="328" t="s">
        <v>80</v>
      </c>
      <c r="C47" s="328"/>
      <c r="D47" s="328"/>
      <c r="E47" s="125"/>
      <c r="F47" s="343">
        <v>1.94</v>
      </c>
      <c r="G47" s="343"/>
      <c r="H47" s="344"/>
      <c r="I47" s="188"/>
      <c r="J47" s="345">
        <v>1.89</v>
      </c>
      <c r="K47" s="343"/>
      <c r="L47" s="344"/>
      <c r="M47" s="188"/>
      <c r="N47" s="345">
        <v>1.8360000000000001</v>
      </c>
      <c r="O47" s="343"/>
      <c r="P47" s="344"/>
      <c r="Q47" s="188"/>
      <c r="R47" s="345">
        <v>1.64</v>
      </c>
      <c r="S47" s="343"/>
      <c r="T47" s="343"/>
      <c r="U47" s="121"/>
      <c r="V47" s="121"/>
    </row>
    <row r="48" spans="1:24" ht="14.25" customHeight="1" outlineLevel="1" x14ac:dyDescent="0.25">
      <c r="A48" s="179"/>
      <c r="B48" s="165"/>
      <c r="C48" s="165"/>
      <c r="D48" s="165"/>
      <c r="E48" s="125"/>
      <c r="F48" s="171"/>
      <c r="G48" s="171"/>
      <c r="H48" s="171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</row>
    <row r="49" spans="1:25" ht="14.1" customHeight="1" outlineLevel="1" x14ac:dyDescent="0.25">
      <c r="A49" s="346" t="s">
        <v>81</v>
      </c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  <c r="O49" s="346"/>
      <c r="P49" s="346"/>
      <c r="Q49" s="346"/>
      <c r="R49" s="346"/>
      <c r="S49" s="346"/>
      <c r="T49" s="346"/>
      <c r="U49" s="346"/>
      <c r="V49" s="346"/>
    </row>
    <row r="50" spans="1:25" ht="14.1" customHeight="1" outlineLevel="1" x14ac:dyDescent="0.25">
      <c r="A50" s="324" t="s">
        <v>82</v>
      </c>
      <c r="B50" s="324"/>
      <c r="C50" s="324"/>
      <c r="D50" s="324"/>
      <c r="E50" s="324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4"/>
    </row>
    <row r="51" spans="1:25" ht="14.1" customHeight="1" outlineLevel="1" x14ac:dyDescent="0.25">
      <c r="A51" s="180"/>
      <c r="B51" s="180"/>
      <c r="C51" s="180"/>
      <c r="D51" s="180"/>
      <c r="E51" s="180"/>
      <c r="F51" s="347">
        <v>77</v>
      </c>
      <c r="G51" s="347"/>
      <c r="H51" s="348"/>
      <c r="I51" s="180"/>
      <c r="J51" s="349">
        <v>47</v>
      </c>
      <c r="K51" s="347"/>
      <c r="L51" s="350"/>
      <c r="M51" s="180"/>
      <c r="N51" s="349">
        <v>17</v>
      </c>
      <c r="O51" s="347"/>
      <c r="P51" s="350"/>
      <c r="Q51" s="180"/>
      <c r="R51" s="390">
        <v>10</v>
      </c>
      <c r="S51" s="347"/>
      <c r="T51" s="347"/>
      <c r="U51" s="180"/>
      <c r="V51" s="180"/>
    </row>
    <row r="52" spans="1:25" ht="14.1" customHeight="1" outlineLevel="1" x14ac:dyDescent="0.25">
      <c r="A52" s="355"/>
      <c r="B52" s="328" t="s">
        <v>61</v>
      </c>
      <c r="C52" s="328"/>
      <c r="D52" s="328"/>
      <c r="E52" s="125"/>
      <c r="F52" s="131">
        <v>62.3</v>
      </c>
      <c r="G52" s="131">
        <v>50</v>
      </c>
      <c r="H52" s="201">
        <f t="shared" ref="H52:H53" si="11">CONVERT(F52,"F","C")</f>
        <v>16.833333333333332</v>
      </c>
      <c r="I52" s="121"/>
      <c r="J52" s="195">
        <v>33.799999999999997</v>
      </c>
      <c r="K52" s="131">
        <v>50</v>
      </c>
      <c r="L52" s="190">
        <f t="shared" ref="L52:L53" si="12">CONVERT(J52,"F","C")</f>
        <v>0.99999999999999845</v>
      </c>
      <c r="M52" s="121"/>
      <c r="N52" s="195">
        <v>7.4</v>
      </c>
      <c r="O52" s="131">
        <v>50</v>
      </c>
      <c r="P52" s="190">
        <f t="shared" ref="P52:P53" si="13">CONVERT(N52,"F","C")</f>
        <v>-13.666666666666668</v>
      </c>
      <c r="Q52" s="121"/>
      <c r="R52" s="205">
        <v>1.2</v>
      </c>
      <c r="S52" s="131">
        <v>50</v>
      </c>
      <c r="T52" s="132">
        <f t="shared" ref="T52:T53" si="14">CONVERT(R52,"F","C")</f>
        <v>-17.111111111111111</v>
      </c>
      <c r="U52" s="121"/>
      <c r="V52" s="121"/>
    </row>
    <row r="53" spans="1:25" ht="14.1" customHeight="1" outlineLevel="1" x14ac:dyDescent="0.25">
      <c r="A53" s="355"/>
      <c r="B53" s="328" t="s">
        <v>62</v>
      </c>
      <c r="C53" s="328"/>
      <c r="D53" s="328"/>
      <c r="E53" s="125"/>
      <c r="F53" s="131">
        <v>123.3</v>
      </c>
      <c r="G53" s="131">
        <v>140</v>
      </c>
      <c r="H53" s="201">
        <f t="shared" si="11"/>
        <v>50.722222222222221</v>
      </c>
      <c r="I53" s="121"/>
      <c r="J53" s="195">
        <v>121.2</v>
      </c>
      <c r="K53" s="131">
        <v>140</v>
      </c>
      <c r="L53" s="190">
        <f t="shared" si="12"/>
        <v>49.555555555555557</v>
      </c>
      <c r="M53" s="121"/>
      <c r="N53" s="195">
        <v>119.1</v>
      </c>
      <c r="O53" s="131">
        <v>140</v>
      </c>
      <c r="P53" s="190">
        <f t="shared" si="13"/>
        <v>48.388888888888886</v>
      </c>
      <c r="Q53" s="121"/>
      <c r="R53" s="205">
        <v>119.1</v>
      </c>
      <c r="S53" s="131">
        <v>140</v>
      </c>
      <c r="T53" s="132">
        <f t="shared" si="14"/>
        <v>48.388888888888886</v>
      </c>
      <c r="U53" s="121"/>
      <c r="V53" s="121"/>
    </row>
    <row r="54" spans="1:25" ht="14.1" customHeight="1" outlineLevel="1" x14ac:dyDescent="0.25">
      <c r="A54" s="355"/>
      <c r="B54" s="328" t="s">
        <v>64</v>
      </c>
      <c r="C54" s="328"/>
      <c r="D54" s="328"/>
      <c r="E54" s="125"/>
      <c r="F54" s="133">
        <v>1530.377</v>
      </c>
      <c r="G54" s="134"/>
      <c r="H54" s="202">
        <f>F54/12</f>
        <v>127.53141666666666</v>
      </c>
      <c r="I54" s="123"/>
      <c r="J54" s="194">
        <v>922.75099999999998</v>
      </c>
      <c r="K54" s="134"/>
      <c r="L54" s="191">
        <f>J54/12</f>
        <v>76.895916666666665</v>
      </c>
      <c r="M54" s="121"/>
      <c r="N54" s="194">
        <v>623.27200000000005</v>
      </c>
      <c r="O54" s="134"/>
      <c r="P54" s="191">
        <f>N54/12</f>
        <v>51.939333333333337</v>
      </c>
      <c r="Q54" s="121"/>
      <c r="R54" s="206">
        <v>554.11900000000003</v>
      </c>
      <c r="S54" s="134"/>
      <c r="T54" s="135">
        <f>R54/12</f>
        <v>46.176583333333333</v>
      </c>
      <c r="U54" s="121"/>
      <c r="V54" s="121"/>
    </row>
    <row r="55" spans="1:25" ht="13.5" customHeight="1" outlineLevel="1" x14ac:dyDescent="0.25">
      <c r="A55" s="355"/>
      <c r="B55" s="328" t="s">
        <v>65</v>
      </c>
      <c r="C55" s="328"/>
      <c r="D55" s="328"/>
      <c r="E55" s="125"/>
      <c r="F55" s="136">
        <f>F54</f>
        <v>1530.377</v>
      </c>
      <c r="G55" s="134"/>
      <c r="H55" s="202">
        <f>F55/12</f>
        <v>127.53141666666666</v>
      </c>
      <c r="I55" s="123"/>
      <c r="J55" s="194">
        <v>923.375</v>
      </c>
      <c r="K55" s="134"/>
      <c r="L55" s="191">
        <f>J55/12</f>
        <v>76.947916666666671</v>
      </c>
      <c r="M55" s="121"/>
      <c r="N55" s="194">
        <f>N54</f>
        <v>623.27200000000005</v>
      </c>
      <c r="O55" s="134"/>
      <c r="P55" s="191">
        <f>N55/12</f>
        <v>51.939333333333337</v>
      </c>
      <c r="Q55" s="121"/>
      <c r="R55" s="207">
        <f>R54</f>
        <v>554.11900000000003</v>
      </c>
      <c r="S55" s="134"/>
      <c r="T55" s="135">
        <f>R55/12</f>
        <v>46.176583333333333</v>
      </c>
      <c r="U55" s="121"/>
      <c r="V55" s="121"/>
    </row>
    <row r="56" spans="1:25" ht="14.1" customHeight="1" outlineLevel="1" x14ac:dyDescent="0.25">
      <c r="A56" s="355"/>
      <c r="B56" s="328" t="s">
        <v>67</v>
      </c>
      <c r="C56" s="328"/>
      <c r="D56" s="328"/>
      <c r="E56" s="125"/>
      <c r="F56" s="326">
        <v>99.409000000000006</v>
      </c>
      <c r="G56" s="326"/>
      <c r="H56" s="352"/>
      <c r="I56" s="123"/>
      <c r="J56" s="339">
        <v>95.173000000000002</v>
      </c>
      <c r="K56" s="326"/>
      <c r="L56" s="327"/>
      <c r="M56" s="121"/>
      <c r="N56" s="339">
        <v>91.653999999999996</v>
      </c>
      <c r="O56" s="326"/>
      <c r="P56" s="327"/>
      <c r="Q56" s="121"/>
      <c r="R56" s="391">
        <v>90.899000000000001</v>
      </c>
      <c r="S56" s="326"/>
      <c r="T56" s="326"/>
      <c r="U56" s="121"/>
      <c r="V56" s="121"/>
    </row>
    <row r="57" spans="1:25" ht="13.5" customHeight="1" outlineLevel="1" x14ac:dyDescent="0.25">
      <c r="A57" s="355"/>
      <c r="B57" s="328" t="s">
        <v>68</v>
      </c>
      <c r="C57" s="328"/>
      <c r="D57" s="328"/>
      <c r="E57" s="125"/>
      <c r="F57" s="326">
        <f>$F$35</f>
        <v>10.199999999999999</v>
      </c>
      <c r="G57" s="326"/>
      <c r="H57" s="352"/>
      <c r="I57" s="123"/>
      <c r="J57" s="339">
        <f>$V$21</f>
        <v>10.199999999999999</v>
      </c>
      <c r="K57" s="326"/>
      <c r="L57" s="327"/>
      <c r="M57" s="121"/>
      <c r="N57" s="339">
        <f>$F$35</f>
        <v>10.199999999999999</v>
      </c>
      <c r="O57" s="326"/>
      <c r="P57" s="327"/>
      <c r="Q57" s="121"/>
      <c r="R57" s="391">
        <f>$F$35</f>
        <v>10.199999999999999</v>
      </c>
      <c r="S57" s="326"/>
      <c r="T57" s="326"/>
      <c r="U57" s="121"/>
      <c r="V57" s="121"/>
    </row>
    <row r="58" spans="1:25" ht="13.5" customHeight="1" outlineLevel="1" x14ac:dyDescent="0.25">
      <c r="A58" s="355"/>
      <c r="B58" s="328" t="s">
        <v>69</v>
      </c>
      <c r="C58" s="328"/>
      <c r="D58" s="328"/>
      <c r="E58" s="125"/>
      <c r="F58" s="133">
        <f>H58*3.413</f>
        <v>1869.6599169999997</v>
      </c>
      <c r="G58" s="137"/>
      <c r="H58" s="203">
        <f>IF(F54+3.413*F56=0,"",(F54+3.413*F56)/3.413)</f>
        <v>547.80542543217109</v>
      </c>
      <c r="I58" s="123"/>
      <c r="J58" s="193">
        <f>L58*3.413</f>
        <v>1247.5764489999999</v>
      </c>
      <c r="K58" s="137"/>
      <c r="L58" s="192">
        <f>IF(J54+3.413*J56=0,"",(J54+3.413*J56)/3.413)</f>
        <v>365.53660972751243</v>
      </c>
      <c r="M58" s="121"/>
      <c r="N58" s="193">
        <v>890.22699999999998</v>
      </c>
      <c r="O58" s="137"/>
      <c r="P58" s="192">
        <f>N58/3.413</f>
        <v>260.83416349252855</v>
      </c>
      <c r="Q58" s="121"/>
      <c r="R58" s="206">
        <v>809.61199999999997</v>
      </c>
      <c r="S58" s="137"/>
      <c r="T58" s="138">
        <f>R58/3.413</f>
        <v>237.21418107237037</v>
      </c>
      <c r="U58" s="121"/>
      <c r="V58" s="121"/>
      <c r="Y58" s="122">
        <f>2000/F58</f>
        <v>1.0697132573763148</v>
      </c>
    </row>
    <row r="59" spans="1:25" ht="14.1" customHeight="1" outlineLevel="1" x14ac:dyDescent="0.25">
      <c r="A59" s="355"/>
      <c r="B59" s="328" t="s">
        <v>70</v>
      </c>
      <c r="C59" s="328"/>
      <c r="D59" s="328"/>
      <c r="E59" s="125"/>
      <c r="F59" s="329">
        <f>IFERROR(H58/(F56+F57),"")</f>
        <v>4.9978142801427898</v>
      </c>
      <c r="G59" s="329"/>
      <c r="H59" s="351"/>
      <c r="I59" s="123"/>
      <c r="J59" s="331">
        <f>IFERROR(L58/(J56+J57),"")</f>
        <v>3.4689779139581525</v>
      </c>
      <c r="K59" s="329"/>
      <c r="L59" s="330"/>
      <c r="M59" s="121"/>
      <c r="N59" s="331">
        <f>IFERROR(P58/(N56+N57),"")</f>
        <v>2.5608632306294159</v>
      </c>
      <c r="O59" s="329"/>
      <c r="P59" s="330"/>
      <c r="Q59" s="121"/>
      <c r="R59" s="392">
        <f>IFERROR(T58/(R56+R57),"")</f>
        <v>2.3463553652595017</v>
      </c>
      <c r="S59" s="329"/>
      <c r="T59" s="329"/>
      <c r="U59" s="121"/>
      <c r="V59" s="121"/>
      <c r="X59" s="122">
        <f>1500/J58</f>
        <v>1.2023311286473315</v>
      </c>
    </row>
    <row r="60" spans="1:25" ht="14.1" customHeight="1" outlineLevel="1" x14ac:dyDescent="0.25">
      <c r="A60" s="355"/>
      <c r="B60" s="328" t="s">
        <v>71</v>
      </c>
      <c r="C60" s="328"/>
      <c r="D60" s="328"/>
      <c r="E60" s="125"/>
      <c r="F60" s="329">
        <f>IFERROR(F54/(F56*3.413),"")</f>
        <v>4.5106220305220965</v>
      </c>
      <c r="G60" s="329"/>
      <c r="H60" s="351"/>
      <c r="I60" s="123"/>
      <c r="J60" s="331">
        <f>IFERROR(J54/(J56*3.413),"")</f>
        <v>2.8407595612990288</v>
      </c>
      <c r="K60" s="329"/>
      <c r="L60" s="330"/>
      <c r="M60" s="121"/>
      <c r="N60" s="331">
        <f>IFERROR(N54/(N56*3.413),"")</f>
        <v>1.9924613486212059</v>
      </c>
      <c r="O60" s="329"/>
      <c r="P60" s="330"/>
      <c r="Q60" s="121"/>
      <c r="R60" s="392">
        <f>IFERROR(R54/(R56*3.413),"")</f>
        <v>1.7861077217719423</v>
      </c>
      <c r="S60" s="329"/>
      <c r="T60" s="329"/>
      <c r="U60" s="121"/>
      <c r="V60" s="121"/>
    </row>
    <row r="61" spans="1:25" ht="14.1" customHeight="1" outlineLevel="1" x14ac:dyDescent="0.25">
      <c r="A61" s="355"/>
      <c r="B61" s="328" t="s">
        <v>87</v>
      </c>
      <c r="C61" s="328"/>
      <c r="D61" s="328"/>
      <c r="E61" s="125"/>
      <c r="F61" s="356"/>
      <c r="G61" s="356"/>
      <c r="H61" s="357"/>
      <c r="I61" s="123"/>
      <c r="J61" s="358"/>
      <c r="K61" s="356"/>
      <c r="L61" s="359"/>
      <c r="M61" s="121"/>
      <c r="N61" s="358"/>
      <c r="O61" s="356"/>
      <c r="P61" s="359"/>
      <c r="Q61" s="121"/>
      <c r="R61" s="393"/>
      <c r="S61" s="356"/>
      <c r="T61" s="356"/>
      <c r="U61" s="121"/>
      <c r="V61" s="121"/>
    </row>
    <row r="62" spans="1:25" ht="14.1" customHeight="1" outlineLevel="1" x14ac:dyDescent="0.25">
      <c r="A62" s="355"/>
      <c r="B62" s="328" t="s">
        <v>88</v>
      </c>
      <c r="C62" s="328"/>
      <c r="D62" s="328"/>
      <c r="E62" s="125"/>
      <c r="F62" s="139">
        <v>210.6</v>
      </c>
      <c r="G62" s="140"/>
      <c r="H62" s="201">
        <f>CONVERT(F62,"F","C")</f>
        <v>99.222222222222214</v>
      </c>
      <c r="I62" s="123"/>
      <c r="J62" s="196">
        <v>210.6</v>
      </c>
      <c r="K62" s="140"/>
      <c r="L62" s="190">
        <f>CONVERT(J62,"F","C")</f>
        <v>99.222222222222214</v>
      </c>
      <c r="M62" s="121"/>
      <c r="N62" s="196">
        <v>210.6</v>
      </c>
      <c r="O62" s="140"/>
      <c r="P62" s="190">
        <f>CONVERT(N62,"F","C")</f>
        <v>99.222222222222214</v>
      </c>
      <c r="Q62" s="121"/>
      <c r="R62" s="208">
        <v>210.6</v>
      </c>
      <c r="S62" s="140"/>
      <c r="T62" s="132">
        <f>CONVERT(R62,"F","C")</f>
        <v>99.222222222222214</v>
      </c>
      <c r="U62" s="121"/>
      <c r="V62" s="121"/>
    </row>
    <row r="63" spans="1:25" ht="14.1" customHeight="1" outlineLevel="1" x14ac:dyDescent="0.25">
      <c r="A63" s="355"/>
      <c r="B63" s="328" t="s">
        <v>89</v>
      </c>
      <c r="C63" s="328"/>
      <c r="D63" s="328"/>
      <c r="E63" s="125"/>
      <c r="F63" s="139">
        <f>F62-7</f>
        <v>203.6</v>
      </c>
      <c r="G63" s="140"/>
      <c r="H63" s="201">
        <f t="shared" ref="H63" si="15">CONVERT(F63,"F","C")</f>
        <v>95.333333333333329</v>
      </c>
      <c r="I63" s="123"/>
      <c r="J63" s="196">
        <f>J62-7</f>
        <v>203.6</v>
      </c>
      <c r="K63" s="140"/>
      <c r="L63" s="190">
        <f t="shared" ref="L63" si="16">CONVERT(J63,"F","C")</f>
        <v>95.333333333333329</v>
      </c>
      <c r="M63" s="121"/>
      <c r="N63" s="196">
        <f>N62-7</f>
        <v>203.6</v>
      </c>
      <c r="O63" s="140"/>
      <c r="P63" s="190">
        <f t="shared" ref="P63" si="17">CONVERT(N63,"F","C")</f>
        <v>95.333333333333329</v>
      </c>
      <c r="Q63" s="121"/>
      <c r="R63" s="208">
        <f>R62-7</f>
        <v>203.6</v>
      </c>
      <c r="S63" s="140"/>
      <c r="T63" s="132">
        <f t="shared" ref="T63" si="18">CONVERT(R63,"F","C")</f>
        <v>95.333333333333329</v>
      </c>
      <c r="U63" s="121"/>
      <c r="V63" s="121"/>
    </row>
    <row r="64" spans="1:25" ht="14.1" customHeight="1" outlineLevel="1" x14ac:dyDescent="0.25">
      <c r="A64" s="355"/>
      <c r="B64" s="328" t="s">
        <v>90</v>
      </c>
      <c r="C64" s="328"/>
      <c r="D64" s="328"/>
      <c r="E64" s="125"/>
      <c r="F64" s="139">
        <v>13</v>
      </c>
      <c r="G64" s="140"/>
      <c r="H64" s="204">
        <f>F64/1.8</f>
        <v>7.2222222222222223</v>
      </c>
      <c r="I64" s="123"/>
      <c r="J64" s="196">
        <v>13</v>
      </c>
      <c r="K64" s="140"/>
      <c r="L64" s="197">
        <f>J64/1.8</f>
        <v>7.2222222222222223</v>
      </c>
      <c r="M64" s="121"/>
      <c r="N64" s="196">
        <v>13</v>
      </c>
      <c r="O64" s="140"/>
      <c r="P64" s="197">
        <f>N64/1.8</f>
        <v>7.2222222222222223</v>
      </c>
      <c r="Q64" s="121"/>
      <c r="R64" s="208">
        <v>13</v>
      </c>
      <c r="S64" s="140"/>
      <c r="T64" s="144">
        <f>R64/1.8</f>
        <v>7.2222222222222223</v>
      </c>
      <c r="U64" s="121"/>
      <c r="V64" s="121"/>
    </row>
    <row r="65" spans="1:24" ht="13.5" customHeight="1" outlineLevel="1" x14ac:dyDescent="0.25">
      <c r="A65" s="355"/>
      <c r="B65" s="328" t="s">
        <v>91</v>
      </c>
      <c r="C65" s="328"/>
      <c r="D65" s="328"/>
      <c r="E65" s="125"/>
      <c r="F65" s="139">
        <v>7</v>
      </c>
      <c r="G65" s="140"/>
      <c r="H65" s="204">
        <f>F65/1.8</f>
        <v>3.8888888888888888</v>
      </c>
      <c r="I65" s="123"/>
      <c r="J65" s="196">
        <v>7</v>
      </c>
      <c r="K65" s="140"/>
      <c r="L65" s="197">
        <f>J65/1.8</f>
        <v>3.8888888888888888</v>
      </c>
      <c r="M65" s="121"/>
      <c r="N65" s="196">
        <v>7</v>
      </c>
      <c r="O65" s="140"/>
      <c r="P65" s="197">
        <f>N65/1.8</f>
        <v>3.8888888888888888</v>
      </c>
      <c r="Q65" s="121"/>
      <c r="R65" s="208">
        <v>7</v>
      </c>
      <c r="S65" s="140"/>
      <c r="T65" s="144">
        <f>R65/1.8</f>
        <v>3.8888888888888888</v>
      </c>
      <c r="U65" s="121"/>
      <c r="V65" s="121"/>
    </row>
    <row r="66" spans="1:24" ht="13.5" customHeight="1" outlineLevel="1" x14ac:dyDescent="0.25">
      <c r="A66" s="355"/>
      <c r="B66" s="328" t="s">
        <v>73</v>
      </c>
      <c r="C66" s="328"/>
      <c r="D66" s="328"/>
      <c r="E66" s="125"/>
      <c r="F66" s="131">
        <v>100</v>
      </c>
      <c r="G66" s="131">
        <v>50</v>
      </c>
      <c r="H66" s="201">
        <f t="shared" ref="H66:H67" si="19">CONVERT(F66,"F","C")</f>
        <v>37.777777777777779</v>
      </c>
      <c r="I66" s="123"/>
      <c r="J66" s="195">
        <v>100</v>
      </c>
      <c r="K66" s="131">
        <v>50</v>
      </c>
      <c r="L66" s="190">
        <f t="shared" ref="L66:L67" si="20">CONVERT(J66,"F","C")</f>
        <v>37.777777777777779</v>
      </c>
      <c r="M66" s="121"/>
      <c r="N66" s="195">
        <v>100</v>
      </c>
      <c r="O66" s="131">
        <v>50</v>
      </c>
      <c r="P66" s="190">
        <f t="shared" ref="P66:P67" si="21">CONVERT(N66,"F","C")</f>
        <v>37.777777777777779</v>
      </c>
      <c r="Q66" s="121"/>
      <c r="R66" s="205">
        <v>100</v>
      </c>
      <c r="S66" s="131">
        <v>50</v>
      </c>
      <c r="T66" s="132">
        <f t="shared" ref="T66:T67" si="22">CONVERT(R66,"F","C")</f>
        <v>37.777777777777779</v>
      </c>
      <c r="U66" s="121"/>
      <c r="V66" s="121"/>
      <c r="X66" s="122">
        <f>1130/N58</f>
        <v>1.2693391685491453</v>
      </c>
    </row>
    <row r="67" spans="1:24" ht="13.5" customHeight="1" outlineLevel="1" x14ac:dyDescent="0.25">
      <c r="A67" s="355"/>
      <c r="B67" s="328" t="s">
        <v>74</v>
      </c>
      <c r="C67" s="328"/>
      <c r="D67" s="328"/>
      <c r="E67" s="125"/>
      <c r="F67" s="131">
        <v>120</v>
      </c>
      <c r="G67" s="131">
        <v>140</v>
      </c>
      <c r="H67" s="201">
        <f t="shared" si="19"/>
        <v>48.888888888888886</v>
      </c>
      <c r="I67" s="123"/>
      <c r="J67" s="195">
        <v>120</v>
      </c>
      <c r="K67" s="131">
        <v>140</v>
      </c>
      <c r="L67" s="190">
        <f t="shared" si="20"/>
        <v>48.888888888888886</v>
      </c>
      <c r="M67" s="121"/>
      <c r="N67" s="195">
        <v>120</v>
      </c>
      <c r="O67" s="131">
        <v>140</v>
      </c>
      <c r="P67" s="190">
        <f t="shared" si="21"/>
        <v>48.888888888888886</v>
      </c>
      <c r="Q67" s="121"/>
      <c r="R67" s="205">
        <v>120</v>
      </c>
      <c r="S67" s="131">
        <v>140</v>
      </c>
      <c r="T67" s="132">
        <f t="shared" si="22"/>
        <v>48.888888888888886</v>
      </c>
      <c r="U67" s="121"/>
      <c r="V67" s="121"/>
    </row>
    <row r="68" spans="1:24" ht="13.5" customHeight="1" outlineLevel="1" x14ac:dyDescent="0.25">
      <c r="A68" s="355"/>
      <c r="B68" s="328" t="s">
        <v>75</v>
      </c>
      <c r="C68" s="328"/>
      <c r="D68" s="328"/>
      <c r="E68" s="125"/>
      <c r="F68" s="340">
        <v>201.7</v>
      </c>
      <c r="G68" s="340"/>
      <c r="H68" s="354"/>
      <c r="I68" s="123"/>
      <c r="J68" s="342">
        <v>134.6</v>
      </c>
      <c r="K68" s="340"/>
      <c r="L68" s="341"/>
      <c r="M68" s="121"/>
      <c r="N68" s="342">
        <v>96.04</v>
      </c>
      <c r="O68" s="340"/>
      <c r="P68" s="341"/>
      <c r="Q68" s="121"/>
      <c r="R68" s="394">
        <v>87.34</v>
      </c>
      <c r="S68" s="340"/>
      <c r="T68" s="340"/>
      <c r="U68" s="121"/>
      <c r="V68" s="121"/>
    </row>
    <row r="69" spans="1:24" ht="14.1" customHeight="1" outlineLevel="1" x14ac:dyDescent="0.25">
      <c r="A69" s="355"/>
      <c r="B69" s="328" t="s">
        <v>76</v>
      </c>
      <c r="C69" s="328"/>
      <c r="D69" s="328"/>
      <c r="E69" s="125"/>
      <c r="F69" s="343">
        <v>2.3740000000000001</v>
      </c>
      <c r="G69" s="343"/>
      <c r="H69" s="353"/>
      <c r="I69" s="121"/>
      <c r="J69" s="345">
        <v>1.107</v>
      </c>
      <c r="K69" s="343"/>
      <c r="L69" s="344"/>
      <c r="M69" s="121"/>
      <c r="N69" s="345">
        <v>0.5857</v>
      </c>
      <c r="O69" s="343"/>
      <c r="P69" s="344"/>
      <c r="Q69" s="121"/>
      <c r="R69" s="395">
        <v>0.48970000000000002</v>
      </c>
      <c r="S69" s="343"/>
      <c r="T69" s="343"/>
      <c r="U69" s="121"/>
      <c r="V69" s="121"/>
    </row>
    <row r="70" spans="1:24" ht="14.1" customHeight="1" outlineLevel="1" x14ac:dyDescent="0.25">
      <c r="A70" s="355"/>
      <c r="B70" s="328" t="s">
        <v>77</v>
      </c>
      <c r="C70" s="328"/>
      <c r="D70" s="328"/>
      <c r="E70" s="125"/>
      <c r="F70" s="131">
        <v>55</v>
      </c>
      <c r="G70" s="131">
        <v>50</v>
      </c>
      <c r="H70" s="132">
        <f t="shared" ref="H70:H71" si="23">CONVERT(F70,"F","C")</f>
        <v>12.777777777777777</v>
      </c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</row>
    <row r="71" spans="1:24" ht="14.1" customHeight="1" outlineLevel="1" x14ac:dyDescent="0.25">
      <c r="A71" s="355"/>
      <c r="B71" s="328" t="s">
        <v>78</v>
      </c>
      <c r="C71" s="328"/>
      <c r="D71" s="328"/>
      <c r="E71" s="125"/>
      <c r="F71" s="131">
        <v>45</v>
      </c>
      <c r="G71" s="131">
        <v>140</v>
      </c>
      <c r="H71" s="132">
        <f t="shared" si="23"/>
        <v>7.2222222222222223</v>
      </c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</row>
    <row r="72" spans="1:24" ht="14.1" customHeight="1" outlineLevel="1" x14ac:dyDescent="0.25">
      <c r="A72" s="355"/>
      <c r="B72" s="328" t="s">
        <v>79</v>
      </c>
      <c r="C72" s="328"/>
      <c r="D72" s="328"/>
      <c r="E72" s="125"/>
      <c r="F72" s="340">
        <v>56.15</v>
      </c>
      <c r="G72" s="340"/>
      <c r="H72" s="340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</row>
    <row r="73" spans="1:24" ht="1.1499999999999999" customHeight="1" outlineLevel="1" x14ac:dyDescent="0.25">
      <c r="A73" s="355"/>
      <c r="B73" s="328" t="s">
        <v>80</v>
      </c>
      <c r="C73" s="328"/>
      <c r="D73" s="328"/>
      <c r="E73" s="125"/>
      <c r="F73" s="343">
        <v>0.32</v>
      </c>
      <c r="G73" s="343"/>
      <c r="H73" s="343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</row>
    <row r="74" spans="1:24" ht="14.1" customHeight="1" outlineLevel="1" x14ac:dyDescent="0.25">
      <c r="A74" s="175"/>
      <c r="B74" s="165"/>
      <c r="C74" s="165"/>
      <c r="D74" s="165"/>
      <c r="E74" s="125"/>
      <c r="F74" s="171"/>
      <c r="G74" s="171"/>
      <c r="H74" s="171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</row>
    <row r="75" spans="1:24" ht="14.1" customHeight="1" outlineLevel="1" x14ac:dyDescent="0.25">
      <c r="A75" s="324" t="s">
        <v>92</v>
      </c>
      <c r="B75" s="324"/>
      <c r="C75" s="324"/>
      <c r="D75" s="324"/>
      <c r="E75" s="324"/>
      <c r="F75" s="324"/>
      <c r="G75" s="324"/>
      <c r="H75" s="324"/>
      <c r="I75" s="324"/>
      <c r="J75" s="324"/>
      <c r="K75" s="324"/>
      <c r="L75" s="324"/>
      <c r="M75" s="324"/>
      <c r="N75" s="324"/>
      <c r="O75" s="324"/>
      <c r="P75" s="324"/>
      <c r="Q75" s="324"/>
      <c r="R75" s="324"/>
      <c r="S75" s="324"/>
      <c r="T75" s="324"/>
      <c r="U75" s="324"/>
      <c r="V75" s="324"/>
    </row>
    <row r="76" spans="1:24" ht="14.1" customHeight="1" outlineLevel="1" x14ac:dyDescent="0.25">
      <c r="A76" s="355" t="s">
        <v>93</v>
      </c>
      <c r="B76" s="328" t="s">
        <v>61</v>
      </c>
      <c r="C76" s="328"/>
      <c r="D76" s="328"/>
      <c r="E76" s="125"/>
      <c r="F76" s="131">
        <v>41</v>
      </c>
      <c r="G76" s="131">
        <v>50</v>
      </c>
      <c r="H76" s="132">
        <f t="shared" ref="H76:H77" si="24">CONVERT(F76,"F","C")</f>
        <v>5</v>
      </c>
      <c r="I76" s="123"/>
      <c r="J76" s="123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</row>
    <row r="77" spans="1:24" ht="14.1" customHeight="1" outlineLevel="1" x14ac:dyDescent="0.25">
      <c r="A77" s="355"/>
      <c r="B77" s="328" t="s">
        <v>62</v>
      </c>
      <c r="C77" s="328"/>
      <c r="D77" s="328"/>
      <c r="E77" s="125"/>
      <c r="F77" s="131">
        <v>115</v>
      </c>
      <c r="G77" s="131">
        <v>140</v>
      </c>
      <c r="H77" s="132">
        <f t="shared" si="24"/>
        <v>46.111111111111107</v>
      </c>
      <c r="I77" s="123"/>
      <c r="J77" s="123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</row>
    <row r="78" spans="1:24" ht="14.1" customHeight="1" outlineLevel="1" x14ac:dyDescent="0.25">
      <c r="A78" s="355"/>
      <c r="B78" s="328" t="s">
        <v>64</v>
      </c>
      <c r="C78" s="328"/>
      <c r="D78" s="328"/>
      <c r="E78" s="125"/>
      <c r="F78" s="133">
        <f>2*12*11.72</f>
        <v>281.28000000000003</v>
      </c>
      <c r="G78" s="134"/>
      <c r="H78" s="135">
        <f>F78/12</f>
        <v>23.44</v>
      </c>
      <c r="I78" s="123"/>
      <c r="J78" s="123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</row>
    <row r="79" spans="1:24" ht="14.1" customHeight="1" outlineLevel="1" x14ac:dyDescent="0.25">
      <c r="A79" s="355"/>
      <c r="B79" s="328" t="s">
        <v>65</v>
      </c>
      <c r="C79" s="328"/>
      <c r="D79" s="328"/>
      <c r="E79" s="125"/>
      <c r="F79" s="136">
        <f>F78</f>
        <v>281.28000000000003</v>
      </c>
      <c r="G79" s="134"/>
      <c r="H79" s="135">
        <f>F79/12</f>
        <v>23.44</v>
      </c>
      <c r="I79" s="123"/>
      <c r="J79" s="123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</row>
    <row r="80" spans="1:24" ht="14.1" customHeight="1" outlineLevel="1" x14ac:dyDescent="0.25">
      <c r="A80" s="355"/>
      <c r="B80" s="328" t="s">
        <v>67</v>
      </c>
      <c r="C80" s="328"/>
      <c r="D80" s="328"/>
      <c r="E80" s="125"/>
      <c r="F80" s="326">
        <f>2*32.32</f>
        <v>64.64</v>
      </c>
      <c r="G80" s="326"/>
      <c r="H80" s="326"/>
      <c r="I80" s="123"/>
      <c r="J80" s="123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</row>
    <row r="81" spans="1:22" ht="14.1" customHeight="1" outlineLevel="1" x14ac:dyDescent="0.25">
      <c r="A81" s="355"/>
      <c r="B81" s="328" t="s">
        <v>68</v>
      </c>
      <c r="C81" s="328"/>
      <c r="D81" s="328"/>
      <c r="E81" s="125"/>
      <c r="F81" s="326">
        <f>$F$35</f>
        <v>10.199999999999999</v>
      </c>
      <c r="G81" s="326"/>
      <c r="H81" s="326"/>
      <c r="I81" s="123"/>
      <c r="J81" s="123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</row>
    <row r="82" spans="1:22" ht="14.1" customHeight="1" outlineLevel="1" x14ac:dyDescent="0.25">
      <c r="A82" s="355"/>
      <c r="B82" s="328" t="s">
        <v>69</v>
      </c>
      <c r="C82" s="328"/>
      <c r="D82" s="328"/>
      <c r="E82" s="125"/>
      <c r="F82" s="133">
        <f>H82*3.413</f>
        <v>501.89632000000006</v>
      </c>
      <c r="G82" s="137"/>
      <c r="H82" s="138">
        <f>IF(F78+3.413*F80=0,"",(F78+3.413*F80)/3.413)</f>
        <v>147.05429827131559</v>
      </c>
      <c r="I82" s="123"/>
      <c r="J82" s="123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</row>
    <row r="83" spans="1:22" ht="14.1" customHeight="1" outlineLevel="1" x14ac:dyDescent="0.25">
      <c r="A83" s="355"/>
      <c r="B83" s="328" t="s">
        <v>70</v>
      </c>
      <c r="C83" s="328"/>
      <c r="D83" s="328"/>
      <c r="E83" s="125"/>
      <c r="F83" s="329">
        <f>IFERROR(H82/(F80+F81),"")</f>
        <v>1.9649157973184872</v>
      </c>
      <c r="G83" s="329"/>
      <c r="H83" s="329"/>
      <c r="I83" s="123"/>
      <c r="J83" s="123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</row>
    <row r="84" spans="1:22" ht="14.1" customHeight="1" outlineLevel="1" x14ac:dyDescent="0.25">
      <c r="A84" s="355"/>
      <c r="B84" s="328" t="s">
        <v>71</v>
      </c>
      <c r="C84" s="328"/>
      <c r="D84" s="328"/>
      <c r="E84" s="125"/>
      <c r="F84" s="329">
        <f>IFERROR(F78/(F80*3.413),"")</f>
        <v>1.2749736737517878</v>
      </c>
      <c r="G84" s="329"/>
      <c r="H84" s="329"/>
      <c r="I84" s="123"/>
      <c r="J84" s="123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</row>
    <row r="85" spans="1:22" ht="14.1" customHeight="1" outlineLevel="1" x14ac:dyDescent="0.25">
      <c r="A85" s="355"/>
      <c r="B85" s="328" t="s">
        <v>87</v>
      </c>
      <c r="C85" s="328"/>
      <c r="D85" s="328"/>
      <c r="E85" s="125"/>
      <c r="F85" s="356"/>
      <c r="G85" s="356"/>
      <c r="H85" s="356"/>
      <c r="I85" s="123"/>
      <c r="J85" s="123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</row>
    <row r="86" spans="1:22" ht="14.1" customHeight="1" outlineLevel="1" x14ac:dyDescent="0.25">
      <c r="A86" s="355"/>
      <c r="B86" s="328" t="s">
        <v>88</v>
      </c>
      <c r="C86" s="328"/>
      <c r="D86" s="328"/>
      <c r="E86" s="125"/>
      <c r="F86" s="139">
        <v>210.6</v>
      </c>
      <c r="G86" s="140"/>
      <c r="H86" s="132">
        <f>CONVERT(F86,"F","C")</f>
        <v>99.222222222222214</v>
      </c>
      <c r="I86" s="123"/>
      <c r="J86" s="123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</row>
    <row r="87" spans="1:22" ht="14.1" customHeight="1" outlineLevel="1" x14ac:dyDescent="0.25">
      <c r="A87" s="355"/>
      <c r="B87" s="328" t="s">
        <v>89</v>
      </c>
      <c r="C87" s="328"/>
      <c r="D87" s="328"/>
      <c r="E87" s="125"/>
      <c r="F87" s="139">
        <f>F86-7</f>
        <v>203.6</v>
      </c>
      <c r="G87" s="140"/>
      <c r="H87" s="132">
        <f t="shared" ref="H87" si="25">CONVERT(F87,"F","C")</f>
        <v>95.333333333333329</v>
      </c>
      <c r="I87" s="123"/>
      <c r="J87" s="123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</row>
    <row r="88" spans="1:22" ht="14.1" customHeight="1" outlineLevel="1" x14ac:dyDescent="0.25">
      <c r="A88" s="355"/>
      <c r="B88" s="328" t="s">
        <v>90</v>
      </c>
      <c r="C88" s="328"/>
      <c r="D88" s="328"/>
      <c r="E88" s="125"/>
      <c r="F88" s="139">
        <v>13</v>
      </c>
      <c r="G88" s="140"/>
      <c r="H88" s="144">
        <f>F88/1.8</f>
        <v>7.2222222222222223</v>
      </c>
      <c r="I88" s="123"/>
      <c r="J88" s="123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</row>
    <row r="89" spans="1:22" ht="14.1" customHeight="1" outlineLevel="1" x14ac:dyDescent="0.25">
      <c r="A89" s="355"/>
      <c r="B89" s="328" t="s">
        <v>91</v>
      </c>
      <c r="C89" s="328"/>
      <c r="D89" s="328"/>
      <c r="E89" s="125"/>
      <c r="F89" s="139">
        <v>7</v>
      </c>
      <c r="G89" s="140"/>
      <c r="H89" s="144">
        <f>F89/1.8</f>
        <v>3.8888888888888888</v>
      </c>
      <c r="I89" s="123"/>
      <c r="J89" s="123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</row>
    <row r="90" spans="1:22" ht="14.1" customHeight="1" outlineLevel="1" x14ac:dyDescent="0.25">
      <c r="A90" s="355"/>
      <c r="B90" s="328" t="s">
        <v>73</v>
      </c>
      <c r="C90" s="328"/>
      <c r="D90" s="328"/>
      <c r="E90" s="125"/>
      <c r="F90" s="131">
        <v>156</v>
      </c>
      <c r="G90" s="131">
        <v>50</v>
      </c>
      <c r="H90" s="132">
        <f t="shared" ref="H90:H91" si="26">CONVERT(F90,"F","C")</f>
        <v>68.888888888888886</v>
      </c>
      <c r="I90" s="123"/>
      <c r="J90" s="123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</row>
    <row r="91" spans="1:22" ht="14.1" hidden="1" customHeight="1" x14ac:dyDescent="0.25">
      <c r="A91" s="355"/>
      <c r="B91" s="328" t="s">
        <v>74</v>
      </c>
      <c r="C91" s="328"/>
      <c r="D91" s="328"/>
      <c r="E91" s="125"/>
      <c r="F91" s="131">
        <v>176</v>
      </c>
      <c r="G91" s="131">
        <v>140</v>
      </c>
      <c r="H91" s="132">
        <f t="shared" si="26"/>
        <v>80</v>
      </c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</row>
    <row r="92" spans="1:22" ht="14.1" hidden="1" customHeight="1" x14ac:dyDescent="0.25">
      <c r="A92" s="355"/>
      <c r="B92" s="328" t="s">
        <v>75</v>
      </c>
      <c r="C92" s="328"/>
      <c r="D92" s="328"/>
      <c r="E92" s="125"/>
      <c r="F92" s="340">
        <v>50.08</v>
      </c>
      <c r="G92" s="340"/>
      <c r="H92" s="340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</row>
    <row r="93" spans="1:22" ht="14.1" hidden="1" customHeight="1" x14ac:dyDescent="0.25">
      <c r="A93" s="355"/>
      <c r="B93" s="328" t="s">
        <v>76</v>
      </c>
      <c r="C93" s="328"/>
      <c r="D93" s="328"/>
      <c r="E93" s="125"/>
      <c r="F93" s="343">
        <v>0.186</v>
      </c>
      <c r="G93" s="343"/>
      <c r="H93" s="343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</row>
    <row r="94" spans="1:22" ht="14.1" hidden="1" customHeight="1" x14ac:dyDescent="0.25">
      <c r="A94" s="355"/>
      <c r="B94" s="328" t="s">
        <v>77</v>
      </c>
      <c r="C94" s="328"/>
      <c r="D94" s="328"/>
      <c r="E94" s="125"/>
      <c r="F94" s="131">
        <v>55</v>
      </c>
      <c r="G94" s="131">
        <v>50</v>
      </c>
      <c r="H94" s="132">
        <f t="shared" ref="H94:H95" si="27">CONVERT(F94,"F","C")</f>
        <v>12.777777777777777</v>
      </c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</row>
    <row r="95" spans="1:22" ht="14.1" customHeight="1" outlineLevel="2" x14ac:dyDescent="0.25">
      <c r="A95" s="355"/>
      <c r="B95" s="328" t="s">
        <v>78</v>
      </c>
      <c r="C95" s="328"/>
      <c r="D95" s="328"/>
      <c r="E95" s="125"/>
      <c r="F95" s="131">
        <v>45</v>
      </c>
      <c r="G95" s="131">
        <v>140</v>
      </c>
      <c r="H95" s="132">
        <f t="shared" si="27"/>
        <v>7.2222222222222223</v>
      </c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</row>
    <row r="96" spans="1:22" ht="14.1" customHeight="1" outlineLevel="2" x14ac:dyDescent="0.25">
      <c r="A96" s="355"/>
      <c r="B96" s="328" t="s">
        <v>79</v>
      </c>
      <c r="C96" s="328"/>
      <c r="D96" s="328"/>
      <c r="E96" s="125"/>
      <c r="F96" s="340">
        <v>56.15</v>
      </c>
      <c r="G96" s="340"/>
      <c r="H96" s="340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</row>
    <row r="97" spans="1:22" ht="14.1" customHeight="1" outlineLevel="2" x14ac:dyDescent="0.25">
      <c r="A97" s="355"/>
      <c r="B97" s="328" t="s">
        <v>80</v>
      </c>
      <c r="C97" s="328"/>
      <c r="D97" s="328"/>
      <c r="E97" s="125"/>
      <c r="F97" s="343">
        <v>0.32</v>
      </c>
      <c r="G97" s="343"/>
      <c r="H97" s="343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</row>
    <row r="98" spans="1:22" ht="14.1" customHeight="1" outlineLevel="2" x14ac:dyDescent="0.25">
      <c r="A98" s="175"/>
      <c r="B98" s="165"/>
      <c r="C98" s="165"/>
      <c r="D98" s="165"/>
      <c r="E98" s="125"/>
      <c r="F98" s="171"/>
      <c r="G98" s="171"/>
      <c r="H98" s="17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</row>
    <row r="99" spans="1:22" ht="14.1" customHeight="1" outlineLevel="2" x14ac:dyDescent="0.25">
      <c r="A99" s="324" t="s">
        <v>94</v>
      </c>
      <c r="B99" s="324"/>
      <c r="C99" s="324"/>
      <c r="D99" s="324"/>
      <c r="E99" s="324"/>
      <c r="F99" s="324"/>
      <c r="G99" s="324"/>
      <c r="H99" s="324"/>
      <c r="I99" s="324"/>
      <c r="J99" s="324"/>
      <c r="K99" s="324"/>
      <c r="L99" s="324"/>
      <c r="M99" s="324"/>
      <c r="N99" s="324"/>
      <c r="O99" s="324"/>
      <c r="P99" s="324"/>
      <c r="Q99" s="324"/>
      <c r="R99" s="324"/>
      <c r="S99" s="324"/>
      <c r="T99" s="324"/>
      <c r="U99" s="324"/>
      <c r="V99" s="324"/>
    </row>
    <row r="100" spans="1:22" ht="14.1" customHeight="1" outlineLevel="2" x14ac:dyDescent="0.25">
      <c r="A100" s="180"/>
      <c r="B100" s="180"/>
      <c r="C100" s="180"/>
      <c r="D100" s="180"/>
      <c r="E100" s="180"/>
      <c r="F100" s="335"/>
      <c r="G100" s="335"/>
      <c r="H100" s="335"/>
      <c r="I100" s="180"/>
      <c r="J100" s="180"/>
      <c r="K100" s="335"/>
      <c r="L100" s="335"/>
      <c r="M100" s="335"/>
      <c r="N100" s="180"/>
      <c r="O100" s="180"/>
      <c r="P100" s="180"/>
      <c r="Q100" s="180"/>
      <c r="R100" s="180"/>
      <c r="S100" s="180"/>
      <c r="T100" s="180"/>
      <c r="U100" s="180"/>
      <c r="V100" s="180"/>
    </row>
    <row r="101" spans="1:22" ht="14.1" customHeight="1" outlineLevel="2" x14ac:dyDescent="0.25">
      <c r="A101" s="355" t="s">
        <v>95</v>
      </c>
      <c r="B101" s="328" t="s">
        <v>61</v>
      </c>
      <c r="C101" s="328"/>
      <c r="D101" s="328"/>
      <c r="E101" s="125"/>
      <c r="F101" s="131">
        <v>41</v>
      </c>
      <c r="G101" s="131">
        <v>50</v>
      </c>
      <c r="H101" s="132">
        <f t="shared" ref="H101:H102" si="28">CONVERT(F101,"F","C")</f>
        <v>5</v>
      </c>
      <c r="I101" s="123"/>
      <c r="J101" s="123"/>
      <c r="K101" s="131">
        <v>41</v>
      </c>
      <c r="L101" s="131">
        <v>50</v>
      </c>
      <c r="M101" s="132">
        <f t="shared" ref="M101:M102" si="29">CONVERT(K101,"F","C")</f>
        <v>5</v>
      </c>
      <c r="N101" s="121"/>
      <c r="O101" s="121"/>
      <c r="P101" s="121"/>
      <c r="Q101" s="121"/>
      <c r="R101" s="121"/>
      <c r="S101" s="121"/>
      <c r="T101" s="121"/>
      <c r="U101" s="121"/>
      <c r="V101" s="121"/>
    </row>
    <row r="102" spans="1:22" ht="14.1" customHeight="1" outlineLevel="2" x14ac:dyDescent="0.25">
      <c r="A102" s="355"/>
      <c r="B102" s="328" t="s">
        <v>62</v>
      </c>
      <c r="C102" s="328"/>
      <c r="D102" s="328"/>
      <c r="E102" s="125"/>
      <c r="F102" s="131">
        <v>115</v>
      </c>
      <c r="G102" s="131">
        <v>140</v>
      </c>
      <c r="H102" s="132">
        <f t="shared" si="28"/>
        <v>46.111111111111107</v>
      </c>
      <c r="I102" s="123"/>
      <c r="J102" s="123"/>
      <c r="K102" s="131">
        <v>115</v>
      </c>
      <c r="L102" s="131">
        <v>140</v>
      </c>
      <c r="M102" s="132">
        <f t="shared" si="29"/>
        <v>46.111111111111107</v>
      </c>
      <c r="N102" s="121"/>
      <c r="O102" s="121"/>
      <c r="P102" s="121"/>
      <c r="Q102" s="121"/>
      <c r="R102" s="121"/>
      <c r="S102" s="121"/>
      <c r="T102" s="121"/>
      <c r="U102" s="121"/>
      <c r="V102" s="121"/>
    </row>
    <row r="103" spans="1:22" ht="14.1" customHeight="1" outlineLevel="2" x14ac:dyDescent="0.25">
      <c r="A103" s="355"/>
      <c r="B103" s="328" t="s">
        <v>64</v>
      </c>
      <c r="C103" s="328"/>
      <c r="D103" s="328"/>
      <c r="E103" s="125"/>
      <c r="F103" s="133">
        <f>2*12*11.72</f>
        <v>281.28000000000003</v>
      </c>
      <c r="G103" s="134"/>
      <c r="H103" s="135">
        <f>F103/12</f>
        <v>23.44</v>
      </c>
      <c r="I103" s="123"/>
      <c r="J103" s="123"/>
      <c r="K103" s="133">
        <f>2*12*11.72</f>
        <v>281.28000000000003</v>
      </c>
      <c r="L103" s="134"/>
      <c r="M103" s="135">
        <f>K103/12</f>
        <v>23.44</v>
      </c>
      <c r="N103" s="121"/>
      <c r="O103" s="121"/>
      <c r="P103" s="121"/>
      <c r="Q103" s="121"/>
      <c r="R103" s="121"/>
      <c r="S103" s="121"/>
      <c r="T103" s="121"/>
      <c r="U103" s="121"/>
      <c r="V103" s="121"/>
    </row>
    <row r="104" spans="1:22" ht="14.1" customHeight="1" outlineLevel="2" x14ac:dyDescent="0.25">
      <c r="A104" s="355"/>
      <c r="B104" s="328" t="s">
        <v>65</v>
      </c>
      <c r="C104" s="328"/>
      <c r="D104" s="328"/>
      <c r="E104" s="125"/>
      <c r="F104" s="136">
        <f>F103</f>
        <v>281.28000000000003</v>
      </c>
      <c r="G104" s="134"/>
      <c r="H104" s="135">
        <f>F104/12</f>
        <v>23.44</v>
      </c>
      <c r="I104" s="123"/>
      <c r="J104" s="123"/>
      <c r="K104" s="136">
        <f>K103</f>
        <v>281.28000000000003</v>
      </c>
      <c r="L104" s="134"/>
      <c r="M104" s="135">
        <f>K104/12</f>
        <v>23.44</v>
      </c>
      <c r="N104" s="121"/>
      <c r="O104" s="121"/>
      <c r="P104" s="121"/>
      <c r="Q104" s="121"/>
      <c r="R104" s="121"/>
      <c r="S104" s="121"/>
      <c r="T104" s="121"/>
      <c r="U104" s="121"/>
      <c r="V104" s="121"/>
    </row>
    <row r="105" spans="1:22" ht="14.1" customHeight="1" outlineLevel="2" x14ac:dyDescent="0.25">
      <c r="A105" s="355"/>
      <c r="B105" s="328" t="s">
        <v>67</v>
      </c>
      <c r="C105" s="328"/>
      <c r="D105" s="328"/>
      <c r="E105" s="125"/>
      <c r="F105" s="326">
        <f>2*32.32</f>
        <v>64.64</v>
      </c>
      <c r="G105" s="326"/>
      <c r="H105" s="326"/>
      <c r="I105" s="123"/>
      <c r="J105" s="123"/>
      <c r="K105" s="326">
        <f>2*32.32</f>
        <v>64.64</v>
      </c>
      <c r="L105" s="326"/>
      <c r="M105" s="326"/>
      <c r="N105" s="121"/>
      <c r="O105" s="121"/>
      <c r="P105" s="121"/>
      <c r="Q105" s="121"/>
      <c r="R105" s="121"/>
      <c r="S105" s="121"/>
      <c r="T105" s="121"/>
      <c r="U105" s="121"/>
      <c r="V105" s="121"/>
    </row>
    <row r="106" spans="1:22" ht="14.1" customHeight="1" outlineLevel="2" x14ac:dyDescent="0.25">
      <c r="A106" s="355"/>
      <c r="B106" s="328" t="s">
        <v>68</v>
      </c>
      <c r="C106" s="328"/>
      <c r="D106" s="328"/>
      <c r="E106" s="125"/>
      <c r="F106" s="326">
        <f>$F$35</f>
        <v>10.199999999999999</v>
      </c>
      <c r="G106" s="326"/>
      <c r="H106" s="326"/>
      <c r="I106" s="123"/>
      <c r="J106" s="123"/>
      <c r="K106" s="326">
        <f>$F$35</f>
        <v>10.199999999999999</v>
      </c>
      <c r="L106" s="326"/>
      <c r="M106" s="326"/>
      <c r="N106" s="121"/>
      <c r="O106" s="121"/>
      <c r="P106" s="121"/>
      <c r="Q106" s="121"/>
      <c r="R106" s="121"/>
      <c r="S106" s="121"/>
      <c r="T106" s="121"/>
      <c r="U106" s="121"/>
      <c r="V106" s="121"/>
    </row>
    <row r="107" spans="1:22" ht="14.1" customHeight="1" outlineLevel="2" x14ac:dyDescent="0.25">
      <c r="A107" s="355"/>
      <c r="B107" s="328" t="s">
        <v>69</v>
      </c>
      <c r="C107" s="328"/>
      <c r="D107" s="328"/>
      <c r="E107" s="125"/>
      <c r="F107" s="133">
        <f>H107*3.413</f>
        <v>501.89632000000006</v>
      </c>
      <c r="G107" s="137"/>
      <c r="H107" s="138">
        <f>IF(F103+3.413*F105=0,"",(F103+3.413*F105)/3.413)</f>
        <v>147.05429827131559</v>
      </c>
      <c r="I107" s="123"/>
      <c r="J107" s="123"/>
      <c r="K107" s="133">
        <f>M107*3.413</f>
        <v>501.89632000000006</v>
      </c>
      <c r="L107" s="137"/>
      <c r="M107" s="138">
        <f>IF(K103+3.413*K105=0,"",(K103+3.413*K105)/3.413)</f>
        <v>147.05429827131559</v>
      </c>
      <c r="N107" s="121"/>
      <c r="O107" s="121"/>
      <c r="P107" s="121"/>
      <c r="Q107" s="121"/>
      <c r="R107" s="121"/>
      <c r="S107" s="121"/>
      <c r="T107" s="121"/>
      <c r="U107" s="121"/>
      <c r="V107" s="121"/>
    </row>
    <row r="108" spans="1:22" ht="14.1" customHeight="1" outlineLevel="2" x14ac:dyDescent="0.25">
      <c r="A108" s="355"/>
      <c r="B108" s="328" t="s">
        <v>70</v>
      </c>
      <c r="C108" s="328"/>
      <c r="D108" s="328"/>
      <c r="E108" s="125"/>
      <c r="F108" s="329">
        <f>IFERROR(H107/(F105+F106),"")</f>
        <v>1.9649157973184872</v>
      </c>
      <c r="G108" s="329"/>
      <c r="H108" s="329"/>
      <c r="I108" s="123"/>
      <c r="J108" s="123"/>
      <c r="K108" s="329">
        <f>IFERROR(M107/(K105+K106),"")</f>
        <v>1.9649157973184872</v>
      </c>
      <c r="L108" s="329"/>
      <c r="M108" s="329"/>
      <c r="N108" s="121"/>
      <c r="O108" s="121"/>
      <c r="P108" s="121"/>
      <c r="Q108" s="121"/>
      <c r="R108" s="121"/>
      <c r="S108" s="121"/>
      <c r="T108" s="121"/>
      <c r="U108" s="121"/>
      <c r="V108" s="121"/>
    </row>
    <row r="109" spans="1:22" ht="14.1" customHeight="1" outlineLevel="2" x14ac:dyDescent="0.25">
      <c r="A109" s="355"/>
      <c r="B109" s="328" t="s">
        <v>71</v>
      </c>
      <c r="C109" s="328"/>
      <c r="D109" s="328"/>
      <c r="E109" s="125"/>
      <c r="F109" s="329">
        <f>IFERROR(F103/(F105*3.413),"")</f>
        <v>1.2749736737517878</v>
      </c>
      <c r="G109" s="329"/>
      <c r="H109" s="329"/>
      <c r="I109" s="123"/>
      <c r="J109" s="123"/>
      <c r="K109" s="329">
        <f>IFERROR(K103/(K105*3.413),"")</f>
        <v>1.2749736737517878</v>
      </c>
      <c r="L109" s="329"/>
      <c r="M109" s="329"/>
      <c r="N109" s="121"/>
      <c r="O109" s="121"/>
      <c r="P109" s="121"/>
      <c r="Q109" s="121"/>
      <c r="R109" s="121"/>
      <c r="S109" s="121"/>
      <c r="T109" s="121"/>
      <c r="U109" s="121"/>
      <c r="V109" s="121"/>
    </row>
    <row r="110" spans="1:22" ht="14.1" customHeight="1" outlineLevel="2" x14ac:dyDescent="0.25">
      <c r="A110" s="355"/>
      <c r="B110" s="328" t="s">
        <v>87</v>
      </c>
      <c r="C110" s="328"/>
      <c r="D110" s="328"/>
      <c r="E110" s="125"/>
      <c r="F110" s="356"/>
      <c r="G110" s="356"/>
      <c r="H110" s="356"/>
      <c r="I110" s="123"/>
      <c r="J110" s="123"/>
      <c r="K110" s="356"/>
      <c r="L110" s="356"/>
      <c r="M110" s="356"/>
      <c r="N110" s="121"/>
      <c r="O110" s="121"/>
      <c r="P110" s="121"/>
      <c r="Q110" s="121"/>
      <c r="R110" s="121"/>
      <c r="S110" s="121"/>
      <c r="T110" s="121"/>
      <c r="U110" s="121"/>
      <c r="V110" s="121"/>
    </row>
    <row r="111" spans="1:22" ht="14.1" customHeight="1" outlineLevel="2" x14ac:dyDescent="0.25">
      <c r="A111" s="355"/>
      <c r="B111" s="328" t="s">
        <v>88</v>
      </c>
      <c r="C111" s="328"/>
      <c r="D111" s="328"/>
      <c r="E111" s="125"/>
      <c r="F111" s="139">
        <v>210.6</v>
      </c>
      <c r="G111" s="140"/>
      <c r="H111" s="132">
        <f>CONVERT(F111,"F","C")</f>
        <v>99.222222222222214</v>
      </c>
      <c r="I111" s="123"/>
      <c r="J111" s="123"/>
      <c r="K111" s="139">
        <v>210.6</v>
      </c>
      <c r="L111" s="140"/>
      <c r="M111" s="132">
        <f>CONVERT(K111,"F","C")</f>
        <v>99.222222222222214</v>
      </c>
      <c r="N111" s="121"/>
      <c r="O111" s="121"/>
      <c r="P111" s="121"/>
      <c r="Q111" s="121"/>
      <c r="R111" s="121"/>
      <c r="S111" s="121"/>
      <c r="T111" s="121"/>
      <c r="U111" s="121"/>
      <c r="V111" s="121"/>
    </row>
    <row r="112" spans="1:22" ht="14.1" customHeight="1" outlineLevel="2" x14ac:dyDescent="0.25">
      <c r="A112" s="355"/>
      <c r="B112" s="328" t="s">
        <v>89</v>
      </c>
      <c r="C112" s="328"/>
      <c r="D112" s="328"/>
      <c r="E112" s="125"/>
      <c r="F112" s="139">
        <f>F111-7</f>
        <v>203.6</v>
      </c>
      <c r="G112" s="140"/>
      <c r="H112" s="132">
        <f t="shared" ref="H112" si="30">CONVERT(F112,"F","C")</f>
        <v>95.333333333333329</v>
      </c>
      <c r="I112" s="123"/>
      <c r="J112" s="123"/>
      <c r="K112" s="139">
        <f>K111-7</f>
        <v>203.6</v>
      </c>
      <c r="L112" s="140"/>
      <c r="M112" s="132">
        <f t="shared" ref="M112" si="31">CONVERT(K112,"F","C")</f>
        <v>95.333333333333329</v>
      </c>
      <c r="N112" s="121"/>
      <c r="O112" s="121"/>
      <c r="P112" s="121"/>
      <c r="Q112" s="121"/>
      <c r="R112" s="121"/>
      <c r="S112" s="121"/>
      <c r="T112" s="121"/>
      <c r="U112" s="121"/>
      <c r="V112" s="121"/>
    </row>
    <row r="113" spans="1:22" ht="14.1" customHeight="1" outlineLevel="2" x14ac:dyDescent="0.25">
      <c r="A113" s="355"/>
      <c r="B113" s="328" t="s">
        <v>90</v>
      </c>
      <c r="C113" s="328"/>
      <c r="D113" s="328"/>
      <c r="E113" s="125"/>
      <c r="F113" s="139">
        <v>13</v>
      </c>
      <c r="G113" s="140"/>
      <c r="H113" s="144">
        <f>F113/1.8</f>
        <v>7.2222222222222223</v>
      </c>
      <c r="I113" s="123"/>
      <c r="J113" s="123"/>
      <c r="K113" s="139">
        <v>13</v>
      </c>
      <c r="L113" s="140"/>
      <c r="M113" s="144">
        <f>K113/1.8</f>
        <v>7.2222222222222223</v>
      </c>
      <c r="N113" s="121"/>
      <c r="O113" s="121"/>
      <c r="P113" s="121"/>
      <c r="Q113" s="121"/>
      <c r="R113" s="121"/>
      <c r="S113" s="121"/>
      <c r="T113" s="121"/>
      <c r="U113" s="121"/>
      <c r="V113" s="121"/>
    </row>
    <row r="114" spans="1:22" ht="14.1" customHeight="1" outlineLevel="2" x14ac:dyDescent="0.25">
      <c r="A114" s="355"/>
      <c r="B114" s="328" t="s">
        <v>91</v>
      </c>
      <c r="C114" s="328"/>
      <c r="D114" s="328"/>
      <c r="E114" s="125"/>
      <c r="F114" s="139">
        <v>7</v>
      </c>
      <c r="G114" s="140"/>
      <c r="H114" s="144">
        <f>F114/1.8</f>
        <v>3.8888888888888888</v>
      </c>
      <c r="I114" s="123"/>
      <c r="J114" s="123"/>
      <c r="K114" s="139">
        <v>7</v>
      </c>
      <c r="L114" s="140"/>
      <c r="M114" s="144">
        <f>K114/1.8</f>
        <v>3.8888888888888888</v>
      </c>
      <c r="N114" s="121"/>
      <c r="O114" s="121"/>
      <c r="P114" s="121"/>
      <c r="Q114" s="121"/>
      <c r="R114" s="121"/>
      <c r="S114" s="121"/>
      <c r="T114" s="121"/>
      <c r="U114" s="121"/>
      <c r="V114" s="121"/>
    </row>
    <row r="115" spans="1:22" ht="14.1" customHeight="1" outlineLevel="2" x14ac:dyDescent="0.25">
      <c r="A115" s="355"/>
      <c r="B115" s="328" t="s">
        <v>73</v>
      </c>
      <c r="C115" s="328"/>
      <c r="D115" s="328"/>
      <c r="E115" s="125"/>
      <c r="F115" s="131">
        <v>156</v>
      </c>
      <c r="G115" s="131">
        <v>50</v>
      </c>
      <c r="H115" s="132">
        <f t="shared" ref="H115:H116" si="32">CONVERT(F115,"F","C")</f>
        <v>68.888888888888886</v>
      </c>
      <c r="I115" s="123"/>
      <c r="J115" s="123"/>
      <c r="K115" s="131">
        <v>156</v>
      </c>
      <c r="L115" s="131">
        <v>50</v>
      </c>
      <c r="M115" s="132">
        <f t="shared" ref="M115:M116" si="33">CONVERT(K115,"F","C")</f>
        <v>68.888888888888886</v>
      </c>
      <c r="N115" s="121"/>
      <c r="O115" s="121"/>
      <c r="P115" s="121"/>
      <c r="Q115" s="121"/>
      <c r="R115" s="121"/>
      <c r="S115" s="121"/>
      <c r="T115" s="121"/>
      <c r="U115" s="121"/>
      <c r="V115" s="121"/>
    </row>
    <row r="116" spans="1:22" ht="14.1" customHeight="1" outlineLevel="2" x14ac:dyDescent="0.25">
      <c r="A116" s="355"/>
      <c r="B116" s="328" t="s">
        <v>74</v>
      </c>
      <c r="C116" s="328"/>
      <c r="D116" s="328"/>
      <c r="E116" s="125"/>
      <c r="F116" s="131">
        <v>176</v>
      </c>
      <c r="G116" s="131">
        <v>140</v>
      </c>
      <c r="H116" s="132">
        <f t="shared" si="32"/>
        <v>80</v>
      </c>
      <c r="I116" s="121"/>
      <c r="J116" s="121"/>
      <c r="K116" s="131">
        <v>176</v>
      </c>
      <c r="L116" s="131">
        <v>140</v>
      </c>
      <c r="M116" s="132">
        <f t="shared" si="33"/>
        <v>80</v>
      </c>
      <c r="N116" s="121"/>
      <c r="O116" s="121"/>
      <c r="P116" s="121"/>
      <c r="Q116" s="121"/>
      <c r="R116" s="121"/>
      <c r="S116" s="121"/>
      <c r="T116" s="121"/>
      <c r="U116" s="121"/>
      <c r="V116" s="121"/>
    </row>
    <row r="117" spans="1:22" ht="14.1" customHeight="1" outlineLevel="2" x14ac:dyDescent="0.25">
      <c r="A117" s="355"/>
      <c r="B117" s="328" t="s">
        <v>75</v>
      </c>
      <c r="C117" s="328"/>
      <c r="D117" s="328"/>
      <c r="E117" s="125"/>
      <c r="F117" s="340">
        <v>50.08</v>
      </c>
      <c r="G117" s="340"/>
      <c r="H117" s="340"/>
      <c r="I117" s="121"/>
      <c r="J117" s="121"/>
      <c r="K117" s="340">
        <v>50.08</v>
      </c>
      <c r="L117" s="340"/>
      <c r="M117" s="340"/>
      <c r="N117" s="121"/>
      <c r="O117" s="121"/>
      <c r="P117" s="121"/>
      <c r="Q117" s="121"/>
      <c r="R117" s="121"/>
      <c r="S117" s="121"/>
      <c r="T117" s="121"/>
      <c r="U117" s="121"/>
      <c r="V117" s="121"/>
    </row>
    <row r="118" spans="1:22" ht="14.1" customHeight="1" outlineLevel="2" x14ac:dyDescent="0.25">
      <c r="A118" s="355"/>
      <c r="B118" s="328" t="s">
        <v>76</v>
      </c>
      <c r="C118" s="328"/>
      <c r="D118" s="328"/>
      <c r="E118" s="125"/>
      <c r="F118" s="343">
        <v>0.186</v>
      </c>
      <c r="G118" s="343"/>
      <c r="H118" s="343"/>
      <c r="I118" s="121"/>
      <c r="J118" s="121"/>
      <c r="K118" s="343">
        <v>0.186</v>
      </c>
      <c r="L118" s="343"/>
      <c r="M118" s="343"/>
      <c r="N118" s="121"/>
      <c r="O118" s="121"/>
      <c r="P118" s="121"/>
      <c r="Q118" s="121"/>
      <c r="R118" s="121"/>
      <c r="S118" s="121"/>
      <c r="T118" s="121"/>
      <c r="U118" s="121"/>
      <c r="V118" s="121"/>
    </row>
    <row r="119" spans="1:22" ht="14.1" customHeight="1" outlineLevel="2" x14ac:dyDescent="0.25">
      <c r="A119" s="355"/>
      <c r="B119" s="328" t="s">
        <v>77</v>
      </c>
      <c r="C119" s="328"/>
      <c r="D119" s="328"/>
      <c r="E119" s="125"/>
      <c r="F119" s="131">
        <v>55</v>
      </c>
      <c r="G119" s="131">
        <v>50</v>
      </c>
      <c r="H119" s="132">
        <f t="shared" ref="H119:H120" si="34">CONVERT(F119,"F","C")</f>
        <v>12.777777777777777</v>
      </c>
      <c r="I119" s="121"/>
      <c r="J119" s="121"/>
      <c r="K119" s="131">
        <v>55</v>
      </c>
      <c r="L119" s="131">
        <v>50</v>
      </c>
      <c r="M119" s="132">
        <f t="shared" ref="M119:M120" si="35">CONVERT(K119,"F","C")</f>
        <v>12.777777777777777</v>
      </c>
      <c r="N119" s="121"/>
      <c r="O119" s="121"/>
      <c r="P119" s="121"/>
      <c r="Q119" s="121"/>
      <c r="R119" s="121"/>
      <c r="S119" s="121"/>
      <c r="T119" s="121"/>
      <c r="U119" s="121"/>
      <c r="V119" s="121"/>
    </row>
    <row r="120" spans="1:22" ht="14.1" customHeight="1" outlineLevel="2" x14ac:dyDescent="0.25">
      <c r="A120" s="355"/>
      <c r="B120" s="328" t="s">
        <v>78</v>
      </c>
      <c r="C120" s="328"/>
      <c r="D120" s="328"/>
      <c r="E120" s="125"/>
      <c r="F120" s="131">
        <v>45</v>
      </c>
      <c r="G120" s="131">
        <v>140</v>
      </c>
      <c r="H120" s="132">
        <f t="shared" si="34"/>
        <v>7.2222222222222223</v>
      </c>
      <c r="I120" s="121"/>
      <c r="J120" s="121"/>
      <c r="K120" s="131">
        <v>45</v>
      </c>
      <c r="L120" s="131">
        <v>140</v>
      </c>
      <c r="M120" s="132">
        <f t="shared" si="35"/>
        <v>7.2222222222222223</v>
      </c>
      <c r="N120" s="121"/>
      <c r="O120" s="121"/>
      <c r="P120" s="121"/>
      <c r="Q120" s="121"/>
      <c r="R120" s="121"/>
      <c r="S120" s="121"/>
      <c r="T120" s="121"/>
      <c r="U120" s="121"/>
      <c r="V120" s="121"/>
    </row>
    <row r="121" spans="1:22" ht="14.1" customHeight="1" outlineLevel="2" x14ac:dyDescent="0.25">
      <c r="A121" s="355"/>
      <c r="B121" s="328" t="s">
        <v>79</v>
      </c>
      <c r="C121" s="328"/>
      <c r="D121" s="328"/>
      <c r="E121" s="125"/>
      <c r="F121" s="340">
        <v>56.15</v>
      </c>
      <c r="G121" s="340"/>
      <c r="H121" s="340"/>
      <c r="I121" s="121"/>
      <c r="J121" s="121"/>
      <c r="K121" s="340">
        <v>56.15</v>
      </c>
      <c r="L121" s="340"/>
      <c r="M121" s="340"/>
      <c r="N121" s="121"/>
      <c r="O121" s="121"/>
      <c r="P121" s="121"/>
      <c r="Q121" s="121"/>
      <c r="R121" s="121"/>
      <c r="S121" s="121"/>
      <c r="T121" s="121"/>
      <c r="U121" s="121"/>
      <c r="V121" s="121"/>
    </row>
    <row r="122" spans="1:22" ht="14.1" customHeight="1" outlineLevel="2" x14ac:dyDescent="0.25">
      <c r="A122" s="355"/>
      <c r="B122" s="328" t="s">
        <v>80</v>
      </c>
      <c r="C122" s="328"/>
      <c r="D122" s="328"/>
      <c r="E122" s="125"/>
      <c r="F122" s="343">
        <v>0.32</v>
      </c>
      <c r="G122" s="343"/>
      <c r="H122" s="343"/>
      <c r="I122" s="121"/>
      <c r="J122" s="121"/>
      <c r="K122" s="343">
        <v>0.32</v>
      </c>
      <c r="L122" s="343"/>
      <c r="M122" s="343"/>
      <c r="N122" s="121"/>
      <c r="O122" s="121"/>
      <c r="P122" s="121"/>
      <c r="Q122" s="121"/>
      <c r="R122" s="121"/>
      <c r="S122" s="121"/>
      <c r="T122" s="121"/>
      <c r="U122" s="121"/>
      <c r="V122" s="121"/>
    </row>
    <row r="123" spans="1:22" ht="14.1" customHeight="1" outlineLevel="2" x14ac:dyDescent="0.25">
      <c r="A123" s="175"/>
      <c r="B123" s="165"/>
      <c r="C123" s="165"/>
      <c r="D123" s="165"/>
      <c r="E123" s="125"/>
      <c r="F123" s="171"/>
      <c r="G123" s="171"/>
      <c r="H123" s="171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</row>
    <row r="124" spans="1:22" ht="14.1" customHeight="1" outlineLevel="2" x14ac:dyDescent="0.25">
      <c r="A124" s="324" t="s">
        <v>96</v>
      </c>
      <c r="B124" s="324"/>
      <c r="C124" s="324"/>
      <c r="D124" s="324"/>
      <c r="E124" s="324"/>
      <c r="F124" s="324"/>
      <c r="G124" s="324"/>
      <c r="H124" s="324"/>
      <c r="I124" s="324"/>
      <c r="J124" s="324"/>
      <c r="K124" s="324"/>
      <c r="L124" s="324"/>
      <c r="M124" s="324"/>
      <c r="N124" s="324"/>
      <c r="O124" s="324"/>
      <c r="P124" s="324"/>
      <c r="Q124" s="324"/>
      <c r="R124" s="324"/>
      <c r="S124" s="324"/>
      <c r="T124" s="324"/>
      <c r="U124" s="324"/>
      <c r="V124" s="324"/>
    </row>
    <row r="125" spans="1:22" ht="14.1" customHeight="1" outlineLevel="2" x14ac:dyDescent="0.25">
      <c r="A125" s="355" t="s">
        <v>97</v>
      </c>
      <c r="B125" s="328" t="s">
        <v>61</v>
      </c>
      <c r="C125" s="328"/>
      <c r="D125" s="328"/>
      <c r="E125" s="125"/>
      <c r="F125" s="131">
        <v>41</v>
      </c>
      <c r="G125" s="131">
        <v>50</v>
      </c>
      <c r="H125" s="132">
        <f t="shared" ref="H125:H126" si="36">CONVERT(F125,"F","C")</f>
        <v>5</v>
      </c>
      <c r="I125" s="123"/>
      <c r="J125" s="123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</row>
    <row r="126" spans="1:22" ht="14.1" customHeight="1" outlineLevel="2" x14ac:dyDescent="0.25">
      <c r="A126" s="355"/>
      <c r="B126" s="328" t="s">
        <v>62</v>
      </c>
      <c r="C126" s="328"/>
      <c r="D126" s="328"/>
      <c r="E126" s="125"/>
      <c r="F126" s="131">
        <v>115</v>
      </c>
      <c r="G126" s="131">
        <v>140</v>
      </c>
      <c r="H126" s="132">
        <f t="shared" si="36"/>
        <v>46.111111111111107</v>
      </c>
      <c r="I126" s="123"/>
      <c r="J126" s="123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</row>
    <row r="127" spans="1:22" ht="14.1" customHeight="1" outlineLevel="2" x14ac:dyDescent="0.25">
      <c r="A127" s="355"/>
      <c r="B127" s="328" t="s">
        <v>64</v>
      </c>
      <c r="C127" s="328"/>
      <c r="D127" s="328"/>
      <c r="E127" s="125"/>
      <c r="F127" s="133">
        <f>2*12*11.72</f>
        <v>281.28000000000003</v>
      </c>
      <c r="G127" s="134"/>
      <c r="H127" s="135">
        <f>F127/12</f>
        <v>23.44</v>
      </c>
      <c r="I127" s="123"/>
      <c r="J127" s="123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</row>
    <row r="128" spans="1:22" ht="14.1" customHeight="1" outlineLevel="2" x14ac:dyDescent="0.25">
      <c r="A128" s="355"/>
      <c r="B128" s="328" t="s">
        <v>65</v>
      </c>
      <c r="C128" s="328"/>
      <c r="D128" s="328"/>
      <c r="E128" s="125"/>
      <c r="F128" s="136">
        <f>F127</f>
        <v>281.28000000000003</v>
      </c>
      <c r="G128" s="134"/>
      <c r="H128" s="135">
        <f>F128/12</f>
        <v>23.44</v>
      </c>
      <c r="I128" s="123"/>
      <c r="J128" s="123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</row>
    <row r="129" spans="1:22" ht="14.1" customHeight="1" outlineLevel="2" x14ac:dyDescent="0.25">
      <c r="A129" s="355"/>
      <c r="B129" s="328" t="s">
        <v>67</v>
      </c>
      <c r="C129" s="328"/>
      <c r="D129" s="328"/>
      <c r="E129" s="125"/>
      <c r="F129" s="326">
        <f>2*32.32</f>
        <v>64.64</v>
      </c>
      <c r="G129" s="326"/>
      <c r="H129" s="326"/>
      <c r="I129" s="123"/>
      <c r="J129" s="123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</row>
    <row r="130" spans="1:22" ht="14.1" customHeight="1" outlineLevel="2" x14ac:dyDescent="0.25">
      <c r="A130" s="355"/>
      <c r="B130" s="328" t="s">
        <v>68</v>
      </c>
      <c r="C130" s="328"/>
      <c r="D130" s="328"/>
      <c r="E130" s="125"/>
      <c r="F130" s="326">
        <f>$F$35</f>
        <v>10.199999999999999</v>
      </c>
      <c r="G130" s="326"/>
      <c r="H130" s="326"/>
      <c r="I130" s="123"/>
      <c r="J130" s="123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</row>
    <row r="131" spans="1:22" ht="14.1" customHeight="1" outlineLevel="2" x14ac:dyDescent="0.25">
      <c r="A131" s="355"/>
      <c r="B131" s="328" t="s">
        <v>69</v>
      </c>
      <c r="C131" s="328"/>
      <c r="D131" s="328"/>
      <c r="E131" s="125"/>
      <c r="F131" s="133">
        <f>H131*3.413</f>
        <v>501.89632000000006</v>
      </c>
      <c r="G131" s="137"/>
      <c r="H131" s="138">
        <f>IF(F127+3.413*F129=0,"",(F127+3.413*F129)/3.413)</f>
        <v>147.05429827131559</v>
      </c>
      <c r="I131" s="123"/>
      <c r="J131" s="123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</row>
    <row r="132" spans="1:22" ht="14.1" customHeight="1" outlineLevel="2" x14ac:dyDescent="0.25">
      <c r="A132" s="355"/>
      <c r="B132" s="328" t="s">
        <v>70</v>
      </c>
      <c r="C132" s="328"/>
      <c r="D132" s="328"/>
      <c r="E132" s="125"/>
      <c r="F132" s="329">
        <f>IFERROR(H131/(F129+F130),"")</f>
        <v>1.9649157973184872</v>
      </c>
      <c r="G132" s="329"/>
      <c r="H132" s="329"/>
      <c r="I132" s="123"/>
      <c r="J132" s="123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</row>
    <row r="133" spans="1:22" ht="14.1" customHeight="1" outlineLevel="2" x14ac:dyDescent="0.25">
      <c r="A133" s="355"/>
      <c r="B133" s="328" t="s">
        <v>71</v>
      </c>
      <c r="C133" s="328"/>
      <c r="D133" s="328"/>
      <c r="E133" s="125"/>
      <c r="F133" s="329">
        <f>IFERROR(F127/(F129*3.413),"")</f>
        <v>1.2749736737517878</v>
      </c>
      <c r="G133" s="329"/>
      <c r="H133" s="329"/>
      <c r="I133" s="123"/>
      <c r="J133" s="123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</row>
    <row r="134" spans="1:22" ht="14.1" customHeight="1" outlineLevel="2" x14ac:dyDescent="0.25">
      <c r="A134" s="355"/>
      <c r="B134" s="328" t="s">
        <v>87</v>
      </c>
      <c r="C134" s="328"/>
      <c r="D134" s="328"/>
      <c r="E134" s="125"/>
      <c r="F134" s="356"/>
      <c r="G134" s="356"/>
      <c r="H134" s="356"/>
      <c r="I134" s="123"/>
      <c r="J134" s="123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</row>
    <row r="135" spans="1:22" ht="14.1" customHeight="1" outlineLevel="2" x14ac:dyDescent="0.25">
      <c r="A135" s="355"/>
      <c r="B135" s="328" t="s">
        <v>88</v>
      </c>
      <c r="C135" s="328"/>
      <c r="D135" s="328"/>
      <c r="E135" s="125"/>
      <c r="F135" s="139">
        <v>210.6</v>
      </c>
      <c r="G135" s="140"/>
      <c r="H135" s="132">
        <f>CONVERT(F135,"F","C")</f>
        <v>99.222222222222214</v>
      </c>
      <c r="I135" s="123"/>
      <c r="J135" s="123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</row>
    <row r="136" spans="1:22" ht="14.1" customHeight="1" outlineLevel="2" x14ac:dyDescent="0.25">
      <c r="A136" s="355"/>
      <c r="B136" s="328" t="s">
        <v>89</v>
      </c>
      <c r="C136" s="328"/>
      <c r="D136" s="328"/>
      <c r="E136" s="125"/>
      <c r="F136" s="139">
        <f>F135-7</f>
        <v>203.6</v>
      </c>
      <c r="G136" s="140"/>
      <c r="H136" s="132">
        <f t="shared" ref="H136" si="37">CONVERT(F136,"F","C")</f>
        <v>95.333333333333329</v>
      </c>
      <c r="I136" s="123"/>
      <c r="J136" s="123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</row>
    <row r="137" spans="1:22" ht="14.1" customHeight="1" outlineLevel="2" x14ac:dyDescent="0.25">
      <c r="A137" s="355"/>
      <c r="B137" s="328" t="s">
        <v>90</v>
      </c>
      <c r="C137" s="328"/>
      <c r="D137" s="328"/>
      <c r="E137" s="125"/>
      <c r="F137" s="139">
        <v>13</v>
      </c>
      <c r="G137" s="140"/>
      <c r="H137" s="144">
        <f>F137/1.8</f>
        <v>7.2222222222222223</v>
      </c>
      <c r="I137" s="123"/>
      <c r="J137" s="123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</row>
    <row r="138" spans="1:22" ht="14.1" customHeight="1" outlineLevel="2" x14ac:dyDescent="0.25">
      <c r="A138" s="355"/>
      <c r="B138" s="328" t="s">
        <v>91</v>
      </c>
      <c r="C138" s="328"/>
      <c r="D138" s="328"/>
      <c r="E138" s="125"/>
      <c r="F138" s="139">
        <v>7</v>
      </c>
      <c r="G138" s="140"/>
      <c r="H138" s="144">
        <f>F138/1.8</f>
        <v>3.8888888888888888</v>
      </c>
      <c r="I138" s="123"/>
      <c r="J138" s="123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</row>
    <row r="139" spans="1:22" ht="14.1" customHeight="1" outlineLevel="2" x14ac:dyDescent="0.25">
      <c r="A139" s="355"/>
      <c r="B139" s="328" t="s">
        <v>73</v>
      </c>
      <c r="C139" s="328"/>
      <c r="D139" s="328"/>
      <c r="E139" s="125"/>
      <c r="F139" s="131">
        <v>156</v>
      </c>
      <c r="G139" s="131">
        <v>50</v>
      </c>
      <c r="H139" s="132">
        <f t="shared" ref="H139:H140" si="38">CONVERT(F139,"F","C")</f>
        <v>68.888888888888886</v>
      </c>
      <c r="I139" s="123"/>
      <c r="J139" s="123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</row>
    <row r="140" spans="1:22" ht="14.1" customHeight="1" outlineLevel="2" x14ac:dyDescent="0.25">
      <c r="A140" s="355"/>
      <c r="B140" s="328" t="s">
        <v>74</v>
      </c>
      <c r="C140" s="328"/>
      <c r="D140" s="328"/>
      <c r="E140" s="125"/>
      <c r="F140" s="131">
        <v>176</v>
      </c>
      <c r="G140" s="131">
        <v>140</v>
      </c>
      <c r="H140" s="132">
        <f t="shared" si="38"/>
        <v>80</v>
      </c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</row>
    <row r="141" spans="1:22" ht="14.1" customHeight="1" outlineLevel="2" x14ac:dyDescent="0.25">
      <c r="A141" s="355"/>
      <c r="B141" s="328" t="s">
        <v>75</v>
      </c>
      <c r="C141" s="328"/>
      <c r="D141" s="328"/>
      <c r="E141" s="125"/>
      <c r="F141" s="340">
        <v>50.08</v>
      </c>
      <c r="G141" s="340"/>
      <c r="H141" s="340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</row>
    <row r="142" spans="1:22" ht="14.1" customHeight="1" outlineLevel="2" x14ac:dyDescent="0.25">
      <c r="A142" s="355"/>
      <c r="B142" s="328" t="s">
        <v>76</v>
      </c>
      <c r="C142" s="328"/>
      <c r="D142" s="328"/>
      <c r="E142" s="125"/>
      <c r="F142" s="343">
        <v>0.186</v>
      </c>
      <c r="G142" s="343"/>
      <c r="H142" s="343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</row>
    <row r="143" spans="1:22" ht="14.1" customHeight="1" outlineLevel="2" x14ac:dyDescent="0.25">
      <c r="A143" s="355"/>
      <c r="B143" s="328" t="s">
        <v>77</v>
      </c>
      <c r="C143" s="328"/>
      <c r="D143" s="328"/>
      <c r="E143" s="125"/>
      <c r="F143" s="131">
        <v>55</v>
      </c>
      <c r="G143" s="131">
        <v>50</v>
      </c>
      <c r="H143" s="132">
        <f t="shared" ref="H143:H144" si="39">CONVERT(F143,"F","C")</f>
        <v>12.777777777777777</v>
      </c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</row>
    <row r="144" spans="1:22" ht="14.1" customHeight="1" outlineLevel="2" x14ac:dyDescent="0.25">
      <c r="A144" s="355"/>
      <c r="B144" s="328" t="s">
        <v>78</v>
      </c>
      <c r="C144" s="328"/>
      <c r="D144" s="328"/>
      <c r="E144" s="125"/>
      <c r="F144" s="131">
        <v>45</v>
      </c>
      <c r="G144" s="131">
        <v>140</v>
      </c>
      <c r="H144" s="132">
        <f t="shared" si="39"/>
        <v>7.2222222222222223</v>
      </c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</row>
    <row r="145" spans="1:22" ht="14.1" customHeight="1" outlineLevel="2" x14ac:dyDescent="0.25">
      <c r="A145" s="355"/>
      <c r="B145" s="328" t="s">
        <v>79</v>
      </c>
      <c r="C145" s="328"/>
      <c r="D145" s="328"/>
      <c r="E145" s="125"/>
      <c r="F145" s="340">
        <v>56.15</v>
      </c>
      <c r="G145" s="340"/>
      <c r="H145" s="340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</row>
    <row r="146" spans="1:22" ht="14.1" customHeight="1" outlineLevel="2" x14ac:dyDescent="0.25">
      <c r="A146" s="355"/>
      <c r="B146" s="328" t="s">
        <v>80</v>
      </c>
      <c r="C146" s="328"/>
      <c r="D146" s="328"/>
      <c r="E146" s="125"/>
      <c r="F146" s="343">
        <v>0.32</v>
      </c>
      <c r="G146" s="343"/>
      <c r="H146" s="343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</row>
    <row r="147" spans="1:22" ht="14.1" customHeight="1" outlineLevel="2" x14ac:dyDescent="0.25">
      <c r="A147" s="175"/>
      <c r="B147" s="165"/>
      <c r="C147" s="165"/>
      <c r="D147" s="165"/>
      <c r="E147" s="125"/>
      <c r="F147" s="171"/>
      <c r="G147" s="171"/>
      <c r="H147" s="17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</row>
    <row r="148" spans="1:22" ht="14.1" customHeight="1" outlineLevel="2" x14ac:dyDescent="0.25">
      <c r="A148" s="175"/>
      <c r="B148" s="165"/>
      <c r="C148" s="165"/>
      <c r="D148" s="165"/>
      <c r="E148" s="125"/>
      <c r="F148" s="171"/>
      <c r="G148" s="171"/>
      <c r="H148" s="171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</row>
    <row r="149" spans="1:22" ht="14.1" customHeight="1" outlineLevel="2" x14ac:dyDescent="0.25">
      <c r="A149" s="175"/>
      <c r="B149" s="165"/>
      <c r="C149" s="165"/>
      <c r="D149" s="165"/>
      <c r="E149" s="125"/>
      <c r="F149" s="171"/>
      <c r="G149" s="171"/>
      <c r="H149" s="171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</row>
    <row r="150" spans="1:22" ht="14.1" customHeight="1" outlineLevel="2" x14ac:dyDescent="0.25">
      <c r="A150" s="175"/>
      <c r="B150" s="165"/>
      <c r="C150" s="165"/>
      <c r="D150" s="165"/>
      <c r="E150" s="125"/>
      <c r="F150" s="171"/>
      <c r="G150" s="171"/>
      <c r="H150" s="171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</row>
    <row r="151" spans="1:22" ht="14.1" customHeight="1" outlineLevel="2" x14ac:dyDescent="0.25">
      <c r="A151" s="175"/>
      <c r="B151" s="165"/>
      <c r="C151" s="165"/>
      <c r="D151" s="165"/>
      <c r="E151" s="125"/>
      <c r="F151" s="171"/>
      <c r="G151" s="171"/>
      <c r="H151" s="171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</row>
    <row r="152" spans="1:22" ht="14.1" customHeight="1" outlineLevel="2" x14ac:dyDescent="0.25">
      <c r="A152" s="175"/>
      <c r="B152" s="165"/>
      <c r="C152" s="165"/>
      <c r="D152" s="165"/>
      <c r="E152" s="125"/>
      <c r="F152" s="171"/>
      <c r="G152" s="171"/>
      <c r="H152" s="171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</row>
    <row r="153" spans="1:22" ht="14.1" customHeight="1" outlineLevel="2" x14ac:dyDescent="0.25">
      <c r="A153" s="175"/>
      <c r="B153" s="165"/>
      <c r="C153" s="165"/>
      <c r="D153" s="165"/>
      <c r="E153" s="125"/>
      <c r="F153" s="171"/>
      <c r="G153" s="171"/>
      <c r="H153" s="171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</row>
    <row r="154" spans="1:22" ht="14.1" customHeight="1" outlineLevel="2" x14ac:dyDescent="0.25">
      <c r="A154" s="175"/>
      <c r="B154" s="165"/>
      <c r="C154" s="165"/>
      <c r="D154" s="165"/>
      <c r="E154" s="125"/>
      <c r="F154" s="171"/>
      <c r="G154" s="171"/>
      <c r="H154" s="171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</row>
    <row r="155" spans="1:22" ht="14.1" customHeight="1" outlineLevel="2" x14ac:dyDescent="0.25">
      <c r="A155" s="175"/>
      <c r="B155" s="165"/>
      <c r="C155" s="165"/>
      <c r="D155" s="165"/>
      <c r="E155" s="125"/>
      <c r="F155" s="171"/>
      <c r="G155" s="171"/>
      <c r="H155" s="171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</row>
    <row r="156" spans="1:22" ht="14.1" customHeight="1" outlineLevel="2" x14ac:dyDescent="0.25">
      <c r="A156" s="175"/>
      <c r="B156" s="165"/>
      <c r="C156" s="165"/>
      <c r="D156" s="165"/>
      <c r="E156" s="125"/>
      <c r="F156" s="171"/>
      <c r="G156" s="171"/>
      <c r="H156" s="17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</row>
    <row r="157" spans="1:22" ht="14.1" customHeight="1" outlineLevel="2" x14ac:dyDescent="0.25">
      <c r="A157" s="175"/>
      <c r="B157" s="165"/>
      <c r="C157" s="165"/>
      <c r="D157" s="165"/>
      <c r="E157" s="125"/>
      <c r="F157" s="171"/>
      <c r="G157" s="171"/>
      <c r="H157" s="171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</row>
    <row r="158" spans="1:22" ht="14.1" customHeight="1" outlineLevel="2" x14ac:dyDescent="0.25">
      <c r="A158" s="175"/>
      <c r="B158" s="165"/>
      <c r="C158" s="165"/>
      <c r="D158" s="165"/>
      <c r="E158" s="125"/>
      <c r="F158" s="171"/>
      <c r="G158" s="171"/>
      <c r="H158" s="171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</row>
    <row r="159" spans="1:22" ht="14.1" hidden="1" customHeight="1" x14ac:dyDescent="0.25">
      <c r="A159" s="175"/>
      <c r="B159" s="165"/>
      <c r="C159" s="165"/>
      <c r="D159" s="165"/>
      <c r="E159" s="125"/>
      <c r="F159" s="171"/>
      <c r="G159" s="171"/>
      <c r="H159" s="171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</row>
    <row r="160" spans="1:22" ht="14.1" hidden="1" customHeight="1" x14ac:dyDescent="0.25">
      <c r="A160" s="175"/>
      <c r="B160" s="165"/>
      <c r="C160" s="165"/>
      <c r="D160" s="165"/>
      <c r="E160" s="125"/>
      <c r="F160" s="171"/>
      <c r="G160" s="171"/>
      <c r="H160" s="171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</row>
    <row r="161" spans="1:22" ht="14.1" hidden="1" customHeight="1" x14ac:dyDescent="0.25">
      <c r="A161" s="175"/>
      <c r="B161" s="165"/>
      <c r="C161" s="165"/>
      <c r="D161" s="165"/>
      <c r="E161" s="125"/>
      <c r="F161" s="171"/>
      <c r="G161" s="171"/>
      <c r="H161" s="171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</row>
    <row r="162" spans="1:22" ht="14.1" hidden="1" customHeight="1" x14ac:dyDescent="0.25">
      <c r="A162" s="175"/>
      <c r="B162" s="165"/>
      <c r="C162" s="165"/>
      <c r="D162" s="165"/>
      <c r="E162" s="125"/>
      <c r="F162" s="171"/>
      <c r="G162" s="171"/>
      <c r="H162" s="171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</row>
    <row r="163" spans="1:22" ht="14.1" hidden="1" customHeight="1" x14ac:dyDescent="0.25">
      <c r="A163" s="175"/>
      <c r="B163" s="165"/>
      <c r="C163" s="165"/>
      <c r="D163" s="165"/>
      <c r="E163" s="125"/>
      <c r="F163" s="171"/>
      <c r="G163" s="171"/>
      <c r="H163" s="171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</row>
    <row r="164" spans="1:22" ht="14.1" hidden="1" customHeight="1" x14ac:dyDescent="0.25">
      <c r="A164" s="175"/>
      <c r="B164" s="165"/>
      <c r="C164" s="165"/>
      <c r="D164" s="165"/>
      <c r="E164" s="125"/>
      <c r="F164" s="171"/>
      <c r="G164" s="171"/>
      <c r="H164" s="171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</row>
    <row r="165" spans="1:22" ht="14.1" hidden="1" customHeight="1" x14ac:dyDescent="0.25">
      <c r="A165" s="163"/>
      <c r="B165" s="168"/>
      <c r="C165" s="168"/>
      <c r="D165" s="168"/>
      <c r="E165" s="169"/>
      <c r="F165" s="170"/>
      <c r="G165" s="170"/>
      <c r="H165" s="170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</row>
    <row r="166" spans="1:22" ht="14.1" hidden="1" customHeight="1" x14ac:dyDescent="0.25">
      <c r="A166" s="361" t="s">
        <v>98</v>
      </c>
      <c r="B166" s="328" t="s">
        <v>64</v>
      </c>
      <c r="C166" s="328"/>
      <c r="D166" s="328"/>
      <c r="E166" s="125"/>
      <c r="F166" s="133">
        <v>636.11800000000005</v>
      </c>
      <c r="G166" s="134"/>
      <c r="H166" s="135">
        <f>F166/12</f>
        <v>53.00983333333334</v>
      </c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</row>
    <row r="167" spans="1:22" ht="14.1" hidden="1" customHeight="1" x14ac:dyDescent="0.25">
      <c r="A167" s="361"/>
      <c r="B167" s="328" t="s">
        <v>65</v>
      </c>
      <c r="C167" s="328"/>
      <c r="D167" s="328"/>
      <c r="E167" s="125"/>
      <c r="F167" s="136">
        <f>F166</f>
        <v>636.11800000000005</v>
      </c>
      <c r="G167" s="134"/>
      <c r="H167" s="135">
        <f>F167/12</f>
        <v>53.00983333333334</v>
      </c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</row>
    <row r="168" spans="1:22" ht="14.1" customHeight="1" outlineLevel="3" x14ac:dyDescent="0.25">
      <c r="A168" s="361"/>
      <c r="B168" s="328" t="s">
        <v>67</v>
      </c>
      <c r="C168" s="328"/>
      <c r="D168" s="328"/>
      <c r="E168" s="125"/>
      <c r="F168" s="326">
        <v>45.136000000000003</v>
      </c>
      <c r="G168" s="326"/>
      <c r="H168" s="326"/>
      <c r="I168" s="123"/>
      <c r="J168" s="123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</row>
    <row r="169" spans="1:22" ht="14.1" customHeight="1" outlineLevel="3" x14ac:dyDescent="0.25">
      <c r="A169" s="361"/>
      <c r="B169" s="328" t="s">
        <v>68</v>
      </c>
      <c r="C169" s="328"/>
      <c r="D169" s="328"/>
      <c r="E169" s="125"/>
      <c r="F169" s="326">
        <f>F35</f>
        <v>10.199999999999999</v>
      </c>
      <c r="G169" s="326"/>
      <c r="H169" s="326"/>
      <c r="I169" s="123"/>
      <c r="J169" s="123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</row>
    <row r="170" spans="1:22" ht="14.1" customHeight="1" outlineLevel="3" x14ac:dyDescent="0.25">
      <c r="A170" s="361"/>
      <c r="B170" s="328" t="s">
        <v>69</v>
      </c>
      <c r="C170" s="328"/>
      <c r="D170" s="328"/>
      <c r="E170" s="125"/>
      <c r="F170" s="133">
        <f>H170*3.413</f>
        <v>790.16716800000006</v>
      </c>
      <c r="G170" s="137"/>
      <c r="H170" s="138">
        <f>IF(F167+3.413*F168=0,"",(F167+3.413*F168)/3.413)</f>
        <v>231.51689657193089</v>
      </c>
      <c r="I170" s="123"/>
      <c r="J170" s="123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</row>
    <row r="171" spans="1:22" ht="14.1" customHeight="1" outlineLevel="3" x14ac:dyDescent="0.25">
      <c r="A171" s="361"/>
      <c r="B171" s="328" t="s">
        <v>70</v>
      </c>
      <c r="C171" s="328"/>
      <c r="D171" s="328"/>
      <c r="E171" s="125"/>
      <c r="F171" s="329">
        <f>IFERROR(H170/(F168+F169),"")</f>
        <v>4.1838386687135118</v>
      </c>
      <c r="G171" s="329"/>
      <c r="H171" s="329"/>
      <c r="I171" s="123"/>
      <c r="J171" s="123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</row>
    <row r="172" spans="1:22" ht="14.1" customHeight="1" outlineLevel="3" x14ac:dyDescent="0.25">
      <c r="A172" s="361"/>
      <c r="B172" s="328" t="s">
        <v>71</v>
      </c>
      <c r="C172" s="328"/>
      <c r="D172" s="328"/>
      <c r="E172" s="125"/>
      <c r="F172" s="360">
        <f>IFERROR(F167/(F168*3.413),"")</f>
        <v>4.12931798502151</v>
      </c>
      <c r="G172" s="360"/>
      <c r="H172" s="360"/>
      <c r="I172" s="123"/>
      <c r="J172" s="123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</row>
    <row r="173" spans="1:22" ht="14.1" customHeight="1" outlineLevel="3" x14ac:dyDescent="0.25">
      <c r="A173" s="361"/>
      <c r="B173" s="328" t="s">
        <v>87</v>
      </c>
      <c r="C173" s="328"/>
      <c r="D173" s="328"/>
      <c r="E173" s="125"/>
      <c r="F173" s="356"/>
      <c r="G173" s="356"/>
      <c r="H173" s="356"/>
      <c r="I173" s="123"/>
      <c r="J173" s="123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</row>
    <row r="174" spans="1:22" ht="14.1" customHeight="1" outlineLevel="3" x14ac:dyDescent="0.25">
      <c r="A174" s="361"/>
      <c r="B174" s="328" t="s">
        <v>88</v>
      </c>
      <c r="C174" s="328"/>
      <c r="D174" s="328"/>
      <c r="E174" s="125"/>
      <c r="F174" s="139">
        <v>264.8</v>
      </c>
      <c r="G174" s="140"/>
      <c r="H174" s="132">
        <f>CONVERT(F174,"F","C")</f>
        <v>129.33333333333334</v>
      </c>
      <c r="I174" s="123"/>
      <c r="J174" s="123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</row>
    <row r="175" spans="1:22" ht="14.1" customHeight="1" outlineLevel="3" x14ac:dyDescent="0.25">
      <c r="A175" s="361"/>
      <c r="B175" s="328" t="s">
        <v>89</v>
      </c>
      <c r="C175" s="328"/>
      <c r="D175" s="328"/>
      <c r="E175" s="125"/>
      <c r="F175" s="139">
        <v>134</v>
      </c>
      <c r="G175" s="140"/>
      <c r="H175" s="132">
        <f t="shared" ref="H175:H176" si="40">CONVERT(F175,"F","C")</f>
        <v>56.666666666666664</v>
      </c>
      <c r="I175" s="123"/>
      <c r="J175" s="123"/>
      <c r="K175" s="121"/>
      <c r="L175" s="121"/>
      <c r="M175" s="121"/>
      <c r="N175" s="121"/>
      <c r="O175" s="121"/>
      <c r="P175" s="121"/>
      <c r="Q175" s="121"/>
      <c r="R175" s="121"/>
      <c r="S175" s="121"/>
      <c r="T175" s="121"/>
      <c r="U175" s="121"/>
      <c r="V175" s="121"/>
    </row>
    <row r="176" spans="1:22" ht="14.1" customHeight="1" outlineLevel="3" x14ac:dyDescent="0.25">
      <c r="A176" s="361"/>
      <c r="B176" s="328"/>
      <c r="C176" s="328"/>
      <c r="D176" s="328"/>
      <c r="E176" s="125"/>
      <c r="F176" s="139">
        <v>38</v>
      </c>
      <c r="G176" s="140"/>
      <c r="H176" s="132">
        <f t="shared" si="40"/>
        <v>3.333333333333333</v>
      </c>
      <c r="I176" s="123"/>
      <c r="J176" s="123"/>
      <c r="K176" s="121"/>
      <c r="L176" s="121"/>
      <c r="M176" s="121"/>
      <c r="N176" s="121"/>
      <c r="O176" s="121"/>
      <c r="P176" s="121"/>
      <c r="Q176" s="121"/>
      <c r="R176" s="121"/>
      <c r="S176" s="121"/>
      <c r="T176" s="121"/>
      <c r="U176" s="121"/>
      <c r="V176" s="121"/>
    </row>
    <row r="177" spans="1:22" ht="14.1" customHeight="1" outlineLevel="3" x14ac:dyDescent="0.25">
      <c r="A177" s="361"/>
      <c r="B177" s="328" t="s">
        <v>90</v>
      </c>
      <c r="C177" s="328"/>
      <c r="D177" s="328"/>
      <c r="E177" s="125"/>
      <c r="F177" s="139">
        <v>40</v>
      </c>
      <c r="G177" s="140"/>
      <c r="H177" s="144">
        <f>F177/1.8</f>
        <v>22.222222222222221</v>
      </c>
      <c r="I177" s="123"/>
      <c r="J177" s="123"/>
      <c r="K177" s="121"/>
      <c r="L177" s="121"/>
      <c r="M177" s="121"/>
      <c r="N177" s="121"/>
      <c r="O177" s="121"/>
      <c r="P177" s="121"/>
      <c r="Q177" s="121"/>
      <c r="R177" s="121"/>
      <c r="S177" s="121"/>
      <c r="T177" s="121"/>
      <c r="U177" s="121"/>
      <c r="V177" s="121"/>
    </row>
    <row r="178" spans="1:22" ht="14.1" hidden="1" customHeight="1" x14ac:dyDescent="0.25">
      <c r="A178" s="361"/>
      <c r="B178" s="328" t="s">
        <v>91</v>
      </c>
      <c r="C178" s="328"/>
      <c r="D178" s="328"/>
      <c r="E178" s="125"/>
      <c r="F178" s="139">
        <v>35</v>
      </c>
      <c r="G178" s="140"/>
      <c r="H178" s="144">
        <f>F178/1.8</f>
        <v>19.444444444444443</v>
      </c>
      <c r="I178" s="123"/>
      <c r="J178" s="123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</row>
    <row r="179" spans="1:22" ht="14.1" hidden="1" customHeight="1" x14ac:dyDescent="0.25">
      <c r="A179" s="361"/>
      <c r="B179" s="328" t="s">
        <v>99</v>
      </c>
      <c r="C179" s="328"/>
      <c r="D179" s="328"/>
      <c r="E179" s="125"/>
      <c r="F179" s="141">
        <v>1710</v>
      </c>
      <c r="G179" s="142"/>
      <c r="H179" s="143">
        <f>F179*0.0689476</f>
        <v>117.900396</v>
      </c>
      <c r="I179" s="123"/>
      <c r="J179" s="123"/>
      <c r="K179" s="121"/>
      <c r="L179" s="121"/>
      <c r="M179" s="121"/>
      <c r="N179" s="121"/>
      <c r="O179" s="121"/>
      <c r="P179" s="121"/>
      <c r="Q179" s="121"/>
      <c r="R179" s="121"/>
      <c r="S179" s="121"/>
      <c r="T179" s="121"/>
      <c r="U179" s="121"/>
      <c r="V179" s="121"/>
    </row>
    <row r="180" spans="1:22" ht="14.1" hidden="1" customHeight="1" x14ac:dyDescent="0.25">
      <c r="A180" s="361"/>
      <c r="B180" s="328" t="s">
        <v>73</v>
      </c>
      <c r="C180" s="328"/>
      <c r="D180" s="328"/>
      <c r="E180" s="328"/>
      <c r="F180" s="131">
        <v>85</v>
      </c>
      <c r="G180" s="132">
        <v>14</v>
      </c>
      <c r="H180" s="132">
        <f t="shared" ref="H180:H181" si="41">CONVERT(F180,"F","C")</f>
        <v>29.444444444444443</v>
      </c>
      <c r="I180" s="123"/>
      <c r="J180" s="123"/>
      <c r="K180" s="121"/>
      <c r="L180" s="121"/>
      <c r="M180" s="121"/>
      <c r="N180" s="121"/>
      <c r="O180" s="121"/>
      <c r="P180" s="121"/>
      <c r="Q180" s="121"/>
      <c r="R180" s="121"/>
      <c r="S180" s="121"/>
      <c r="T180" s="121"/>
      <c r="U180" s="121"/>
      <c r="V180" s="121"/>
    </row>
    <row r="181" spans="1:22" ht="14.1" hidden="1" customHeight="1" x14ac:dyDescent="0.25">
      <c r="A181" s="361"/>
      <c r="B181" s="328" t="s">
        <v>74</v>
      </c>
      <c r="C181" s="328"/>
      <c r="D181" s="328"/>
      <c r="E181" s="328"/>
      <c r="F181" s="131">
        <v>105</v>
      </c>
      <c r="G181" s="132">
        <v>4.5</v>
      </c>
      <c r="H181" s="132">
        <f t="shared" si="41"/>
        <v>40.555555555555557</v>
      </c>
      <c r="I181" s="123"/>
      <c r="J181" s="123"/>
      <c r="K181" s="121"/>
      <c r="L181" s="121"/>
      <c r="M181" s="121"/>
      <c r="N181" s="121"/>
      <c r="O181" s="121"/>
      <c r="P181" s="121"/>
      <c r="Q181" s="121"/>
      <c r="R181" s="121"/>
      <c r="S181" s="121"/>
      <c r="T181" s="121"/>
      <c r="U181" s="121"/>
      <c r="V181" s="121"/>
    </row>
    <row r="182" spans="1:22" ht="14.1" hidden="1" customHeight="1" x14ac:dyDescent="0.25">
      <c r="A182" s="361"/>
      <c r="B182" s="328" t="s">
        <v>100</v>
      </c>
      <c r="C182" s="328"/>
      <c r="D182" s="328"/>
      <c r="E182" s="125"/>
      <c r="F182" s="340">
        <v>85.33</v>
      </c>
      <c r="G182" s="340"/>
      <c r="H182" s="340"/>
      <c r="I182" s="123"/>
      <c r="J182" s="123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</row>
    <row r="183" spans="1:22" ht="14.1" hidden="1" customHeight="1" x14ac:dyDescent="0.25">
      <c r="A183" s="361"/>
      <c r="B183" s="328" t="s">
        <v>101</v>
      </c>
      <c r="C183" s="328"/>
      <c r="D183" s="328"/>
      <c r="E183" s="125"/>
      <c r="F183" s="362">
        <v>1.73</v>
      </c>
      <c r="G183" s="362"/>
      <c r="H183" s="362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</row>
    <row r="184" spans="1:22" ht="14.1" hidden="1" customHeight="1" x14ac:dyDescent="0.25">
      <c r="A184" s="164"/>
      <c r="B184" s="162"/>
      <c r="C184" s="162"/>
      <c r="D184" s="162"/>
      <c r="E184" s="162"/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</row>
    <row r="185" spans="1:22" ht="14.1" hidden="1" customHeight="1" x14ac:dyDescent="0.25">
      <c r="A185" s="368" t="s">
        <v>102</v>
      </c>
      <c r="B185" s="363" t="s">
        <v>64</v>
      </c>
      <c r="C185" s="363"/>
      <c r="D185" s="363"/>
      <c r="E185" s="145"/>
      <c r="F185" s="148">
        <v>340.53100000000001</v>
      </c>
      <c r="G185" s="159"/>
      <c r="H185" s="160">
        <f>F185/12</f>
        <v>28.377583333333334</v>
      </c>
      <c r="I185" s="146"/>
      <c r="J185" s="146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</row>
    <row r="186" spans="1:22" ht="14.1" hidden="1" customHeight="1" x14ac:dyDescent="0.25">
      <c r="A186" s="368"/>
      <c r="B186" s="363" t="s">
        <v>65</v>
      </c>
      <c r="C186" s="363"/>
      <c r="D186" s="363"/>
      <c r="E186" s="145"/>
      <c r="F186" s="161">
        <f>F185</f>
        <v>340.53100000000001</v>
      </c>
      <c r="G186" s="159"/>
      <c r="H186" s="160">
        <f>F186/12</f>
        <v>28.377583333333334</v>
      </c>
      <c r="I186" s="146"/>
      <c r="J186" s="146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</row>
    <row r="187" spans="1:22" ht="14.1" hidden="1" customHeight="1" x14ac:dyDescent="0.25">
      <c r="A187" s="368"/>
      <c r="B187" s="363" t="s">
        <v>67</v>
      </c>
      <c r="C187" s="363"/>
      <c r="D187" s="363"/>
      <c r="E187" s="145"/>
      <c r="F187" s="369">
        <v>51.43</v>
      </c>
      <c r="G187" s="369"/>
      <c r="H187" s="369"/>
      <c r="I187" s="146"/>
      <c r="J187" s="146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</row>
    <row r="188" spans="1:22" ht="14.1" hidden="1" customHeight="1" x14ac:dyDescent="0.25">
      <c r="A188" s="368"/>
      <c r="B188" s="363" t="s">
        <v>68</v>
      </c>
      <c r="C188" s="363"/>
      <c r="D188" s="363"/>
      <c r="E188" s="145"/>
      <c r="F188" s="369">
        <f>F35</f>
        <v>10.199999999999999</v>
      </c>
      <c r="G188" s="369"/>
      <c r="H188" s="369"/>
      <c r="I188" s="146"/>
      <c r="J188" s="146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</row>
    <row r="189" spans="1:22" ht="14.1" hidden="1" customHeight="1" x14ac:dyDescent="0.25">
      <c r="A189" s="368"/>
      <c r="B189" s="363" t="s">
        <v>69</v>
      </c>
      <c r="C189" s="363"/>
      <c r="D189" s="363"/>
      <c r="E189" s="145"/>
      <c r="F189" s="148">
        <f>H189*3.413</f>
        <v>516.06159000000002</v>
      </c>
      <c r="G189" s="149"/>
      <c r="H189" s="150">
        <f>IF(F185+3.413*F187=0,"",(F185+3.413*F187)/3.413)</f>
        <v>151.20468502783476</v>
      </c>
      <c r="I189" s="146"/>
      <c r="J189" s="146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</row>
    <row r="190" spans="1:22" ht="14.1" hidden="1" customHeight="1" x14ac:dyDescent="0.25">
      <c r="A190" s="368"/>
      <c r="B190" s="363" t="s">
        <v>70</v>
      </c>
      <c r="C190" s="363"/>
      <c r="D190" s="363"/>
      <c r="E190" s="145"/>
      <c r="F190" s="370">
        <f>IFERROR(H189/(F187+F188),"")</f>
        <v>2.4534266595462397</v>
      </c>
      <c r="G190" s="370"/>
      <c r="H190" s="370"/>
      <c r="I190" s="146"/>
      <c r="J190" s="146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</row>
    <row r="191" spans="1:22" ht="14.1" hidden="1" customHeight="1" x14ac:dyDescent="0.25">
      <c r="A191" s="368"/>
      <c r="B191" s="363" t="s">
        <v>71</v>
      </c>
      <c r="C191" s="363"/>
      <c r="D191" s="363"/>
      <c r="E191" s="145"/>
      <c r="F191" s="364">
        <f>IFERROR(F171/(F187*3.413),"")</f>
        <v>2.383538201924526E-2</v>
      </c>
      <c r="G191" s="364"/>
      <c r="H191" s="364"/>
      <c r="I191" s="146"/>
      <c r="J191" s="146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</row>
    <row r="192" spans="1:22" ht="14.1" hidden="1" customHeight="1" x14ac:dyDescent="0.25">
      <c r="A192" s="368"/>
      <c r="B192" s="363" t="s">
        <v>87</v>
      </c>
      <c r="C192" s="363"/>
      <c r="D192" s="363"/>
      <c r="E192" s="145"/>
      <c r="F192" s="365"/>
      <c r="G192" s="365"/>
      <c r="H192" s="365"/>
      <c r="I192" s="146"/>
      <c r="J192" s="146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</row>
    <row r="193" spans="1:22" ht="14.1" hidden="1" customHeight="1" x14ac:dyDescent="0.25">
      <c r="A193" s="368"/>
      <c r="B193" s="363" t="s">
        <v>88</v>
      </c>
      <c r="C193" s="363"/>
      <c r="D193" s="363"/>
      <c r="E193" s="145"/>
      <c r="F193" s="151">
        <v>264.8</v>
      </c>
      <c r="G193" s="152"/>
      <c r="H193" s="153">
        <f>CONVERT(F193,"F","C")</f>
        <v>129.33333333333334</v>
      </c>
      <c r="I193" s="146"/>
      <c r="J193" s="146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</row>
    <row r="194" spans="1:22" ht="14.1" hidden="1" customHeight="1" x14ac:dyDescent="0.25">
      <c r="A194" s="368"/>
      <c r="B194" s="363" t="s">
        <v>89</v>
      </c>
      <c r="C194" s="363"/>
      <c r="D194" s="363"/>
      <c r="E194" s="145"/>
      <c r="F194" s="151">
        <v>134</v>
      </c>
      <c r="G194" s="152"/>
      <c r="H194" s="153">
        <f t="shared" ref="H194:H195" si="42">CONVERT(F194,"F","C")</f>
        <v>56.666666666666664</v>
      </c>
      <c r="I194" s="146"/>
      <c r="J194" s="146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</row>
    <row r="195" spans="1:22" ht="14.1" hidden="1" customHeight="1" x14ac:dyDescent="0.25">
      <c r="A195" s="368"/>
      <c r="B195" s="363"/>
      <c r="C195" s="363"/>
      <c r="D195" s="363"/>
      <c r="E195" s="145"/>
      <c r="F195" s="151">
        <v>5</v>
      </c>
      <c r="G195" s="152"/>
      <c r="H195" s="153">
        <f t="shared" si="42"/>
        <v>-15</v>
      </c>
      <c r="I195" s="146"/>
      <c r="J195" s="146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</row>
    <row r="196" spans="1:22" ht="14.1" customHeight="1" outlineLevel="1" x14ac:dyDescent="0.25">
      <c r="A196" s="368"/>
      <c r="B196" s="363" t="s">
        <v>90</v>
      </c>
      <c r="C196" s="363"/>
      <c r="D196" s="363"/>
      <c r="E196" s="145"/>
      <c r="F196" s="151">
        <v>40</v>
      </c>
      <c r="G196" s="152"/>
      <c r="H196" s="154">
        <f>F196/1.8</f>
        <v>22.222222222222221</v>
      </c>
      <c r="I196" s="146"/>
      <c r="J196" s="146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</row>
    <row r="197" spans="1:22" ht="14.1" customHeight="1" outlineLevel="1" x14ac:dyDescent="0.25">
      <c r="A197" s="368"/>
      <c r="B197" s="363" t="s">
        <v>91</v>
      </c>
      <c r="C197" s="363"/>
      <c r="D197" s="363"/>
      <c r="E197" s="145"/>
      <c r="F197" s="151">
        <v>35</v>
      </c>
      <c r="G197" s="152"/>
      <c r="H197" s="154">
        <f>F197/1.8</f>
        <v>19.444444444444443</v>
      </c>
      <c r="I197" s="146"/>
      <c r="J197" s="146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</row>
    <row r="198" spans="1:22" ht="14.1" hidden="1" customHeight="1" x14ac:dyDescent="0.25">
      <c r="A198" s="368"/>
      <c r="B198" s="363" t="s">
        <v>99</v>
      </c>
      <c r="C198" s="363"/>
      <c r="D198" s="363"/>
      <c r="E198" s="145"/>
      <c r="F198" s="155">
        <v>1710</v>
      </c>
      <c r="G198" s="156"/>
      <c r="H198" s="157">
        <f>F198*0.0689476</f>
        <v>117.900396</v>
      </c>
      <c r="I198" s="146"/>
      <c r="J198" s="146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</row>
    <row r="199" spans="1:22" ht="14.1" hidden="1" customHeight="1" x14ac:dyDescent="0.25">
      <c r="A199" s="368"/>
      <c r="B199" s="363" t="s">
        <v>73</v>
      </c>
      <c r="C199" s="363"/>
      <c r="D199" s="363"/>
      <c r="E199" s="145"/>
      <c r="F199" s="166">
        <v>100</v>
      </c>
      <c r="G199" s="153">
        <v>14</v>
      </c>
      <c r="H199" s="153">
        <f t="shared" ref="H199:H200" si="43">CONVERT(F199,"F","C")</f>
        <v>37.777777777777779</v>
      </c>
      <c r="I199" s="146"/>
      <c r="J199" s="146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</row>
    <row r="200" spans="1:22" ht="14.1" hidden="1" customHeight="1" x14ac:dyDescent="0.25">
      <c r="A200" s="368"/>
      <c r="B200" s="363" t="s">
        <v>74</v>
      </c>
      <c r="C200" s="363"/>
      <c r="D200" s="363"/>
      <c r="E200" s="145"/>
      <c r="F200" s="166">
        <v>120</v>
      </c>
      <c r="G200" s="153">
        <v>4.5</v>
      </c>
      <c r="H200" s="153">
        <f t="shared" si="43"/>
        <v>48.888888888888886</v>
      </c>
      <c r="I200" s="146"/>
      <c r="J200" s="146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</row>
    <row r="201" spans="1:22" ht="14.1" hidden="1" customHeight="1" x14ac:dyDescent="0.25">
      <c r="A201" s="368"/>
      <c r="B201" s="363" t="s">
        <v>100</v>
      </c>
      <c r="C201" s="363"/>
      <c r="D201" s="363"/>
      <c r="E201" s="145"/>
      <c r="F201" s="366">
        <v>55.68</v>
      </c>
      <c r="G201" s="366"/>
      <c r="H201" s="366"/>
      <c r="I201" s="146"/>
      <c r="J201" s="146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</row>
    <row r="202" spans="1:22" ht="14.1" customHeight="1" outlineLevel="2" x14ac:dyDescent="0.25">
      <c r="A202" s="368"/>
      <c r="B202" s="363" t="s">
        <v>101</v>
      </c>
      <c r="C202" s="363"/>
      <c r="D202" s="363"/>
      <c r="E202" s="145"/>
      <c r="F202" s="367">
        <v>0.745</v>
      </c>
      <c r="G202" s="367"/>
      <c r="H202" s="36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</row>
    <row r="203" spans="1:22" ht="14.1" customHeight="1" outlineLevel="2" x14ac:dyDescent="0.25">
      <c r="A203" s="361" t="s">
        <v>103</v>
      </c>
      <c r="B203" s="328" t="s">
        <v>64</v>
      </c>
      <c r="C203" s="328"/>
      <c r="D203" s="328"/>
      <c r="E203" s="125"/>
      <c r="F203" s="133">
        <v>292.44</v>
      </c>
      <c r="G203" s="134"/>
      <c r="H203" s="135">
        <f>F203/12</f>
        <v>24.37</v>
      </c>
      <c r="I203" s="121"/>
      <c r="J203" s="121"/>
      <c r="K203" s="121"/>
      <c r="L203" s="121"/>
      <c r="M203" s="121"/>
      <c r="N203" s="121"/>
      <c r="O203" s="121"/>
      <c r="P203" s="121"/>
      <c r="Q203" s="121"/>
      <c r="R203" s="121"/>
      <c r="S203" s="121"/>
      <c r="T203" s="121"/>
      <c r="U203" s="121"/>
      <c r="V203" s="121"/>
    </row>
    <row r="204" spans="1:22" ht="14.1" customHeight="1" outlineLevel="2" x14ac:dyDescent="0.25">
      <c r="A204" s="361"/>
      <c r="B204" s="328" t="s">
        <v>65</v>
      </c>
      <c r="C204" s="328"/>
      <c r="D204" s="328"/>
      <c r="E204" s="125"/>
      <c r="F204" s="136">
        <f>F203</f>
        <v>292.44</v>
      </c>
      <c r="G204" s="134"/>
      <c r="H204" s="135">
        <f>F204/12</f>
        <v>24.37</v>
      </c>
      <c r="I204" s="121"/>
      <c r="J204" s="121"/>
      <c r="K204" s="121"/>
      <c r="L204" s="121"/>
      <c r="M204" s="121"/>
      <c r="N204" s="121"/>
      <c r="O204" s="121"/>
      <c r="P204" s="121"/>
      <c r="Q204" s="121"/>
      <c r="R204" s="121"/>
      <c r="S204" s="121"/>
      <c r="T204" s="121"/>
      <c r="U204" s="121"/>
      <c r="V204" s="121"/>
    </row>
    <row r="205" spans="1:22" ht="14.1" customHeight="1" outlineLevel="2" x14ac:dyDescent="0.25">
      <c r="A205" s="361"/>
      <c r="B205" s="328" t="s">
        <v>67</v>
      </c>
      <c r="C205" s="328"/>
      <c r="D205" s="328"/>
      <c r="E205" s="125"/>
      <c r="F205" s="326">
        <v>22.75</v>
      </c>
      <c r="G205" s="326"/>
      <c r="H205" s="326"/>
      <c r="I205" s="123"/>
      <c r="J205" s="123"/>
      <c r="K205" s="121"/>
      <c r="L205" s="121"/>
      <c r="M205" s="121"/>
      <c r="N205" s="121"/>
      <c r="O205" s="121"/>
      <c r="P205" s="121"/>
      <c r="Q205" s="121"/>
      <c r="R205" s="121"/>
      <c r="S205" s="121"/>
      <c r="T205" s="121"/>
      <c r="U205" s="121"/>
      <c r="V205" s="121"/>
    </row>
    <row r="206" spans="1:22" ht="14.1" customHeight="1" outlineLevel="2" x14ac:dyDescent="0.25">
      <c r="A206" s="361"/>
      <c r="B206" s="328" t="s">
        <v>69</v>
      </c>
      <c r="C206" s="328"/>
      <c r="D206" s="328"/>
      <c r="E206" s="125"/>
      <c r="F206" s="133">
        <f>H206*3.413</f>
        <v>370.08574999999996</v>
      </c>
      <c r="G206" s="137"/>
      <c r="H206" s="138">
        <f>IF(F204+3.413*F205=0,"",(F204+3.413*F205)/3.413)</f>
        <v>108.43414884266041</v>
      </c>
      <c r="I206" s="123"/>
      <c r="J206" s="123"/>
      <c r="K206" s="121"/>
      <c r="L206" s="121"/>
      <c r="M206" s="121"/>
      <c r="N206" s="121"/>
      <c r="O206" s="121"/>
      <c r="P206" s="121"/>
      <c r="Q206" s="121"/>
      <c r="R206" s="121"/>
      <c r="S206" s="121"/>
      <c r="T206" s="121"/>
      <c r="U206" s="121"/>
      <c r="V206" s="121"/>
    </row>
    <row r="207" spans="1:22" ht="14.1" customHeight="1" outlineLevel="2" x14ac:dyDescent="0.25">
      <c r="A207" s="361"/>
      <c r="B207" s="328" t="s">
        <v>70</v>
      </c>
      <c r="C207" s="328"/>
      <c r="D207" s="328"/>
      <c r="E207" s="125"/>
      <c r="F207" s="360">
        <f>IFERROR(H206/(F205+4.6),"")</f>
        <v>3.964685515270947</v>
      </c>
      <c r="G207" s="360"/>
      <c r="H207" s="360"/>
      <c r="I207" s="123"/>
      <c r="J207" s="123"/>
      <c r="K207" s="121"/>
      <c r="L207" s="121"/>
      <c r="M207" s="121"/>
      <c r="N207" s="121"/>
      <c r="O207" s="121"/>
      <c r="P207" s="121"/>
      <c r="Q207" s="121"/>
      <c r="R207" s="121"/>
      <c r="S207" s="121"/>
      <c r="T207" s="121"/>
      <c r="U207" s="121"/>
      <c r="V207" s="121"/>
    </row>
    <row r="208" spans="1:22" ht="14.1" customHeight="1" outlineLevel="2" x14ac:dyDescent="0.25">
      <c r="A208" s="361"/>
      <c r="B208" s="328" t="s">
        <v>71</v>
      </c>
      <c r="C208" s="328"/>
      <c r="D208" s="328"/>
      <c r="E208" s="125"/>
      <c r="F208" s="360">
        <f>IFERROR(F204/(F205*3.413),"")</f>
        <v>3.7663362128641946</v>
      </c>
      <c r="G208" s="360"/>
      <c r="H208" s="360"/>
      <c r="I208" s="123"/>
      <c r="J208" s="123"/>
      <c r="K208" s="121"/>
      <c r="L208" s="121"/>
      <c r="M208" s="121"/>
      <c r="N208" s="121"/>
      <c r="O208" s="121"/>
      <c r="P208" s="121"/>
      <c r="Q208" s="121"/>
      <c r="R208" s="121"/>
      <c r="S208" s="121"/>
      <c r="T208" s="121"/>
      <c r="U208" s="121"/>
      <c r="V208" s="121"/>
    </row>
    <row r="209" spans="1:22" ht="14.1" customHeight="1" outlineLevel="2" x14ac:dyDescent="0.25">
      <c r="A209" s="361"/>
      <c r="B209" s="328" t="s">
        <v>87</v>
      </c>
      <c r="C209" s="328"/>
      <c r="D209" s="328"/>
      <c r="E209" s="125"/>
      <c r="F209" s="356"/>
      <c r="G209" s="356"/>
      <c r="H209" s="356"/>
      <c r="I209" s="123"/>
      <c r="J209" s="123"/>
      <c r="K209" s="121"/>
      <c r="L209" s="121"/>
      <c r="M209" s="121"/>
      <c r="N209" s="121"/>
      <c r="O209" s="121"/>
      <c r="P209" s="121"/>
      <c r="Q209" s="121"/>
      <c r="R209" s="121"/>
      <c r="S209" s="121"/>
      <c r="T209" s="121"/>
      <c r="U209" s="121"/>
      <c r="V209" s="121"/>
    </row>
    <row r="210" spans="1:22" ht="14.1" customHeight="1" outlineLevel="2" x14ac:dyDescent="0.25">
      <c r="A210" s="361"/>
      <c r="B210" s="328" t="s">
        <v>88</v>
      </c>
      <c r="C210" s="328"/>
      <c r="D210" s="328"/>
      <c r="E210" s="125"/>
      <c r="F210" s="139">
        <v>264.8</v>
      </c>
      <c r="G210" s="140"/>
      <c r="H210" s="132">
        <f>CONVERT(F210,"F","C")</f>
        <v>129.33333333333334</v>
      </c>
      <c r="I210" s="123"/>
      <c r="J210" s="123"/>
      <c r="K210" s="121"/>
      <c r="L210" s="121"/>
      <c r="M210" s="121"/>
      <c r="N210" s="121"/>
      <c r="O210" s="121"/>
      <c r="P210" s="121"/>
      <c r="Q210" s="121"/>
      <c r="R210" s="121"/>
      <c r="S210" s="121"/>
      <c r="T210" s="121"/>
      <c r="U210" s="121"/>
      <c r="V210" s="121"/>
    </row>
    <row r="211" spans="1:22" ht="14.1" customHeight="1" outlineLevel="2" x14ac:dyDescent="0.25">
      <c r="A211" s="361"/>
      <c r="B211" s="328" t="s">
        <v>89</v>
      </c>
      <c r="C211" s="328"/>
      <c r="D211" s="328"/>
      <c r="E211" s="125"/>
      <c r="F211" s="139">
        <v>134</v>
      </c>
      <c r="G211" s="140"/>
      <c r="H211" s="132">
        <f t="shared" ref="H211:H212" si="44">CONVERT(F211,"F","C")</f>
        <v>56.666666666666664</v>
      </c>
      <c r="I211" s="123"/>
      <c r="J211" s="123"/>
      <c r="K211" s="121"/>
      <c r="L211" s="121"/>
      <c r="M211" s="121"/>
      <c r="N211" s="121"/>
      <c r="O211" s="121"/>
      <c r="P211" s="121"/>
      <c r="Q211" s="121"/>
      <c r="R211" s="121"/>
      <c r="S211" s="121"/>
      <c r="T211" s="121"/>
      <c r="U211" s="121"/>
      <c r="V211" s="121"/>
    </row>
    <row r="212" spans="1:22" ht="14.1" customHeight="1" outlineLevel="2" x14ac:dyDescent="0.25">
      <c r="A212" s="361"/>
      <c r="B212" s="328"/>
      <c r="C212" s="328"/>
      <c r="D212" s="328"/>
      <c r="E212" s="125"/>
      <c r="F212" s="139">
        <v>38</v>
      </c>
      <c r="G212" s="140"/>
      <c r="H212" s="132">
        <f t="shared" si="44"/>
        <v>3.333333333333333</v>
      </c>
      <c r="I212" s="123"/>
      <c r="J212" s="123"/>
      <c r="K212" s="121"/>
      <c r="L212" s="121"/>
      <c r="M212" s="121"/>
      <c r="N212" s="121"/>
      <c r="O212" s="121"/>
      <c r="P212" s="121"/>
      <c r="Q212" s="121"/>
      <c r="R212" s="121"/>
      <c r="S212" s="121"/>
      <c r="T212" s="121"/>
      <c r="U212" s="121"/>
      <c r="V212" s="121"/>
    </row>
    <row r="213" spans="1:22" ht="14.1" hidden="1" customHeight="1" x14ac:dyDescent="0.25">
      <c r="A213" s="361"/>
      <c r="B213" s="328" t="s">
        <v>90</v>
      </c>
      <c r="C213" s="328"/>
      <c r="D213" s="328"/>
      <c r="E213" s="125"/>
      <c r="F213" s="139">
        <v>40</v>
      </c>
      <c r="G213" s="140"/>
      <c r="H213" s="144">
        <f>F213/1.8</f>
        <v>22.222222222222221</v>
      </c>
      <c r="I213" s="123"/>
      <c r="J213" s="123"/>
      <c r="K213" s="121"/>
      <c r="L213" s="121"/>
      <c r="M213" s="121"/>
      <c r="N213" s="121"/>
      <c r="O213" s="121"/>
      <c r="P213" s="121"/>
      <c r="Q213" s="121"/>
      <c r="R213" s="121"/>
      <c r="S213" s="121"/>
      <c r="T213" s="121"/>
      <c r="U213" s="121"/>
      <c r="V213" s="121"/>
    </row>
    <row r="214" spans="1:22" ht="2.1" hidden="1" customHeight="1" x14ac:dyDescent="0.25">
      <c r="A214" s="361"/>
      <c r="B214" s="328" t="s">
        <v>91</v>
      </c>
      <c r="C214" s="328"/>
      <c r="D214" s="328"/>
      <c r="E214" s="125"/>
      <c r="F214" s="139">
        <v>35</v>
      </c>
      <c r="G214" s="140"/>
      <c r="H214" s="144">
        <f>F214/1.8</f>
        <v>19.444444444444443</v>
      </c>
      <c r="I214" s="123"/>
      <c r="J214" s="123"/>
      <c r="K214" s="121"/>
      <c r="L214" s="121"/>
      <c r="M214" s="121"/>
      <c r="N214" s="121"/>
      <c r="O214" s="121"/>
      <c r="P214" s="121"/>
      <c r="Q214" s="121"/>
      <c r="R214" s="121"/>
      <c r="S214" s="121"/>
      <c r="T214" s="121"/>
      <c r="U214" s="121"/>
      <c r="V214" s="121"/>
    </row>
    <row r="215" spans="1:22" ht="14.1" hidden="1" customHeight="1" x14ac:dyDescent="0.25">
      <c r="A215" s="361"/>
      <c r="B215" s="328" t="s">
        <v>99</v>
      </c>
      <c r="C215" s="328"/>
      <c r="D215" s="328"/>
      <c r="E215" s="125"/>
      <c r="F215" s="141">
        <v>1710</v>
      </c>
      <c r="G215" s="142"/>
      <c r="H215" s="143">
        <f>F215*0.0689476</f>
        <v>117.900396</v>
      </c>
      <c r="I215" s="123"/>
      <c r="J215" s="123"/>
      <c r="K215" s="121"/>
      <c r="L215" s="121"/>
      <c r="M215" s="121"/>
      <c r="N215" s="121"/>
      <c r="O215" s="121"/>
      <c r="P215" s="121"/>
      <c r="Q215" s="121"/>
      <c r="R215" s="121"/>
      <c r="S215" s="121"/>
      <c r="T215" s="121"/>
      <c r="U215" s="121"/>
      <c r="V215" s="121"/>
    </row>
    <row r="216" spans="1:22" ht="14.1" hidden="1" customHeight="1" x14ac:dyDescent="0.25">
      <c r="A216" s="361"/>
      <c r="B216" s="165"/>
      <c r="C216" s="165"/>
      <c r="D216" s="165"/>
      <c r="E216" s="125"/>
      <c r="F216" s="141"/>
      <c r="G216" s="142"/>
      <c r="H216" s="143"/>
      <c r="I216" s="123"/>
      <c r="J216" s="123"/>
      <c r="K216" s="121"/>
      <c r="L216" s="121"/>
      <c r="M216" s="121"/>
      <c r="N216" s="121"/>
      <c r="O216" s="121"/>
      <c r="P216" s="121"/>
      <c r="Q216" s="121"/>
      <c r="R216" s="121"/>
      <c r="S216" s="121"/>
      <c r="T216" s="121"/>
      <c r="U216" s="121"/>
      <c r="V216" s="121"/>
    </row>
    <row r="217" spans="1:22" ht="14.1" hidden="1" customHeight="1" x14ac:dyDescent="0.25">
      <c r="A217" s="361"/>
      <c r="B217" s="165"/>
      <c r="C217" s="165"/>
      <c r="D217" s="165"/>
      <c r="E217" s="125"/>
      <c r="F217" s="141"/>
      <c r="G217" s="142"/>
      <c r="H217" s="143"/>
      <c r="I217" s="123"/>
      <c r="J217" s="123"/>
      <c r="K217" s="121"/>
      <c r="L217" s="121"/>
      <c r="M217" s="121"/>
      <c r="N217" s="121"/>
      <c r="O217" s="121"/>
      <c r="P217" s="121"/>
      <c r="Q217" s="121"/>
      <c r="R217" s="121"/>
      <c r="S217" s="121"/>
      <c r="T217" s="121"/>
      <c r="U217" s="121"/>
      <c r="V217" s="121"/>
    </row>
    <row r="218" spans="1:22" ht="14.1" hidden="1" customHeight="1" x14ac:dyDescent="0.25">
      <c r="A218" s="361"/>
      <c r="B218" s="328" t="s">
        <v>100</v>
      </c>
      <c r="C218" s="328"/>
      <c r="D218" s="328"/>
      <c r="E218" s="125"/>
      <c r="F218" s="340">
        <v>8.76</v>
      </c>
      <c r="G218" s="340"/>
      <c r="H218" s="340"/>
      <c r="I218" s="123"/>
      <c r="J218" s="123"/>
      <c r="K218" s="121"/>
      <c r="L218" s="121"/>
      <c r="M218" s="121"/>
      <c r="N218" s="121"/>
      <c r="O218" s="121"/>
      <c r="P218" s="121"/>
      <c r="Q218" s="121"/>
      <c r="R218" s="121"/>
      <c r="S218" s="121"/>
      <c r="T218" s="121"/>
      <c r="U218" s="121"/>
      <c r="V218" s="121"/>
    </row>
    <row r="219" spans="1:22" ht="14.1" hidden="1" customHeight="1" x14ac:dyDescent="0.25">
      <c r="A219" s="361"/>
      <c r="B219" s="328" t="s">
        <v>101</v>
      </c>
      <c r="C219" s="328"/>
      <c r="D219" s="328"/>
      <c r="E219" s="125"/>
      <c r="F219" s="343">
        <v>0.4</v>
      </c>
      <c r="G219" s="343"/>
      <c r="H219" s="343"/>
      <c r="I219" s="121"/>
      <c r="J219" s="121"/>
      <c r="K219" s="121"/>
      <c r="L219" s="121"/>
      <c r="M219" s="121"/>
      <c r="N219" s="121"/>
      <c r="O219" s="121"/>
      <c r="P219" s="121"/>
      <c r="Q219" s="121"/>
      <c r="R219" s="121"/>
      <c r="S219" s="121"/>
      <c r="T219" s="121"/>
      <c r="U219" s="121"/>
      <c r="V219" s="121"/>
    </row>
    <row r="220" spans="1:22" ht="14.1" hidden="1" customHeight="1" x14ac:dyDescent="0.25">
      <c r="A220" s="361" t="s">
        <v>104</v>
      </c>
      <c r="B220" s="328" t="s">
        <v>64</v>
      </c>
      <c r="C220" s="328"/>
      <c r="D220" s="328"/>
      <c r="E220" s="125"/>
      <c r="F220" s="133">
        <v>371.45400000000001</v>
      </c>
      <c r="G220" s="134"/>
      <c r="H220" s="135">
        <f>F220/12</f>
        <v>30.954499999999999</v>
      </c>
      <c r="I220" s="121"/>
      <c r="J220" s="121"/>
      <c r="K220" s="121"/>
      <c r="L220" s="121"/>
      <c r="M220" s="121"/>
      <c r="N220" s="121"/>
      <c r="O220" s="121"/>
      <c r="P220" s="121"/>
      <c r="Q220" s="121"/>
      <c r="R220" s="121"/>
      <c r="S220" s="121"/>
      <c r="T220" s="121"/>
      <c r="U220" s="121"/>
      <c r="V220" s="121"/>
    </row>
    <row r="221" spans="1:22" ht="14.1" customHeight="1" outlineLevel="3" x14ac:dyDescent="0.25">
      <c r="A221" s="361"/>
      <c r="B221" s="328" t="s">
        <v>65</v>
      </c>
      <c r="C221" s="328"/>
      <c r="D221" s="328"/>
      <c r="E221" s="125"/>
      <c r="F221" s="136">
        <f>F220</f>
        <v>371.45400000000001</v>
      </c>
      <c r="G221" s="134"/>
      <c r="H221" s="135">
        <f>F221/12</f>
        <v>30.954499999999999</v>
      </c>
      <c r="I221" s="121"/>
      <c r="J221" s="121"/>
      <c r="K221" s="121"/>
      <c r="L221" s="121"/>
      <c r="M221" s="121"/>
      <c r="N221" s="121"/>
      <c r="O221" s="121"/>
      <c r="P221" s="121"/>
      <c r="Q221" s="121"/>
      <c r="R221" s="121"/>
      <c r="S221" s="121"/>
      <c r="T221" s="121"/>
      <c r="U221" s="121"/>
      <c r="V221" s="121"/>
    </row>
    <row r="222" spans="1:22" ht="14.1" customHeight="1" outlineLevel="3" x14ac:dyDescent="0.25">
      <c r="A222" s="361"/>
      <c r="B222" s="328" t="s">
        <v>67</v>
      </c>
      <c r="C222" s="328"/>
      <c r="D222" s="328"/>
      <c r="E222" s="125"/>
      <c r="F222" s="326">
        <v>43.433</v>
      </c>
      <c r="G222" s="326"/>
      <c r="H222" s="326"/>
      <c r="I222" s="123"/>
      <c r="J222" s="123"/>
      <c r="K222" s="121"/>
      <c r="L222" s="121"/>
      <c r="M222" s="121"/>
      <c r="N222" s="121"/>
      <c r="O222" s="121"/>
      <c r="P222" s="121"/>
      <c r="Q222" s="121"/>
      <c r="R222" s="121"/>
      <c r="S222" s="121"/>
      <c r="T222" s="121"/>
      <c r="U222" s="121"/>
      <c r="V222" s="121"/>
    </row>
    <row r="223" spans="1:22" ht="14.1" customHeight="1" outlineLevel="3" x14ac:dyDescent="0.25">
      <c r="A223" s="361"/>
      <c r="B223" s="328" t="s">
        <v>68</v>
      </c>
      <c r="C223" s="328"/>
      <c r="D223" s="328"/>
      <c r="E223" s="125"/>
      <c r="F223" s="326">
        <f>F35</f>
        <v>10.199999999999999</v>
      </c>
      <c r="G223" s="326"/>
      <c r="H223" s="326"/>
      <c r="I223" s="123"/>
      <c r="J223" s="123"/>
      <c r="K223" s="121"/>
      <c r="L223" s="121"/>
      <c r="M223" s="121"/>
      <c r="N223" s="121"/>
      <c r="O223" s="121"/>
      <c r="P223" s="121"/>
      <c r="Q223" s="121"/>
      <c r="R223" s="121"/>
      <c r="S223" s="121"/>
      <c r="T223" s="121"/>
      <c r="U223" s="121"/>
      <c r="V223" s="121"/>
    </row>
    <row r="224" spans="1:22" ht="14.1" customHeight="1" outlineLevel="3" x14ac:dyDescent="0.25">
      <c r="A224" s="361"/>
      <c r="B224" s="328" t="s">
        <v>69</v>
      </c>
      <c r="C224" s="328"/>
      <c r="D224" s="328"/>
      <c r="E224" s="125"/>
      <c r="F224" s="133">
        <f>H224*3.413</f>
        <v>519.69082900000001</v>
      </c>
      <c r="G224" s="137"/>
      <c r="H224" s="138">
        <f>IF(F221+3.413*F222=0,"",(F221+3.413*F222)/3.413)</f>
        <v>152.26804248461764</v>
      </c>
      <c r="I224" s="123"/>
      <c r="J224" s="123"/>
      <c r="K224" s="121"/>
      <c r="L224" s="121"/>
      <c r="M224" s="121"/>
      <c r="N224" s="121"/>
      <c r="O224" s="121"/>
      <c r="P224" s="121"/>
      <c r="Q224" s="121"/>
      <c r="R224" s="121"/>
      <c r="S224" s="121"/>
      <c r="T224" s="121"/>
      <c r="U224" s="121"/>
      <c r="V224" s="121"/>
    </row>
    <row r="225" spans="1:22" ht="14.1" customHeight="1" outlineLevel="3" x14ac:dyDescent="0.25">
      <c r="A225" s="361"/>
      <c r="B225" s="328" t="s">
        <v>70</v>
      </c>
      <c r="C225" s="328"/>
      <c r="D225" s="328"/>
      <c r="E225" s="125"/>
      <c r="F225" s="329">
        <f>IFERROR(H224/(F222+F223),"")</f>
        <v>2.8390737509484394</v>
      </c>
      <c r="G225" s="329"/>
      <c r="H225" s="329"/>
      <c r="I225" s="123"/>
      <c r="J225" s="123"/>
      <c r="K225" s="121"/>
      <c r="L225" s="121"/>
      <c r="M225" s="121"/>
      <c r="N225" s="121"/>
      <c r="O225" s="121"/>
      <c r="P225" s="121"/>
      <c r="Q225" s="121"/>
      <c r="R225" s="121"/>
      <c r="S225" s="121"/>
      <c r="T225" s="121"/>
      <c r="U225" s="121"/>
      <c r="V225" s="121"/>
    </row>
    <row r="226" spans="1:22" ht="14.1" customHeight="1" outlineLevel="3" x14ac:dyDescent="0.25">
      <c r="A226" s="361"/>
      <c r="B226" s="328" t="s">
        <v>71</v>
      </c>
      <c r="C226" s="328"/>
      <c r="D226" s="328"/>
      <c r="E226" s="125"/>
      <c r="F226" s="360">
        <f>IFERROR(F221/(F222*3.413),"")</f>
        <v>2.5058145300720107</v>
      </c>
      <c r="G226" s="360"/>
      <c r="H226" s="360"/>
      <c r="I226" s="123"/>
      <c r="J226" s="123"/>
      <c r="K226" s="121"/>
      <c r="L226" s="121"/>
      <c r="M226" s="121"/>
      <c r="N226" s="121"/>
      <c r="O226" s="121"/>
      <c r="P226" s="121"/>
      <c r="Q226" s="121"/>
      <c r="R226" s="121"/>
      <c r="S226" s="121"/>
      <c r="T226" s="121"/>
      <c r="U226" s="121"/>
      <c r="V226" s="121"/>
    </row>
    <row r="227" spans="1:22" ht="14.1" customHeight="1" outlineLevel="3" x14ac:dyDescent="0.25">
      <c r="A227" s="361"/>
      <c r="B227" s="328" t="s">
        <v>87</v>
      </c>
      <c r="C227" s="328"/>
      <c r="D227" s="328"/>
      <c r="E227" s="125"/>
      <c r="F227" s="356"/>
      <c r="G227" s="356"/>
      <c r="H227" s="356"/>
      <c r="I227" s="123"/>
      <c r="J227" s="123"/>
      <c r="K227" s="121"/>
      <c r="L227" s="121"/>
      <c r="M227" s="121"/>
      <c r="N227" s="121"/>
      <c r="O227" s="121"/>
      <c r="P227" s="121"/>
      <c r="Q227" s="121"/>
      <c r="R227" s="121"/>
      <c r="S227" s="121"/>
      <c r="T227" s="121"/>
      <c r="U227" s="121"/>
      <c r="V227" s="121"/>
    </row>
    <row r="228" spans="1:22" ht="14.1" customHeight="1" outlineLevel="3" x14ac:dyDescent="0.25">
      <c r="A228" s="361"/>
      <c r="B228" s="328" t="s">
        <v>88</v>
      </c>
      <c r="C228" s="328"/>
      <c r="D228" s="328"/>
      <c r="E228" s="125"/>
      <c r="F228" s="139">
        <v>264.8</v>
      </c>
      <c r="G228" s="140"/>
      <c r="H228" s="132">
        <f>CONVERT(F228,"F","C")</f>
        <v>129.33333333333334</v>
      </c>
      <c r="I228" s="123"/>
      <c r="J228" s="123"/>
      <c r="K228" s="121"/>
      <c r="L228" s="121"/>
      <c r="M228" s="121"/>
      <c r="N228" s="121"/>
      <c r="O228" s="121"/>
      <c r="P228" s="121"/>
      <c r="Q228" s="121"/>
      <c r="R228" s="121"/>
      <c r="S228" s="121"/>
      <c r="T228" s="121"/>
      <c r="U228" s="121"/>
      <c r="V228" s="121"/>
    </row>
    <row r="229" spans="1:22" ht="14.1" customHeight="1" outlineLevel="3" x14ac:dyDescent="0.25">
      <c r="A229" s="361"/>
      <c r="B229" s="328" t="s">
        <v>89</v>
      </c>
      <c r="C229" s="328"/>
      <c r="D229" s="328"/>
      <c r="E229" s="125"/>
      <c r="F229" s="139">
        <v>134</v>
      </c>
      <c r="G229" s="140"/>
      <c r="H229" s="132">
        <f t="shared" ref="H229:H230" si="45">CONVERT(F229,"F","C")</f>
        <v>56.666666666666664</v>
      </c>
      <c r="I229" s="123"/>
      <c r="J229" s="123"/>
      <c r="K229" s="121"/>
      <c r="L229" s="121"/>
      <c r="M229" s="121"/>
      <c r="N229" s="121"/>
      <c r="O229" s="121"/>
      <c r="P229" s="121"/>
      <c r="Q229" s="121"/>
      <c r="R229" s="121"/>
      <c r="S229" s="121"/>
      <c r="T229" s="121"/>
      <c r="U229" s="121"/>
      <c r="V229" s="121"/>
    </row>
    <row r="230" spans="1:22" ht="14.1" customHeight="1" outlineLevel="3" x14ac:dyDescent="0.25">
      <c r="A230" s="361"/>
      <c r="B230" s="328"/>
      <c r="C230" s="328"/>
      <c r="D230" s="328"/>
      <c r="E230" s="125"/>
      <c r="F230" s="139">
        <v>38</v>
      </c>
      <c r="G230" s="140"/>
      <c r="H230" s="132">
        <f t="shared" si="45"/>
        <v>3.333333333333333</v>
      </c>
      <c r="I230" s="123"/>
      <c r="J230" s="123"/>
      <c r="K230" s="121"/>
      <c r="L230" s="121"/>
      <c r="M230" s="121"/>
      <c r="N230" s="121"/>
      <c r="O230" s="121"/>
      <c r="P230" s="121"/>
      <c r="Q230" s="121"/>
      <c r="R230" s="121"/>
      <c r="S230" s="121"/>
      <c r="T230" s="121"/>
      <c r="U230" s="121"/>
      <c r="V230" s="121"/>
    </row>
    <row r="231" spans="1:22" ht="14.1" hidden="1" customHeight="1" x14ac:dyDescent="0.25">
      <c r="A231" s="361"/>
      <c r="B231" s="328" t="s">
        <v>90</v>
      </c>
      <c r="C231" s="328"/>
      <c r="D231" s="328"/>
      <c r="E231" s="125"/>
      <c r="F231" s="139">
        <v>40</v>
      </c>
      <c r="G231" s="140"/>
      <c r="H231" s="144">
        <f>F231/1.8</f>
        <v>22.222222222222221</v>
      </c>
      <c r="I231" s="123"/>
      <c r="J231" s="123"/>
      <c r="K231" s="121"/>
      <c r="L231" s="121"/>
      <c r="M231" s="121"/>
      <c r="N231" s="121"/>
      <c r="O231" s="121"/>
      <c r="P231" s="121"/>
      <c r="Q231" s="121"/>
      <c r="R231" s="121"/>
      <c r="S231" s="121"/>
      <c r="T231" s="121"/>
      <c r="U231" s="121"/>
      <c r="V231" s="121"/>
    </row>
    <row r="232" spans="1:22" ht="14.1" hidden="1" customHeight="1" x14ac:dyDescent="0.25">
      <c r="A232" s="361"/>
      <c r="B232" s="328" t="s">
        <v>91</v>
      </c>
      <c r="C232" s="328"/>
      <c r="D232" s="328"/>
      <c r="E232" s="125"/>
      <c r="F232" s="139">
        <v>35</v>
      </c>
      <c r="G232" s="140"/>
      <c r="H232" s="144">
        <f>F232/1.8</f>
        <v>19.444444444444443</v>
      </c>
      <c r="I232" s="123"/>
      <c r="J232" s="123"/>
      <c r="K232" s="121"/>
      <c r="L232" s="121"/>
      <c r="M232" s="121"/>
      <c r="N232" s="121"/>
      <c r="O232" s="121"/>
      <c r="P232" s="121"/>
      <c r="Q232" s="121"/>
      <c r="R232" s="121"/>
      <c r="S232" s="121"/>
      <c r="T232" s="121"/>
      <c r="U232" s="121"/>
      <c r="V232" s="121"/>
    </row>
    <row r="233" spans="1:22" ht="14.1" hidden="1" customHeight="1" x14ac:dyDescent="0.25">
      <c r="A233" s="361"/>
      <c r="B233" s="328" t="s">
        <v>99</v>
      </c>
      <c r="C233" s="328"/>
      <c r="D233" s="328"/>
      <c r="E233" s="125"/>
      <c r="F233" s="141">
        <v>1710</v>
      </c>
      <c r="G233" s="142"/>
      <c r="H233" s="143">
        <f>F233*0.0689476</f>
        <v>117.900396</v>
      </c>
      <c r="I233" s="123"/>
      <c r="J233" s="123"/>
      <c r="K233" s="121"/>
      <c r="L233" s="121"/>
      <c r="M233" s="121"/>
      <c r="N233" s="121"/>
      <c r="O233" s="121"/>
      <c r="P233" s="121"/>
      <c r="Q233" s="121"/>
      <c r="R233" s="121"/>
      <c r="S233" s="121"/>
      <c r="T233" s="121"/>
      <c r="U233" s="121"/>
      <c r="V233" s="121"/>
    </row>
    <row r="234" spans="1:22" ht="14.1" hidden="1" customHeight="1" x14ac:dyDescent="0.25">
      <c r="A234" s="361"/>
      <c r="B234" s="372" t="s">
        <v>73</v>
      </c>
      <c r="C234" s="328"/>
      <c r="D234" s="328"/>
      <c r="E234" s="328"/>
      <c r="F234" s="131">
        <v>85</v>
      </c>
      <c r="G234" s="132">
        <v>14</v>
      </c>
      <c r="H234" s="132">
        <f t="shared" ref="H234:H235" si="46">CONVERT(F234,"F","C")</f>
        <v>29.444444444444443</v>
      </c>
      <c r="I234" s="123"/>
      <c r="J234" s="123"/>
      <c r="K234" s="121"/>
      <c r="L234" s="121"/>
      <c r="M234" s="121"/>
      <c r="N234" s="121"/>
      <c r="O234" s="121"/>
      <c r="P234" s="121"/>
      <c r="Q234" s="121"/>
      <c r="R234" s="121"/>
      <c r="S234" s="121"/>
      <c r="T234" s="121"/>
      <c r="U234" s="121"/>
      <c r="V234" s="121"/>
    </row>
    <row r="235" spans="1:22" ht="14.1" hidden="1" customHeight="1" x14ac:dyDescent="0.25">
      <c r="A235" s="361"/>
      <c r="B235" s="372" t="s">
        <v>74</v>
      </c>
      <c r="C235" s="328"/>
      <c r="D235" s="328"/>
      <c r="E235" s="328"/>
      <c r="F235" s="131">
        <v>105</v>
      </c>
      <c r="G235" s="132">
        <v>4.5</v>
      </c>
      <c r="H235" s="132">
        <f t="shared" si="46"/>
        <v>40.555555555555557</v>
      </c>
      <c r="I235" s="123"/>
      <c r="J235" s="123"/>
      <c r="K235" s="121"/>
      <c r="L235" s="121"/>
      <c r="M235" s="121"/>
      <c r="N235" s="121"/>
      <c r="O235" s="121"/>
      <c r="P235" s="121"/>
      <c r="Q235" s="121"/>
      <c r="R235" s="121"/>
      <c r="S235" s="121"/>
      <c r="T235" s="121"/>
      <c r="U235" s="121"/>
      <c r="V235" s="121"/>
    </row>
    <row r="236" spans="1:22" ht="14.1" hidden="1" customHeight="1" x14ac:dyDescent="0.25">
      <c r="A236" s="361"/>
      <c r="B236" s="328" t="s">
        <v>100</v>
      </c>
      <c r="C236" s="328"/>
      <c r="D236" s="328"/>
      <c r="E236" s="125"/>
      <c r="F236" s="340">
        <v>56.24</v>
      </c>
      <c r="G236" s="340"/>
      <c r="H236" s="340"/>
      <c r="I236" s="123"/>
      <c r="J236" s="123"/>
      <c r="K236" s="121"/>
      <c r="L236" s="121"/>
      <c r="M236" s="121"/>
      <c r="N236" s="121"/>
      <c r="O236" s="121"/>
      <c r="P236" s="121"/>
      <c r="Q236" s="121"/>
      <c r="R236" s="121"/>
      <c r="S236" s="121"/>
      <c r="T236" s="121"/>
      <c r="U236" s="121"/>
      <c r="V236" s="121"/>
    </row>
    <row r="237" spans="1:22" ht="14.1" hidden="1" customHeight="1" x14ac:dyDescent="0.25">
      <c r="A237" s="361"/>
      <c r="B237" s="328" t="s">
        <v>101</v>
      </c>
      <c r="C237" s="328"/>
      <c r="D237" s="328"/>
      <c r="E237" s="125"/>
      <c r="F237" s="343">
        <v>0.79400000000000004</v>
      </c>
      <c r="G237" s="343"/>
      <c r="H237" s="343"/>
      <c r="I237" s="121"/>
      <c r="J237" s="121"/>
      <c r="K237" s="121"/>
      <c r="L237" s="121"/>
      <c r="M237" s="121"/>
      <c r="N237" s="121"/>
      <c r="O237" s="121"/>
      <c r="P237" s="121"/>
      <c r="Q237" s="121"/>
      <c r="R237" s="121"/>
      <c r="S237" s="121"/>
      <c r="T237" s="121"/>
      <c r="U237" s="121"/>
      <c r="V237" s="121"/>
    </row>
    <row r="238" spans="1:22" ht="14.1" hidden="1" customHeight="1" x14ac:dyDescent="0.25">
      <c r="A238" s="164"/>
      <c r="B238" s="162"/>
      <c r="C238" s="162"/>
      <c r="D238" s="162"/>
      <c r="E238" s="162"/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</row>
    <row r="239" spans="1:22" ht="14.1" hidden="1" customHeight="1" x14ac:dyDescent="0.25">
      <c r="A239" s="368" t="s">
        <v>105</v>
      </c>
      <c r="B239" s="363" t="s">
        <v>64</v>
      </c>
      <c r="C239" s="363"/>
      <c r="D239" s="363"/>
      <c r="E239" s="145"/>
      <c r="F239" s="148">
        <v>425.13600000000002</v>
      </c>
      <c r="G239" s="159"/>
      <c r="H239" s="160">
        <f>F239/12</f>
        <v>35.428000000000004</v>
      </c>
      <c r="I239" s="146"/>
      <c r="J239" s="146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</row>
    <row r="240" spans="1:22" ht="14.1" hidden="1" customHeight="1" x14ac:dyDescent="0.25">
      <c r="A240" s="368"/>
      <c r="B240" s="363" t="s">
        <v>65</v>
      </c>
      <c r="C240" s="363"/>
      <c r="D240" s="363"/>
      <c r="E240" s="145"/>
      <c r="F240" s="161">
        <f>F239</f>
        <v>425.13600000000002</v>
      </c>
      <c r="G240" s="159"/>
      <c r="H240" s="160">
        <f>F240/12</f>
        <v>35.428000000000004</v>
      </c>
      <c r="I240" s="146"/>
      <c r="J240" s="146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</row>
    <row r="241" spans="1:22" ht="14.1" hidden="1" customHeight="1" x14ac:dyDescent="0.25">
      <c r="A241" s="368"/>
      <c r="B241" s="363" t="s">
        <v>67</v>
      </c>
      <c r="C241" s="363"/>
      <c r="D241" s="363"/>
      <c r="E241" s="145"/>
      <c r="F241" s="369">
        <v>22.728999999999999</v>
      </c>
      <c r="G241" s="369"/>
      <c r="H241" s="369"/>
      <c r="I241" s="146"/>
      <c r="J241" s="146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</row>
    <row r="242" spans="1:22" ht="14.1" hidden="1" customHeight="1" x14ac:dyDescent="0.25">
      <c r="A242" s="368"/>
      <c r="B242" s="363" t="s">
        <v>69</v>
      </c>
      <c r="C242" s="363"/>
      <c r="D242" s="363"/>
      <c r="E242" s="145"/>
      <c r="F242" s="148">
        <f>H242*3.413</f>
        <v>502.71007700000001</v>
      </c>
      <c r="G242" s="149"/>
      <c r="H242" s="150">
        <f>IF(F239+3.413*F241=0,"",(F239+3.413*F241)/3.413)</f>
        <v>147.29272692645768</v>
      </c>
      <c r="I242" s="146"/>
      <c r="J242" s="146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</row>
    <row r="243" spans="1:22" ht="14.1" hidden="1" customHeight="1" x14ac:dyDescent="0.25">
      <c r="A243" s="368"/>
      <c r="B243" s="363" t="s">
        <v>70</v>
      </c>
      <c r="C243" s="363"/>
      <c r="D243" s="363"/>
      <c r="E243" s="145"/>
      <c r="F243" s="364">
        <f>IFERROR(H242/(F241+4.6),"")</f>
        <v>5.3896127529897795</v>
      </c>
      <c r="G243" s="364"/>
      <c r="H243" s="364"/>
      <c r="I243" s="146"/>
      <c r="J243" s="146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</row>
    <row r="244" spans="1:22" ht="14.1" hidden="1" customHeight="1" x14ac:dyDescent="0.25">
      <c r="A244" s="368"/>
      <c r="B244" s="363" t="s">
        <v>71</v>
      </c>
      <c r="C244" s="363"/>
      <c r="D244" s="363"/>
      <c r="E244" s="145"/>
      <c r="F244" s="364">
        <f>IFERROR(F225/(F241*3.413),"")</f>
        <v>3.6598227922820657E-2</v>
      </c>
      <c r="G244" s="364"/>
      <c r="H244" s="364"/>
      <c r="I244" s="146"/>
      <c r="J244" s="146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</row>
    <row r="245" spans="1:22" ht="14.1" hidden="1" customHeight="1" x14ac:dyDescent="0.25">
      <c r="A245" s="368"/>
      <c r="B245" s="363" t="s">
        <v>87</v>
      </c>
      <c r="C245" s="363"/>
      <c r="D245" s="363"/>
      <c r="E245" s="145"/>
      <c r="F245" s="365"/>
      <c r="G245" s="365"/>
      <c r="H245" s="365"/>
      <c r="I245" s="146"/>
      <c r="J245" s="146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</row>
    <row r="246" spans="1:22" ht="14.1" hidden="1" customHeight="1" x14ac:dyDescent="0.25">
      <c r="A246" s="368"/>
      <c r="B246" s="363" t="s">
        <v>88</v>
      </c>
      <c r="C246" s="363"/>
      <c r="D246" s="363"/>
      <c r="E246" s="145"/>
      <c r="F246" s="151">
        <v>264.8</v>
      </c>
      <c r="G246" s="152"/>
      <c r="H246" s="153">
        <f>CONVERT(F246,"F","C")</f>
        <v>129.33333333333334</v>
      </c>
      <c r="I246" s="146"/>
      <c r="J246" s="146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</row>
    <row r="247" spans="1:22" ht="14.1" hidden="1" customHeight="1" x14ac:dyDescent="0.25">
      <c r="A247" s="368"/>
      <c r="B247" s="363" t="s">
        <v>89</v>
      </c>
      <c r="C247" s="363"/>
      <c r="D247" s="363"/>
      <c r="E247" s="145"/>
      <c r="F247" s="151">
        <v>134</v>
      </c>
      <c r="G247" s="152"/>
      <c r="H247" s="153">
        <f t="shared" ref="H247:H248" si="47">CONVERT(F247,"F","C")</f>
        <v>56.666666666666664</v>
      </c>
      <c r="I247" s="146"/>
      <c r="J247" s="146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</row>
    <row r="248" spans="1:22" ht="14.1" hidden="1" customHeight="1" x14ac:dyDescent="0.25">
      <c r="A248" s="368"/>
      <c r="B248" s="363"/>
      <c r="C248" s="363"/>
      <c r="D248" s="363"/>
      <c r="E248" s="145"/>
      <c r="F248" s="151">
        <v>5</v>
      </c>
      <c r="G248" s="152"/>
      <c r="H248" s="153">
        <f t="shared" si="47"/>
        <v>-15</v>
      </c>
      <c r="I248" s="146"/>
      <c r="J248" s="146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</row>
    <row r="249" spans="1:22" ht="14.1" hidden="1" customHeight="1" x14ac:dyDescent="0.25">
      <c r="A249" s="368"/>
      <c r="B249" s="363" t="s">
        <v>90</v>
      </c>
      <c r="C249" s="363"/>
      <c r="D249" s="363"/>
      <c r="E249" s="145"/>
      <c r="F249" s="151">
        <v>40</v>
      </c>
      <c r="G249" s="152"/>
      <c r="H249" s="154">
        <f>F249/1.8</f>
        <v>22.222222222222221</v>
      </c>
      <c r="I249" s="146"/>
      <c r="J249" s="146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</row>
    <row r="250" spans="1:22" ht="14.1" hidden="1" customHeight="1" x14ac:dyDescent="0.25">
      <c r="A250" s="368"/>
      <c r="B250" s="363" t="s">
        <v>91</v>
      </c>
      <c r="C250" s="363"/>
      <c r="D250" s="363"/>
      <c r="E250" s="145"/>
      <c r="F250" s="151">
        <v>35</v>
      </c>
      <c r="G250" s="152"/>
      <c r="H250" s="154">
        <f>F250/1.8</f>
        <v>19.444444444444443</v>
      </c>
      <c r="I250" s="146"/>
      <c r="J250" s="146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</row>
    <row r="251" spans="1:22" ht="14.1" hidden="1" customHeight="1" x14ac:dyDescent="0.25">
      <c r="A251" s="368"/>
      <c r="B251" s="363" t="s">
        <v>99</v>
      </c>
      <c r="C251" s="363"/>
      <c r="D251" s="363"/>
      <c r="E251" s="145"/>
      <c r="F251" s="155">
        <v>1710</v>
      </c>
      <c r="G251" s="156"/>
      <c r="H251" s="157">
        <f>F251*0.0689476</f>
        <v>117.900396</v>
      </c>
      <c r="I251" s="146"/>
      <c r="J251" s="146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</row>
    <row r="252" spans="1:22" ht="14.1" hidden="1" customHeight="1" x14ac:dyDescent="0.25">
      <c r="A252" s="368"/>
      <c r="B252" s="374" t="s">
        <v>73</v>
      </c>
      <c r="C252" s="363"/>
      <c r="D252" s="363"/>
      <c r="E252" s="363"/>
      <c r="F252" s="166">
        <v>50</v>
      </c>
      <c r="G252" s="153">
        <v>14</v>
      </c>
      <c r="H252" s="153">
        <f t="shared" ref="H252:H253" si="48">CONVERT(F252,"F","C")</f>
        <v>10</v>
      </c>
      <c r="I252" s="146"/>
      <c r="J252" s="146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</row>
    <row r="253" spans="1:22" ht="14.1" hidden="1" customHeight="1" x14ac:dyDescent="0.25">
      <c r="A253" s="368"/>
      <c r="B253" s="374" t="s">
        <v>74</v>
      </c>
      <c r="C253" s="363"/>
      <c r="D253" s="363"/>
      <c r="E253" s="363"/>
      <c r="F253" s="166">
        <v>140</v>
      </c>
      <c r="G253" s="153">
        <v>4.5</v>
      </c>
      <c r="H253" s="153">
        <f t="shared" si="48"/>
        <v>60</v>
      </c>
      <c r="I253" s="146"/>
      <c r="J253" s="146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</row>
    <row r="254" spans="1:22" hidden="1" x14ac:dyDescent="0.25">
      <c r="A254" s="368"/>
      <c r="B254" s="363" t="s">
        <v>100</v>
      </c>
      <c r="C254" s="363"/>
      <c r="D254" s="363"/>
      <c r="E254" s="145"/>
      <c r="F254" s="366">
        <v>11.24</v>
      </c>
      <c r="G254" s="366"/>
      <c r="H254" s="366"/>
      <c r="I254" s="146"/>
      <c r="J254" s="146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</row>
    <row r="255" spans="1:22" hidden="1" x14ac:dyDescent="0.25">
      <c r="A255" s="368"/>
      <c r="B255" s="363" t="s">
        <v>101</v>
      </c>
      <c r="C255" s="363"/>
      <c r="D255" s="363"/>
      <c r="E255" s="145"/>
      <c r="F255" s="371">
        <v>0.5</v>
      </c>
      <c r="G255" s="371"/>
      <c r="H255" s="371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</row>
    <row r="256" spans="1:22" hidden="1" x14ac:dyDescent="0.25">
      <c r="A256" s="121"/>
      <c r="B256" s="121"/>
      <c r="C256" s="121"/>
      <c r="D256" s="121"/>
      <c r="E256" s="121"/>
      <c r="F256" s="121"/>
      <c r="G256" s="121"/>
      <c r="H256" s="121"/>
      <c r="I256" s="121"/>
      <c r="J256" s="121"/>
      <c r="K256" s="121"/>
      <c r="L256" s="121"/>
      <c r="M256" s="121"/>
      <c r="N256" s="121"/>
      <c r="O256" s="121"/>
      <c r="P256" s="121"/>
      <c r="Q256" s="121"/>
      <c r="R256" s="121"/>
      <c r="S256" s="121"/>
      <c r="T256" s="121"/>
      <c r="U256" s="121"/>
      <c r="V256" s="121"/>
    </row>
    <row r="257" spans="1:22" hidden="1" x14ac:dyDescent="0.25">
      <c r="A257" s="121"/>
      <c r="B257" s="121"/>
      <c r="C257" s="121"/>
      <c r="D257" s="121"/>
      <c r="E257" s="121"/>
      <c r="F257" s="121"/>
      <c r="G257" s="121"/>
      <c r="H257" s="121"/>
      <c r="I257" s="121"/>
      <c r="J257" s="121"/>
      <c r="K257" s="121"/>
      <c r="L257" s="121"/>
      <c r="M257" s="121"/>
      <c r="N257" s="121"/>
      <c r="O257" s="121"/>
      <c r="P257" s="121"/>
      <c r="Q257" s="121"/>
      <c r="R257" s="121"/>
      <c r="S257" s="121"/>
      <c r="T257" s="121"/>
      <c r="U257" s="121"/>
      <c r="V257" s="121"/>
    </row>
    <row r="258" spans="1:22" hidden="1" x14ac:dyDescent="0.25">
      <c r="A258" s="121"/>
      <c r="B258" s="121"/>
      <c r="C258" s="121"/>
      <c r="D258" s="121"/>
      <c r="E258" s="121"/>
      <c r="F258" s="121"/>
      <c r="G258" s="121"/>
      <c r="H258" s="121"/>
      <c r="I258" s="121"/>
      <c r="J258" s="121"/>
      <c r="K258" s="121"/>
      <c r="L258" s="121"/>
      <c r="M258" s="121"/>
      <c r="N258" s="121"/>
      <c r="O258" s="121"/>
      <c r="P258" s="121"/>
      <c r="Q258" s="121"/>
      <c r="R258" s="121"/>
      <c r="S258" s="121"/>
      <c r="T258" s="121"/>
      <c r="U258" s="121"/>
      <c r="V258" s="121"/>
    </row>
    <row r="259" spans="1:22" hidden="1" x14ac:dyDescent="0.25">
      <c r="A259" s="121"/>
      <c r="B259" s="121"/>
      <c r="C259" s="121"/>
      <c r="D259" s="121"/>
      <c r="E259" s="121"/>
      <c r="F259" s="121"/>
      <c r="G259" s="121"/>
      <c r="H259" s="121"/>
      <c r="I259" s="121"/>
      <c r="J259" s="121"/>
      <c r="K259" s="121"/>
      <c r="L259" s="121"/>
      <c r="M259" s="121"/>
      <c r="N259" s="121"/>
      <c r="O259" s="121"/>
      <c r="P259" s="121"/>
      <c r="Q259" s="121"/>
      <c r="R259" s="121"/>
      <c r="S259" s="121"/>
      <c r="T259" s="121"/>
      <c r="U259" s="121"/>
      <c r="V259" s="121"/>
    </row>
    <row r="260" spans="1:22" hidden="1" x14ac:dyDescent="0.25">
      <c r="A260" s="121"/>
      <c r="B260" s="121"/>
      <c r="C260" s="121"/>
      <c r="D260" s="121"/>
      <c r="E260" s="121"/>
      <c r="F260" s="121"/>
      <c r="G260" s="121"/>
      <c r="H260" s="121"/>
      <c r="I260" s="121"/>
      <c r="J260" s="121"/>
      <c r="K260" s="121"/>
      <c r="L260" s="121"/>
      <c r="M260" s="121"/>
      <c r="N260" s="121"/>
      <c r="O260" s="121"/>
      <c r="P260" s="121"/>
      <c r="Q260" s="121"/>
      <c r="R260" s="121"/>
      <c r="S260" s="121"/>
      <c r="T260" s="121"/>
      <c r="U260" s="121"/>
      <c r="V260" s="121"/>
    </row>
    <row r="261" spans="1:22" hidden="1" x14ac:dyDescent="0.25">
      <c r="A261" s="121"/>
      <c r="B261" s="121"/>
      <c r="C261" s="121"/>
      <c r="D261" s="121"/>
      <c r="E261" s="121"/>
      <c r="F261" s="121"/>
      <c r="G261" s="121"/>
      <c r="H261" s="121"/>
      <c r="I261" s="121"/>
      <c r="J261" s="121"/>
      <c r="K261" s="121"/>
      <c r="L261" s="121"/>
      <c r="M261" s="121"/>
      <c r="N261" s="121"/>
      <c r="O261" s="121"/>
      <c r="P261" s="121"/>
      <c r="Q261" s="121"/>
      <c r="R261" s="121"/>
      <c r="S261" s="121"/>
      <c r="T261" s="121"/>
      <c r="U261" s="121"/>
      <c r="V261" s="121"/>
    </row>
    <row r="262" spans="1:22" hidden="1" x14ac:dyDescent="0.25">
      <c r="A262" s="121"/>
      <c r="B262" s="121"/>
      <c r="C262" s="121"/>
      <c r="D262" s="121"/>
      <c r="E262" s="121"/>
      <c r="F262" s="121"/>
      <c r="G262" s="121"/>
      <c r="H262" s="121"/>
      <c r="I262" s="121"/>
      <c r="J262" s="121"/>
      <c r="K262" s="121"/>
      <c r="L262" s="121"/>
      <c r="M262" s="121"/>
      <c r="N262" s="121"/>
      <c r="O262" s="121"/>
      <c r="P262" s="121"/>
      <c r="Q262" s="121"/>
      <c r="R262" s="121"/>
      <c r="S262" s="121"/>
      <c r="T262" s="121"/>
      <c r="U262" s="121"/>
      <c r="V262" s="121"/>
    </row>
    <row r="263" spans="1:22" hidden="1" x14ac:dyDescent="0.25">
      <c r="A263" s="121"/>
      <c r="B263" s="121"/>
      <c r="C263" s="121"/>
      <c r="D263" s="121"/>
      <c r="E263" s="121"/>
      <c r="F263" s="121"/>
      <c r="G263" s="121"/>
      <c r="H263" s="121"/>
      <c r="I263" s="121"/>
      <c r="J263" s="121"/>
      <c r="K263" s="121"/>
      <c r="L263" s="121"/>
      <c r="M263" s="121"/>
      <c r="N263" s="121"/>
      <c r="O263" s="121"/>
      <c r="P263" s="121"/>
      <c r="Q263" s="121"/>
      <c r="R263" s="121"/>
      <c r="S263" s="121"/>
      <c r="T263" s="121"/>
      <c r="U263" s="121"/>
      <c r="V263" s="121"/>
    </row>
    <row r="264" spans="1:22" hidden="1" x14ac:dyDescent="0.25">
      <c r="A264" s="121"/>
      <c r="B264" s="121"/>
      <c r="C264" s="121"/>
      <c r="D264" s="121"/>
      <c r="E264" s="121"/>
      <c r="F264" s="121"/>
      <c r="G264" s="121"/>
      <c r="H264" s="121"/>
      <c r="I264" s="121"/>
      <c r="J264" s="121"/>
      <c r="K264" s="121"/>
      <c r="L264" s="121"/>
      <c r="M264" s="121"/>
      <c r="N264" s="121"/>
      <c r="O264" s="121"/>
      <c r="P264" s="121"/>
      <c r="Q264" s="121"/>
      <c r="R264" s="121"/>
      <c r="S264" s="121"/>
      <c r="T264" s="121"/>
      <c r="U264" s="121"/>
      <c r="V264" s="121"/>
    </row>
    <row r="265" spans="1:22" hidden="1" x14ac:dyDescent="0.25">
      <c r="A265" s="121"/>
      <c r="B265" s="121"/>
      <c r="C265" s="121"/>
      <c r="D265" s="121"/>
      <c r="E265" s="121"/>
      <c r="F265" s="121"/>
      <c r="G265" s="121"/>
      <c r="H265" s="121"/>
      <c r="I265" s="121"/>
      <c r="J265" s="121"/>
      <c r="K265" s="121"/>
      <c r="L265" s="121"/>
      <c r="M265" s="121"/>
      <c r="N265" s="121"/>
      <c r="O265" s="121"/>
      <c r="P265" s="121"/>
      <c r="Q265" s="121"/>
      <c r="R265" s="121"/>
      <c r="S265" s="121"/>
      <c r="T265" s="121"/>
      <c r="U265" s="121"/>
      <c r="V265" s="121"/>
    </row>
    <row r="266" spans="1:22" hidden="1" x14ac:dyDescent="0.25">
      <c r="A266" s="121"/>
      <c r="B266" s="121"/>
      <c r="C266" s="121"/>
      <c r="D266" s="121"/>
      <c r="E266" s="121"/>
      <c r="F266" s="121"/>
      <c r="G266" s="121"/>
      <c r="H266" s="121"/>
      <c r="I266" s="121"/>
      <c r="J266" s="121"/>
      <c r="K266" s="121"/>
      <c r="L266" s="121"/>
      <c r="M266" s="121"/>
      <c r="N266" s="121"/>
      <c r="O266" s="121"/>
      <c r="P266" s="121"/>
      <c r="Q266" s="121"/>
      <c r="R266" s="121"/>
      <c r="S266" s="121"/>
      <c r="T266" s="121"/>
      <c r="U266" s="121"/>
      <c r="V266" s="121"/>
    </row>
    <row r="267" spans="1:22" hidden="1" x14ac:dyDescent="0.25">
      <c r="A267" s="121"/>
      <c r="B267" s="121"/>
      <c r="C267" s="121"/>
      <c r="D267" s="121"/>
      <c r="E267" s="121"/>
      <c r="F267" s="121"/>
      <c r="G267" s="121"/>
      <c r="H267" s="121"/>
      <c r="I267" s="121"/>
      <c r="J267" s="121"/>
      <c r="K267" s="121"/>
      <c r="L267" s="121"/>
      <c r="M267" s="121"/>
      <c r="N267" s="121"/>
      <c r="O267" s="121"/>
      <c r="P267" s="121"/>
      <c r="Q267" s="121"/>
      <c r="R267" s="121"/>
      <c r="S267" s="121"/>
      <c r="T267" s="121"/>
      <c r="U267" s="121"/>
      <c r="V267" s="121"/>
    </row>
    <row r="268" spans="1:22" hidden="1" x14ac:dyDescent="0.25">
      <c r="A268" s="121"/>
      <c r="B268" s="121"/>
      <c r="C268" s="121"/>
      <c r="D268" s="121"/>
      <c r="E268" s="121"/>
      <c r="F268" s="121"/>
      <c r="G268" s="121"/>
      <c r="H268" s="121"/>
      <c r="I268" s="121"/>
      <c r="J268" s="121"/>
      <c r="K268" s="121"/>
      <c r="L268" s="121"/>
      <c r="M268" s="121"/>
      <c r="N268" s="121"/>
      <c r="O268" s="121"/>
      <c r="P268" s="121"/>
      <c r="Q268" s="121"/>
      <c r="R268" s="121"/>
      <c r="S268" s="121"/>
      <c r="T268" s="121"/>
      <c r="U268" s="121"/>
      <c r="V268" s="121"/>
    </row>
    <row r="269" spans="1:22" hidden="1" x14ac:dyDescent="0.25">
      <c r="A269" s="121"/>
      <c r="B269" s="121"/>
      <c r="C269" s="121"/>
      <c r="D269" s="121"/>
      <c r="E269" s="121"/>
      <c r="F269" s="121"/>
      <c r="G269" s="121"/>
      <c r="H269" s="121"/>
      <c r="I269" s="121"/>
      <c r="J269" s="121"/>
      <c r="K269" s="121"/>
      <c r="L269" s="121"/>
      <c r="M269" s="121"/>
      <c r="N269" s="121"/>
      <c r="O269" s="121"/>
      <c r="P269" s="121"/>
      <c r="Q269" s="121"/>
      <c r="R269" s="121"/>
      <c r="S269" s="121"/>
      <c r="T269" s="121"/>
      <c r="U269" s="121"/>
      <c r="V269" s="121"/>
    </row>
    <row r="270" spans="1:22" hidden="1" x14ac:dyDescent="0.25">
      <c r="A270" s="121"/>
      <c r="B270" s="121"/>
      <c r="C270" s="121"/>
      <c r="D270" s="121"/>
      <c r="E270" s="121"/>
      <c r="F270" s="121"/>
      <c r="G270" s="121"/>
      <c r="H270" s="121"/>
      <c r="I270" s="121"/>
      <c r="J270" s="121"/>
      <c r="K270" s="121"/>
      <c r="L270" s="121"/>
      <c r="M270" s="121"/>
      <c r="N270" s="121"/>
      <c r="O270" s="121"/>
      <c r="P270" s="121"/>
      <c r="Q270" s="121"/>
      <c r="R270" s="121"/>
      <c r="S270" s="121"/>
      <c r="T270" s="121"/>
      <c r="U270" s="121"/>
      <c r="V270" s="121"/>
    </row>
    <row r="271" spans="1:22" hidden="1" x14ac:dyDescent="0.25">
      <c r="A271" s="121"/>
      <c r="B271" s="121"/>
      <c r="C271" s="121"/>
      <c r="D271" s="121"/>
      <c r="E271" s="121"/>
      <c r="F271" s="121"/>
      <c r="G271" s="121"/>
      <c r="H271" s="121"/>
      <c r="I271" s="121"/>
      <c r="J271" s="121"/>
      <c r="K271" s="121"/>
      <c r="L271" s="121"/>
      <c r="M271" s="121"/>
      <c r="N271" s="121"/>
      <c r="O271" s="121"/>
      <c r="P271" s="121"/>
      <c r="Q271" s="121"/>
      <c r="R271" s="121"/>
      <c r="S271" s="121"/>
      <c r="T271" s="121"/>
      <c r="U271" s="121"/>
      <c r="V271" s="121"/>
    </row>
    <row r="272" spans="1:22" hidden="1" x14ac:dyDescent="0.25">
      <c r="A272" s="121"/>
      <c r="B272" s="121"/>
      <c r="C272" s="121"/>
      <c r="D272" s="121"/>
      <c r="E272" s="121"/>
      <c r="F272" s="121"/>
      <c r="G272" s="121"/>
      <c r="H272" s="121"/>
      <c r="I272" s="121"/>
      <c r="J272" s="121"/>
      <c r="K272" s="121"/>
      <c r="L272" s="121"/>
      <c r="M272" s="121"/>
      <c r="N272" s="121"/>
      <c r="O272" s="121"/>
      <c r="P272" s="121"/>
      <c r="Q272" s="121"/>
      <c r="R272" s="121"/>
      <c r="S272" s="121"/>
      <c r="T272" s="121"/>
      <c r="U272" s="121"/>
      <c r="V272" s="121"/>
    </row>
    <row r="273" spans="1:22" hidden="1" x14ac:dyDescent="0.25">
      <c r="A273" s="121"/>
      <c r="B273" s="121"/>
      <c r="C273" s="121"/>
      <c r="D273" s="121"/>
      <c r="E273" s="121"/>
      <c r="F273" s="121"/>
      <c r="G273" s="121"/>
      <c r="H273" s="121"/>
      <c r="I273" s="121"/>
      <c r="J273" s="121"/>
      <c r="K273" s="121"/>
      <c r="L273" s="121"/>
      <c r="M273" s="121"/>
      <c r="N273" s="121"/>
      <c r="O273" s="121"/>
      <c r="P273" s="121"/>
      <c r="Q273" s="121"/>
      <c r="R273" s="121"/>
      <c r="S273" s="121"/>
      <c r="T273" s="121"/>
      <c r="U273" s="121"/>
      <c r="V273" s="121"/>
    </row>
    <row r="274" spans="1:22" hidden="1" x14ac:dyDescent="0.25">
      <c r="A274" s="121"/>
      <c r="B274" s="121"/>
      <c r="C274" s="121"/>
      <c r="D274" s="121"/>
      <c r="E274" s="121"/>
      <c r="F274" s="121"/>
      <c r="G274" s="121"/>
      <c r="H274" s="121"/>
      <c r="I274" s="121"/>
      <c r="J274" s="121"/>
      <c r="K274" s="121"/>
      <c r="L274" s="121"/>
      <c r="M274" s="121"/>
      <c r="N274" s="121"/>
      <c r="O274" s="121"/>
      <c r="P274" s="121"/>
      <c r="Q274" s="121"/>
      <c r="R274" s="121"/>
      <c r="S274" s="121"/>
      <c r="T274" s="121"/>
      <c r="U274" s="121"/>
      <c r="V274" s="121"/>
    </row>
    <row r="275" spans="1:22" hidden="1" x14ac:dyDescent="0.25">
      <c r="A275" s="121"/>
      <c r="B275" s="121"/>
      <c r="C275" s="121"/>
      <c r="D275" s="121"/>
      <c r="E275" s="121"/>
      <c r="F275" s="121"/>
      <c r="G275" s="121"/>
      <c r="H275" s="121"/>
      <c r="I275" s="121"/>
      <c r="J275" s="121"/>
      <c r="K275" s="121"/>
      <c r="L275" s="121"/>
      <c r="M275" s="121"/>
      <c r="N275" s="121"/>
      <c r="O275" s="121"/>
      <c r="P275" s="121"/>
      <c r="Q275" s="121"/>
      <c r="R275" s="121"/>
      <c r="S275" s="121"/>
      <c r="T275" s="121"/>
      <c r="U275" s="121"/>
      <c r="V275" s="121"/>
    </row>
    <row r="276" spans="1:22" hidden="1" x14ac:dyDescent="0.25">
      <c r="A276" s="121"/>
      <c r="B276" s="121"/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121"/>
      <c r="V276" s="121"/>
    </row>
    <row r="277" spans="1:22" hidden="1" x14ac:dyDescent="0.25">
      <c r="A277" s="121"/>
      <c r="B277" s="121"/>
      <c r="C277" s="121"/>
      <c r="D277" s="121"/>
      <c r="E277" s="121"/>
      <c r="F277" s="121"/>
      <c r="G277" s="121"/>
      <c r="H277" s="121"/>
      <c r="I277" s="121"/>
      <c r="J277" s="121"/>
      <c r="K277" s="121"/>
      <c r="L277" s="121"/>
      <c r="M277" s="121"/>
      <c r="N277" s="121"/>
      <c r="O277" s="121"/>
      <c r="P277" s="121"/>
      <c r="Q277" s="121"/>
      <c r="R277" s="121"/>
      <c r="S277" s="121"/>
      <c r="T277" s="121"/>
      <c r="U277" s="121"/>
      <c r="V277" s="121"/>
    </row>
    <row r="278" spans="1:22" hidden="1" x14ac:dyDescent="0.25">
      <c r="A278" s="373"/>
      <c r="B278" s="373"/>
      <c r="C278" s="373"/>
      <c r="D278" s="373"/>
      <c r="E278" s="373"/>
      <c r="F278" s="373"/>
      <c r="G278" s="373"/>
      <c r="H278" s="373"/>
      <c r="I278" s="373"/>
      <c r="J278" s="373"/>
      <c r="K278" s="373"/>
      <c r="L278" s="373"/>
      <c r="M278" s="373"/>
      <c r="N278" s="373"/>
      <c r="O278" s="373"/>
      <c r="P278" s="373"/>
      <c r="Q278" s="373"/>
      <c r="R278" s="373"/>
      <c r="S278" s="373"/>
      <c r="T278" s="373"/>
      <c r="U278" s="373"/>
      <c r="V278" s="373"/>
    </row>
    <row r="279" spans="1:22" x14ac:dyDescent="0.25">
      <c r="A279" s="346" t="s">
        <v>81</v>
      </c>
      <c r="B279" s="346"/>
      <c r="C279" s="346"/>
      <c r="D279" s="346"/>
      <c r="E279" s="346"/>
      <c r="F279" s="346"/>
      <c r="G279" s="346"/>
      <c r="H279" s="346"/>
      <c r="I279" s="346"/>
      <c r="J279" s="346"/>
      <c r="K279" s="346"/>
      <c r="L279" s="346"/>
      <c r="M279" s="346"/>
      <c r="N279" s="346"/>
      <c r="O279" s="346"/>
      <c r="P279" s="346"/>
      <c r="Q279" s="346"/>
      <c r="R279" s="346"/>
      <c r="S279" s="346"/>
      <c r="T279" s="346"/>
      <c r="U279" s="346"/>
      <c r="V279" s="346"/>
    </row>
  </sheetData>
  <mergeCells count="395">
    <mergeCell ref="R34:T34"/>
    <mergeCell ref="R35:T35"/>
    <mergeCell ref="R37:T37"/>
    <mergeCell ref="R38:T38"/>
    <mergeCell ref="R39:T39"/>
    <mergeCell ref="R42:T42"/>
    <mergeCell ref="R43:T43"/>
    <mergeCell ref="R46:T46"/>
    <mergeCell ref="R47:T47"/>
    <mergeCell ref="F29:H29"/>
    <mergeCell ref="J29:L29"/>
    <mergeCell ref="N29:P29"/>
    <mergeCell ref="R29:T29"/>
    <mergeCell ref="A49:V49"/>
    <mergeCell ref="J34:L34"/>
    <mergeCell ref="J35:L35"/>
    <mergeCell ref="J37:L37"/>
    <mergeCell ref="J38:L38"/>
    <mergeCell ref="J39:L39"/>
    <mergeCell ref="J42:L42"/>
    <mergeCell ref="J43:L43"/>
    <mergeCell ref="J46:L46"/>
    <mergeCell ref="J47:L47"/>
    <mergeCell ref="N34:P34"/>
    <mergeCell ref="N35:P35"/>
    <mergeCell ref="N37:P37"/>
    <mergeCell ref="N38:P38"/>
    <mergeCell ref="N39:P39"/>
    <mergeCell ref="N42:P42"/>
    <mergeCell ref="N43:P43"/>
    <mergeCell ref="N46:P46"/>
    <mergeCell ref="N47:P47"/>
    <mergeCell ref="B30:D30"/>
    <mergeCell ref="B1:V1"/>
    <mergeCell ref="R15:T15"/>
    <mergeCell ref="R17:T17"/>
    <mergeCell ref="R19:T19"/>
    <mergeCell ref="B21:D21"/>
    <mergeCell ref="R21:T21"/>
    <mergeCell ref="J21:M21"/>
    <mergeCell ref="N21:P21"/>
    <mergeCell ref="D6:I6"/>
    <mergeCell ref="D8:I8"/>
    <mergeCell ref="M4:Q4"/>
    <mergeCell ref="S6:V6"/>
    <mergeCell ref="S8:V8"/>
    <mergeCell ref="D4:I4"/>
    <mergeCell ref="A2:V2"/>
    <mergeCell ref="S4:V4"/>
    <mergeCell ref="F15:H15"/>
    <mergeCell ref="M6:Q6"/>
    <mergeCell ref="A13:V13"/>
    <mergeCell ref="M8:N8"/>
    <mergeCell ref="O8:Q8"/>
    <mergeCell ref="J4:L4"/>
    <mergeCell ref="J6:L6"/>
    <mergeCell ref="F17:H17"/>
    <mergeCell ref="N61:P61"/>
    <mergeCell ref="N68:P68"/>
    <mergeCell ref="N69:P69"/>
    <mergeCell ref="R51:T51"/>
    <mergeCell ref="R56:T56"/>
    <mergeCell ref="R57:T57"/>
    <mergeCell ref="R59:T59"/>
    <mergeCell ref="R60:T60"/>
    <mergeCell ref="R61:T61"/>
    <mergeCell ref="R68:T68"/>
    <mergeCell ref="R69:T69"/>
    <mergeCell ref="N51:P51"/>
    <mergeCell ref="N56:P56"/>
    <mergeCell ref="N57:P57"/>
    <mergeCell ref="N59:P59"/>
    <mergeCell ref="B142:D142"/>
    <mergeCell ref="F142:H142"/>
    <mergeCell ref="B143:D143"/>
    <mergeCell ref="B120:D120"/>
    <mergeCell ref="F51:H51"/>
    <mergeCell ref="J51:L51"/>
    <mergeCell ref="J56:L56"/>
    <mergeCell ref="J57:L57"/>
    <mergeCell ref="J59:L59"/>
    <mergeCell ref="J60:L60"/>
    <mergeCell ref="J61:L61"/>
    <mergeCell ref="J68:L68"/>
    <mergeCell ref="J69:L69"/>
    <mergeCell ref="F57:H57"/>
    <mergeCell ref="A99:V99"/>
    <mergeCell ref="A101:A122"/>
    <mergeCell ref="B101:D101"/>
    <mergeCell ref="B102:D102"/>
    <mergeCell ref="B103:D103"/>
    <mergeCell ref="B104:D104"/>
    <mergeCell ref="B105:D105"/>
    <mergeCell ref="F105:H105"/>
    <mergeCell ref="B106:D106"/>
    <mergeCell ref="N60:P60"/>
    <mergeCell ref="B40:D40"/>
    <mergeCell ref="B41:D41"/>
    <mergeCell ref="B121:D121"/>
    <mergeCell ref="F121:H121"/>
    <mergeCell ref="B122:D122"/>
    <mergeCell ref="F122:H122"/>
    <mergeCell ref="A124:V124"/>
    <mergeCell ref="A125:A146"/>
    <mergeCell ref="B125:D125"/>
    <mergeCell ref="B126:D126"/>
    <mergeCell ref="B127:D127"/>
    <mergeCell ref="B128:D128"/>
    <mergeCell ref="B129:D129"/>
    <mergeCell ref="F129:H129"/>
    <mergeCell ref="B130:D130"/>
    <mergeCell ref="F130:H130"/>
    <mergeCell ref="B131:D131"/>
    <mergeCell ref="B132:D132"/>
    <mergeCell ref="F132:H132"/>
    <mergeCell ref="B133:D133"/>
    <mergeCell ref="F133:H133"/>
    <mergeCell ref="B134:D134"/>
    <mergeCell ref="F134:H134"/>
    <mergeCell ref="B135:D135"/>
    <mergeCell ref="A52:A73"/>
    <mergeCell ref="A76:A97"/>
    <mergeCell ref="F80:H80"/>
    <mergeCell ref="F84:H84"/>
    <mergeCell ref="F85:H85"/>
    <mergeCell ref="F92:H92"/>
    <mergeCell ref="F93:H93"/>
    <mergeCell ref="B96:D96"/>
    <mergeCell ref="F96:H96"/>
    <mergeCell ref="B97:D97"/>
    <mergeCell ref="F97:H97"/>
    <mergeCell ref="F72:H72"/>
    <mergeCell ref="B73:D73"/>
    <mergeCell ref="F73:H73"/>
    <mergeCell ref="F68:H68"/>
    <mergeCell ref="B69:D69"/>
    <mergeCell ref="F69:H69"/>
    <mergeCell ref="B70:D70"/>
    <mergeCell ref="B88:D88"/>
    <mergeCell ref="B89:D89"/>
    <mergeCell ref="B90:D90"/>
    <mergeCell ref="B91:D91"/>
    <mergeCell ref="B92:D92"/>
    <mergeCell ref="B93:D93"/>
    <mergeCell ref="A279:V279"/>
    <mergeCell ref="A278:V278"/>
    <mergeCell ref="B169:D169"/>
    <mergeCell ref="F169:H169"/>
    <mergeCell ref="B188:D188"/>
    <mergeCell ref="F188:H188"/>
    <mergeCell ref="B223:D223"/>
    <mergeCell ref="F223:H223"/>
    <mergeCell ref="D11:G11"/>
    <mergeCell ref="I11:L11"/>
    <mergeCell ref="S11:V11"/>
    <mergeCell ref="M11:Q11"/>
    <mergeCell ref="F255:H255"/>
    <mergeCell ref="B180:E180"/>
    <mergeCell ref="B181:E181"/>
    <mergeCell ref="B234:E234"/>
    <mergeCell ref="B235:E235"/>
    <mergeCell ref="B252:E252"/>
    <mergeCell ref="B253:E253"/>
    <mergeCell ref="B35:D35"/>
    <mergeCell ref="F35:H35"/>
    <mergeCell ref="A239:A255"/>
    <mergeCell ref="B239:D239"/>
    <mergeCell ref="B240:D240"/>
    <mergeCell ref="B241:D241"/>
    <mergeCell ref="F241:H241"/>
    <mergeCell ref="B242:D242"/>
    <mergeCell ref="B243:D243"/>
    <mergeCell ref="F243:H243"/>
    <mergeCell ref="B244:D244"/>
    <mergeCell ref="F244:H244"/>
    <mergeCell ref="B245:D245"/>
    <mergeCell ref="F245:H245"/>
    <mergeCell ref="B246:D246"/>
    <mergeCell ref="B247:D247"/>
    <mergeCell ref="B248:D248"/>
    <mergeCell ref="B249:D249"/>
    <mergeCell ref="B250:D250"/>
    <mergeCell ref="B251:D251"/>
    <mergeCell ref="B254:D254"/>
    <mergeCell ref="F254:H254"/>
    <mergeCell ref="B255:D255"/>
    <mergeCell ref="A185:A202"/>
    <mergeCell ref="A220:A237"/>
    <mergeCell ref="B220:D220"/>
    <mergeCell ref="B221:D221"/>
    <mergeCell ref="B222:D222"/>
    <mergeCell ref="F222:H222"/>
    <mergeCell ref="B224:D224"/>
    <mergeCell ref="B225:D225"/>
    <mergeCell ref="F225:H225"/>
    <mergeCell ref="B226:D226"/>
    <mergeCell ref="F226:H226"/>
    <mergeCell ref="B227:D227"/>
    <mergeCell ref="F227:H227"/>
    <mergeCell ref="B228:D228"/>
    <mergeCell ref="B229:D229"/>
    <mergeCell ref="B230:D230"/>
    <mergeCell ref="B231:D231"/>
    <mergeCell ref="B232:D232"/>
    <mergeCell ref="B233:D233"/>
    <mergeCell ref="B236:D236"/>
    <mergeCell ref="F236:H236"/>
    <mergeCell ref="B237:D237"/>
    <mergeCell ref="F237:H237"/>
    <mergeCell ref="A203:A219"/>
    <mergeCell ref="B210:D210"/>
    <mergeCell ref="B211:D211"/>
    <mergeCell ref="B212:D212"/>
    <mergeCell ref="B213:D213"/>
    <mergeCell ref="B214:D214"/>
    <mergeCell ref="B215:D215"/>
    <mergeCell ref="B218:D218"/>
    <mergeCell ref="F218:H218"/>
    <mergeCell ref="B203:D203"/>
    <mergeCell ref="B204:D204"/>
    <mergeCell ref="B205:D205"/>
    <mergeCell ref="F205:H205"/>
    <mergeCell ref="B206:D206"/>
    <mergeCell ref="B207:D207"/>
    <mergeCell ref="F207:H207"/>
    <mergeCell ref="B208:D208"/>
    <mergeCell ref="F208:H208"/>
    <mergeCell ref="B219:D219"/>
    <mergeCell ref="F219:H219"/>
    <mergeCell ref="B202:D202"/>
    <mergeCell ref="F202:H202"/>
    <mergeCell ref="B185:D185"/>
    <mergeCell ref="B186:D186"/>
    <mergeCell ref="B187:D187"/>
    <mergeCell ref="F187:H187"/>
    <mergeCell ref="B194:D194"/>
    <mergeCell ref="B195:D195"/>
    <mergeCell ref="B196:D196"/>
    <mergeCell ref="B197:D197"/>
    <mergeCell ref="B198:D198"/>
    <mergeCell ref="B191:D191"/>
    <mergeCell ref="B199:D199"/>
    <mergeCell ref="B200:D200"/>
    <mergeCell ref="B201:D201"/>
    <mergeCell ref="F201:H201"/>
    <mergeCell ref="F191:H191"/>
    <mergeCell ref="F192:H192"/>
    <mergeCell ref="B193:D193"/>
    <mergeCell ref="B192:D192"/>
    <mergeCell ref="B209:D209"/>
    <mergeCell ref="F209:H209"/>
    <mergeCell ref="F106:H106"/>
    <mergeCell ref="B107:D107"/>
    <mergeCell ref="B108:D108"/>
    <mergeCell ref="F108:H108"/>
    <mergeCell ref="F118:H118"/>
    <mergeCell ref="B119:D119"/>
    <mergeCell ref="F100:H100"/>
    <mergeCell ref="K100:M100"/>
    <mergeCell ref="K105:M105"/>
    <mergeCell ref="K106:M106"/>
    <mergeCell ref="K108:M108"/>
    <mergeCell ref="K109:M109"/>
    <mergeCell ref="K110:M110"/>
    <mergeCell ref="K117:M117"/>
    <mergeCell ref="K118:M118"/>
    <mergeCell ref="B94:D94"/>
    <mergeCell ref="B95:D95"/>
    <mergeCell ref="K121:M121"/>
    <mergeCell ref="K122:M122"/>
    <mergeCell ref="F173:H173"/>
    <mergeCell ref="B173:D173"/>
    <mergeCell ref="B168:D168"/>
    <mergeCell ref="B170:D170"/>
    <mergeCell ref="B171:D171"/>
    <mergeCell ref="B172:D172"/>
    <mergeCell ref="B109:D109"/>
    <mergeCell ref="F109:H109"/>
    <mergeCell ref="B110:D110"/>
    <mergeCell ref="F110:H110"/>
    <mergeCell ref="B111:D111"/>
    <mergeCell ref="B112:D112"/>
    <mergeCell ref="B113:D113"/>
    <mergeCell ref="B114:D114"/>
    <mergeCell ref="B115:D115"/>
    <mergeCell ref="B116:D116"/>
    <mergeCell ref="B117:D117"/>
    <mergeCell ref="F117:H117"/>
    <mergeCell ref="B118:D118"/>
    <mergeCell ref="B167:D167"/>
    <mergeCell ref="B166:D166"/>
    <mergeCell ref="B136:D136"/>
    <mergeCell ref="B189:D189"/>
    <mergeCell ref="B190:D190"/>
    <mergeCell ref="F190:H190"/>
    <mergeCell ref="F182:H182"/>
    <mergeCell ref="F183:H183"/>
    <mergeCell ref="B176:D176"/>
    <mergeCell ref="B177:D177"/>
    <mergeCell ref="B178:D178"/>
    <mergeCell ref="B179:D179"/>
    <mergeCell ref="B182:D182"/>
    <mergeCell ref="B174:D174"/>
    <mergeCell ref="B144:D144"/>
    <mergeCell ref="B145:D145"/>
    <mergeCell ref="F145:H145"/>
    <mergeCell ref="B146:D146"/>
    <mergeCell ref="F146:H146"/>
    <mergeCell ref="B137:D137"/>
    <mergeCell ref="B138:D138"/>
    <mergeCell ref="B139:D139"/>
    <mergeCell ref="B140:D140"/>
    <mergeCell ref="B141:D141"/>
    <mergeCell ref="F141:H141"/>
    <mergeCell ref="B71:D71"/>
    <mergeCell ref="B72:D72"/>
    <mergeCell ref="A166:A183"/>
    <mergeCell ref="F39:H39"/>
    <mergeCell ref="F34:H34"/>
    <mergeCell ref="B36:D36"/>
    <mergeCell ref="B37:D37"/>
    <mergeCell ref="F37:H37"/>
    <mergeCell ref="B38:D38"/>
    <mergeCell ref="F38:H38"/>
    <mergeCell ref="B183:D183"/>
    <mergeCell ref="F168:H168"/>
    <mergeCell ref="F171:H171"/>
    <mergeCell ref="F172:H172"/>
    <mergeCell ref="B46:D46"/>
    <mergeCell ref="F46:H46"/>
    <mergeCell ref="B66:D66"/>
    <mergeCell ref="B67:D67"/>
    <mergeCell ref="B175:D175"/>
    <mergeCell ref="F42:H42"/>
    <mergeCell ref="B43:D43"/>
    <mergeCell ref="B42:D42"/>
    <mergeCell ref="F47:H47"/>
    <mergeCell ref="A50:V50"/>
    <mergeCell ref="B58:D58"/>
    <mergeCell ref="B59:D59"/>
    <mergeCell ref="F59:H59"/>
    <mergeCell ref="A15:E15"/>
    <mergeCell ref="A28:V28"/>
    <mergeCell ref="B44:D44"/>
    <mergeCell ref="B45:D45"/>
    <mergeCell ref="N17:P17"/>
    <mergeCell ref="F19:H19"/>
    <mergeCell ref="N19:P19"/>
    <mergeCell ref="I15:M15"/>
    <mergeCell ref="A17:E17"/>
    <mergeCell ref="I17:M17"/>
    <mergeCell ref="I19:M19"/>
    <mergeCell ref="A19:E19"/>
    <mergeCell ref="B32:D32"/>
    <mergeCell ref="B34:D34"/>
    <mergeCell ref="B27:D27"/>
    <mergeCell ref="F27:H27"/>
    <mergeCell ref="B39:D39"/>
    <mergeCell ref="B31:D31"/>
    <mergeCell ref="A30:A47"/>
    <mergeCell ref="B52:D52"/>
    <mergeCell ref="B53:D53"/>
    <mergeCell ref="B68:D68"/>
    <mergeCell ref="F43:H43"/>
    <mergeCell ref="N15:P15"/>
    <mergeCell ref="A75:V75"/>
    <mergeCell ref="B76:D76"/>
    <mergeCell ref="B77:D77"/>
    <mergeCell ref="B78:D78"/>
    <mergeCell ref="B79:D79"/>
    <mergeCell ref="B80:D80"/>
    <mergeCell ref="B33:D33"/>
    <mergeCell ref="B60:D60"/>
    <mergeCell ref="F60:H60"/>
    <mergeCell ref="B61:D61"/>
    <mergeCell ref="F61:H61"/>
    <mergeCell ref="B62:D62"/>
    <mergeCell ref="B63:D63"/>
    <mergeCell ref="B64:D64"/>
    <mergeCell ref="B65:D65"/>
    <mergeCell ref="B47:D47"/>
    <mergeCell ref="B54:D54"/>
    <mergeCell ref="B55:D55"/>
    <mergeCell ref="B56:D56"/>
    <mergeCell ref="F56:H56"/>
    <mergeCell ref="B57:D57"/>
    <mergeCell ref="B81:D81"/>
    <mergeCell ref="F81:H81"/>
    <mergeCell ref="B82:D82"/>
    <mergeCell ref="B83:D83"/>
    <mergeCell ref="F83:H83"/>
    <mergeCell ref="B84:D84"/>
    <mergeCell ref="B85:D85"/>
    <mergeCell ref="B86:D86"/>
    <mergeCell ref="B87:D87"/>
  </mergeCells>
  <hyperlinks>
    <hyperlink ref="A279" r:id="rId1" xr:uid="{BE14143E-D591-4B8F-A35E-7F3A7B1AF502}"/>
    <hyperlink ref="A49" r:id="rId2" xr:uid="{404D6978-6FBE-4A85-A0D7-BB20A31931F1}"/>
  </hyperlinks>
  <pageMargins left="0.23622047244094491" right="0.23622047244094491" top="0.35433070866141736" bottom="0.35433070866141736" header="0.31496062992125984" footer="0.31496062992125984"/>
  <pageSetup orientation="landscape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E0847-A2CB-4379-B41A-9B9A08AEF50B}">
  <sheetPr codeName="Sheet3"/>
  <dimension ref="A1:K21"/>
  <sheetViews>
    <sheetView workbookViewId="0">
      <selection activeCell="F13" sqref="F13"/>
    </sheetView>
  </sheetViews>
  <sheetFormatPr baseColWidth="10" defaultColWidth="9.140625" defaultRowHeight="15" x14ac:dyDescent="0.25"/>
  <cols>
    <col min="1" max="1" width="20.5703125" customWidth="1"/>
    <col min="2" max="2" width="12.42578125" customWidth="1"/>
    <col min="3" max="3" width="11.28515625" customWidth="1"/>
    <col min="4" max="4" width="9.5703125" customWidth="1"/>
    <col min="5" max="5" width="13.140625" customWidth="1"/>
    <col min="6" max="6" width="13.5703125" customWidth="1"/>
  </cols>
  <sheetData>
    <row r="1" spans="1:11" ht="16.5" thickBot="1" x14ac:dyDescent="0.3">
      <c r="A1" s="397" t="s">
        <v>714</v>
      </c>
      <c r="B1" s="398"/>
      <c r="C1" s="398"/>
      <c r="D1" s="398"/>
      <c r="E1" s="398"/>
      <c r="F1" s="398"/>
      <c r="G1" s="398"/>
      <c r="H1" s="398"/>
      <c r="I1" s="399"/>
    </row>
    <row r="2" spans="1:11" ht="63.75" thickBot="1" x14ac:dyDescent="0.3">
      <c r="A2" s="400" t="s">
        <v>715</v>
      </c>
      <c r="B2" s="403" t="s">
        <v>716</v>
      </c>
      <c r="C2" s="209" t="s">
        <v>717</v>
      </c>
      <c r="D2" s="209" t="s">
        <v>718</v>
      </c>
      <c r="E2" s="209" t="s">
        <v>719</v>
      </c>
      <c r="F2" s="209" t="s">
        <v>720</v>
      </c>
      <c r="G2" s="211" t="s">
        <v>721</v>
      </c>
      <c r="H2" s="211" t="s">
        <v>721</v>
      </c>
      <c r="I2" s="403" t="s">
        <v>722</v>
      </c>
    </row>
    <row r="3" spans="1:11" ht="31.5" x14ac:dyDescent="0.25">
      <c r="A3" s="401"/>
      <c r="B3" s="404"/>
      <c r="C3" s="209" t="s">
        <v>723</v>
      </c>
      <c r="D3" s="209" t="s">
        <v>723</v>
      </c>
      <c r="E3" s="209" t="s">
        <v>724</v>
      </c>
      <c r="F3" s="209" t="s">
        <v>725</v>
      </c>
      <c r="G3" s="209" t="s">
        <v>726</v>
      </c>
      <c r="H3" s="209" t="s">
        <v>727</v>
      </c>
      <c r="I3" s="404"/>
    </row>
    <row r="4" spans="1:11" ht="16.5" thickBot="1" x14ac:dyDescent="0.3">
      <c r="A4" s="402"/>
      <c r="B4" s="405"/>
      <c r="C4" s="210"/>
      <c r="D4" s="210"/>
      <c r="E4" s="210"/>
      <c r="F4" s="210"/>
      <c r="G4" s="211" t="s">
        <v>728</v>
      </c>
      <c r="H4" s="211" t="s">
        <v>728</v>
      </c>
      <c r="I4" s="405"/>
    </row>
    <row r="5" spans="1:11" ht="16.5" thickBot="1" x14ac:dyDescent="0.3">
      <c r="A5" s="212" t="s">
        <v>210</v>
      </c>
      <c r="B5" s="213" t="s">
        <v>707</v>
      </c>
      <c r="C5" s="211">
        <v>-13</v>
      </c>
      <c r="D5" s="211">
        <v>105</v>
      </c>
      <c r="E5" s="211" t="s">
        <v>729</v>
      </c>
      <c r="F5" s="214">
        <v>242925</v>
      </c>
      <c r="G5" s="211">
        <v>40.799999999999997</v>
      </c>
      <c r="H5" s="211">
        <v>41.4634146</v>
      </c>
      <c r="I5" s="211">
        <v>1.72</v>
      </c>
      <c r="K5">
        <f t="shared" ref="K5:K9" si="0">3*F5</f>
        <v>728775</v>
      </c>
    </row>
    <row r="6" spans="1:11" ht="16.5" thickBot="1" x14ac:dyDescent="0.3">
      <c r="A6" s="212" t="s">
        <v>210</v>
      </c>
      <c r="B6" s="213" t="s">
        <v>707</v>
      </c>
      <c r="C6" s="211">
        <v>17</v>
      </c>
      <c r="D6" s="211">
        <v>105</v>
      </c>
      <c r="E6" s="211" t="s">
        <v>729</v>
      </c>
      <c r="F6" s="214">
        <v>401354</v>
      </c>
      <c r="G6" s="211">
        <v>41.8</v>
      </c>
      <c r="H6" s="211">
        <v>42.479674799999998</v>
      </c>
      <c r="I6" s="211">
        <v>2.77</v>
      </c>
      <c r="K6">
        <f t="shared" si="0"/>
        <v>1204062</v>
      </c>
    </row>
    <row r="7" spans="1:11" ht="16.5" thickBot="1" x14ac:dyDescent="0.3">
      <c r="A7" s="212" t="s">
        <v>210</v>
      </c>
      <c r="B7" s="213" t="s">
        <v>707</v>
      </c>
      <c r="C7" s="211">
        <v>-13</v>
      </c>
      <c r="D7" s="211">
        <v>120</v>
      </c>
      <c r="E7" s="211" t="s">
        <v>729</v>
      </c>
      <c r="F7" s="214">
        <v>228842</v>
      </c>
      <c r="G7" s="211">
        <v>42.8</v>
      </c>
      <c r="H7" s="211">
        <v>43.495935000000003</v>
      </c>
      <c r="I7" s="211">
        <v>1.54</v>
      </c>
      <c r="J7" s="211">
        <v>-13</v>
      </c>
      <c r="K7">
        <f t="shared" si="0"/>
        <v>686526</v>
      </c>
    </row>
    <row r="8" spans="1:11" ht="16.5" thickBot="1" x14ac:dyDescent="0.3">
      <c r="A8" s="212" t="s">
        <v>210</v>
      </c>
      <c r="B8" s="213" t="s">
        <v>707</v>
      </c>
      <c r="C8" s="211">
        <v>17</v>
      </c>
      <c r="D8" s="211">
        <v>120</v>
      </c>
      <c r="E8" s="211" t="s">
        <v>729</v>
      </c>
      <c r="F8" s="214">
        <v>377990</v>
      </c>
      <c r="G8" s="211">
        <v>43.8</v>
      </c>
      <c r="H8" s="211">
        <v>44.5121951</v>
      </c>
      <c r="I8" s="211">
        <v>2.4900000000000002</v>
      </c>
      <c r="J8" s="211">
        <v>17</v>
      </c>
      <c r="K8">
        <f t="shared" si="0"/>
        <v>1133970</v>
      </c>
    </row>
    <row r="9" spans="1:11" ht="16.5" thickBot="1" x14ac:dyDescent="0.3">
      <c r="A9" s="215" t="s">
        <v>210</v>
      </c>
      <c r="B9" s="213" t="s">
        <v>707</v>
      </c>
      <c r="C9" s="216">
        <v>47</v>
      </c>
      <c r="D9" s="216">
        <v>120</v>
      </c>
      <c r="E9" s="216" t="s">
        <v>729</v>
      </c>
      <c r="F9" s="217">
        <v>505693</v>
      </c>
      <c r="G9" s="216">
        <v>44.8</v>
      </c>
      <c r="H9" s="216">
        <v>45.528455299999997</v>
      </c>
      <c r="I9" s="216">
        <v>3.25</v>
      </c>
      <c r="J9" s="216">
        <v>47</v>
      </c>
      <c r="K9">
        <f t="shared" si="0"/>
        <v>1517079</v>
      </c>
    </row>
    <row r="10" spans="1:11" ht="16.5" thickBot="1" x14ac:dyDescent="0.3">
      <c r="A10" s="212" t="s">
        <v>210</v>
      </c>
      <c r="B10" s="213" t="s">
        <v>707</v>
      </c>
      <c r="C10" s="211">
        <v>59</v>
      </c>
      <c r="D10" s="211">
        <v>120</v>
      </c>
      <c r="E10" s="211" t="s">
        <v>729</v>
      </c>
      <c r="F10" s="214">
        <v>526177</v>
      </c>
      <c r="G10" s="211">
        <v>45.8</v>
      </c>
      <c r="H10" s="211">
        <v>46.544715400000001</v>
      </c>
      <c r="I10" s="211">
        <v>3.31</v>
      </c>
      <c r="J10" s="211">
        <v>77</v>
      </c>
      <c r="K10">
        <f>3*F11</f>
        <v>1992366</v>
      </c>
    </row>
    <row r="11" spans="1:11" ht="16.5" thickBot="1" x14ac:dyDescent="0.3">
      <c r="A11" s="212" t="s">
        <v>210</v>
      </c>
      <c r="B11" s="213" t="s">
        <v>707</v>
      </c>
      <c r="C11" s="211">
        <v>77</v>
      </c>
      <c r="D11" s="211">
        <v>120</v>
      </c>
      <c r="E11" s="211" t="s">
        <v>729</v>
      </c>
      <c r="F11" s="214">
        <v>664122</v>
      </c>
      <c r="G11" s="211">
        <v>46.8</v>
      </c>
      <c r="H11" s="211">
        <v>47.560975599999999</v>
      </c>
      <c r="I11" s="211">
        <v>4.09</v>
      </c>
      <c r="J11" s="211"/>
    </row>
    <row r="12" spans="1:11" ht="16.5" thickBot="1" x14ac:dyDescent="0.3">
      <c r="A12" s="212" t="s">
        <v>210</v>
      </c>
      <c r="B12" s="213" t="s">
        <v>707</v>
      </c>
      <c r="C12" s="211">
        <v>-13</v>
      </c>
      <c r="D12" s="211">
        <v>130</v>
      </c>
      <c r="E12" s="211" t="s">
        <v>729</v>
      </c>
      <c r="F12" s="214">
        <v>221801</v>
      </c>
      <c r="G12" s="211">
        <v>47.8</v>
      </c>
      <c r="H12" s="211">
        <v>48.577235799999997</v>
      </c>
      <c r="I12" s="211">
        <v>1.34</v>
      </c>
    </row>
    <row r="13" spans="1:11" ht="16.5" thickBot="1" x14ac:dyDescent="0.3">
      <c r="A13" s="212" t="s">
        <v>210</v>
      </c>
      <c r="B13" s="213" t="s">
        <v>707</v>
      </c>
      <c r="C13" s="211">
        <v>17</v>
      </c>
      <c r="D13" s="211">
        <v>130</v>
      </c>
      <c r="E13" s="211" t="s">
        <v>729</v>
      </c>
      <c r="F13" s="214">
        <v>366467</v>
      </c>
      <c r="G13" s="211">
        <v>48.8</v>
      </c>
      <c r="H13" s="211">
        <v>49.593495900000001</v>
      </c>
      <c r="I13" s="211">
        <v>2.17</v>
      </c>
    </row>
    <row r="14" spans="1:11" ht="16.5" thickBot="1" x14ac:dyDescent="0.3">
      <c r="A14" s="212" t="s">
        <v>210</v>
      </c>
      <c r="B14" s="213" t="s">
        <v>707</v>
      </c>
      <c r="C14" s="211">
        <v>47</v>
      </c>
      <c r="D14" s="211">
        <v>130</v>
      </c>
      <c r="E14" s="211" t="s">
        <v>729</v>
      </c>
      <c r="F14" s="214">
        <v>481049</v>
      </c>
      <c r="G14" s="211">
        <v>49.8</v>
      </c>
      <c r="H14" s="211">
        <v>50.609756099999998</v>
      </c>
      <c r="I14" s="211">
        <v>2.78</v>
      </c>
    </row>
    <row r="15" spans="1:11" ht="16.5" thickBot="1" x14ac:dyDescent="0.3">
      <c r="A15" s="212" t="s">
        <v>210</v>
      </c>
      <c r="B15" s="213" t="s">
        <v>707</v>
      </c>
      <c r="C15" s="211">
        <v>59</v>
      </c>
      <c r="D15" s="211">
        <v>130</v>
      </c>
      <c r="E15" s="211" t="s">
        <v>729</v>
      </c>
      <c r="F15" s="214">
        <v>496411</v>
      </c>
      <c r="G15" s="211">
        <v>50.8</v>
      </c>
      <c r="H15" s="211">
        <v>51.626016300000003</v>
      </c>
      <c r="I15" s="211">
        <v>2.82</v>
      </c>
    </row>
    <row r="16" spans="1:11" ht="16.5" thickBot="1" x14ac:dyDescent="0.3">
      <c r="A16" s="212" t="s">
        <v>210</v>
      </c>
      <c r="B16" s="213" t="s">
        <v>707</v>
      </c>
      <c r="C16" s="211">
        <v>77</v>
      </c>
      <c r="D16" s="211">
        <v>130</v>
      </c>
      <c r="E16" s="211" t="s">
        <v>729</v>
      </c>
      <c r="F16" s="214">
        <v>653240</v>
      </c>
      <c r="G16" s="211">
        <v>51.8</v>
      </c>
      <c r="H16" s="211">
        <v>52.6422764</v>
      </c>
      <c r="I16" s="211">
        <v>3.64</v>
      </c>
    </row>
    <row r="17" spans="1:9" ht="63.75" thickBot="1" x14ac:dyDescent="0.3">
      <c r="A17" s="400" t="s">
        <v>715</v>
      </c>
      <c r="B17" s="403" t="s">
        <v>716</v>
      </c>
      <c r="C17" s="209" t="s">
        <v>717</v>
      </c>
      <c r="D17" s="209" t="s">
        <v>718</v>
      </c>
      <c r="E17" s="209" t="s">
        <v>719</v>
      </c>
      <c r="F17" s="209" t="s">
        <v>720</v>
      </c>
      <c r="G17" s="211" t="s">
        <v>721</v>
      </c>
      <c r="H17" s="211" t="s">
        <v>721</v>
      </c>
      <c r="I17" s="403" t="s">
        <v>722</v>
      </c>
    </row>
    <row r="18" spans="1:9" ht="31.5" x14ac:dyDescent="0.25">
      <c r="A18" s="401"/>
      <c r="B18" s="404"/>
      <c r="C18" s="209" t="s">
        <v>723</v>
      </c>
      <c r="D18" s="209" t="s">
        <v>723</v>
      </c>
      <c r="E18" s="209" t="s">
        <v>724</v>
      </c>
      <c r="F18" s="209" t="s">
        <v>730</v>
      </c>
      <c r="G18" s="209" t="s">
        <v>726</v>
      </c>
      <c r="H18" s="209" t="s">
        <v>727</v>
      </c>
      <c r="I18" s="404"/>
    </row>
    <row r="19" spans="1:9" ht="16.5" thickBot="1" x14ac:dyDescent="0.3">
      <c r="A19" s="402"/>
      <c r="B19" s="405"/>
      <c r="C19" s="210"/>
      <c r="D19" s="210"/>
      <c r="E19" s="210"/>
      <c r="F19" s="210"/>
      <c r="G19" s="211" t="s">
        <v>728</v>
      </c>
      <c r="H19" s="211" t="s">
        <v>728</v>
      </c>
      <c r="I19" s="405"/>
    </row>
    <row r="20" spans="1:9" ht="16.5" thickBot="1" x14ac:dyDescent="0.3">
      <c r="A20" s="212" t="s">
        <v>731</v>
      </c>
      <c r="B20" s="213" t="s">
        <v>707</v>
      </c>
      <c r="C20" s="211">
        <v>44</v>
      </c>
      <c r="D20" s="211">
        <v>120</v>
      </c>
      <c r="E20" s="214">
        <v>361272</v>
      </c>
      <c r="F20" s="214">
        <v>497372</v>
      </c>
      <c r="G20" s="211">
        <v>40.5</v>
      </c>
      <c r="H20" s="211">
        <v>41.158536599999998</v>
      </c>
      <c r="I20" s="211">
        <v>3.54</v>
      </c>
    </row>
    <row r="21" spans="1:9" ht="16.5" thickBot="1" x14ac:dyDescent="0.3">
      <c r="A21" s="212" t="s">
        <v>731</v>
      </c>
      <c r="B21" s="213" t="s">
        <v>707</v>
      </c>
      <c r="C21" s="211">
        <v>44</v>
      </c>
      <c r="D21" s="211">
        <v>130</v>
      </c>
      <c r="E21" s="214">
        <v>336426</v>
      </c>
      <c r="F21" s="214">
        <v>448082</v>
      </c>
      <c r="G21" s="218">
        <v>43.4</v>
      </c>
      <c r="H21" s="211">
        <v>44.105691100000001</v>
      </c>
      <c r="I21" s="211">
        <v>2.98</v>
      </c>
    </row>
  </sheetData>
  <mergeCells count="7">
    <mergeCell ref="A1:I1"/>
    <mergeCell ref="A2:A4"/>
    <mergeCell ref="B2:B4"/>
    <mergeCell ref="I2:I4"/>
    <mergeCell ref="A17:A19"/>
    <mergeCell ref="B17:B19"/>
    <mergeCell ref="I17:I19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E2499-57B3-48F9-9F20-314075C2E8CE}">
  <sheetPr codeName="Sheet7"/>
  <dimension ref="A1:BB69"/>
  <sheetViews>
    <sheetView zoomScale="85" zoomScaleNormal="85" workbookViewId="0">
      <selection activeCell="AA21" sqref="AA21"/>
    </sheetView>
  </sheetViews>
  <sheetFormatPr baseColWidth="10" defaultColWidth="9.140625" defaultRowHeight="15" x14ac:dyDescent="0.25"/>
  <cols>
    <col min="1" max="1" width="9.140625" style="261"/>
    <col min="2" max="2" width="5.7109375" style="261" customWidth="1"/>
    <col min="3" max="3" width="35.7109375" style="261" bestFit="1" customWidth="1"/>
    <col min="4" max="11" width="1.140625" style="261" customWidth="1"/>
    <col min="12" max="12" width="1.7109375" style="261" customWidth="1"/>
    <col min="13" max="13" width="2" style="261" customWidth="1"/>
    <col min="14" max="14" width="1.140625" style="261" customWidth="1"/>
    <col min="15" max="15" width="4.7109375" style="261" customWidth="1"/>
    <col min="16" max="24" width="1.140625" style="261" customWidth="1"/>
    <col min="25" max="25" width="1.5703125" style="261" customWidth="1"/>
    <col min="26" max="26" width="2.140625" style="261" customWidth="1"/>
    <col min="27" max="41" width="1.140625" style="261" customWidth="1"/>
    <col min="42" max="42" width="41.28515625" style="261" bestFit="1" customWidth="1"/>
    <col min="43" max="43" width="5.7109375" style="261" customWidth="1"/>
    <col min="44" max="50" width="9.140625" style="261"/>
    <col min="51" max="51" width="17.140625" style="261" customWidth="1"/>
    <col min="52" max="52" width="9.140625" style="261"/>
    <col min="53" max="53" width="16.5703125" style="261" bestFit="1" customWidth="1"/>
    <col min="54" max="16384" width="9.140625" style="261"/>
  </cols>
  <sheetData>
    <row r="1" spans="1:54" x14ac:dyDescent="0.25">
      <c r="A1" s="1"/>
      <c r="B1" s="1"/>
      <c r="C1" s="1"/>
      <c r="D1" s="412" t="str">
        <f>D4&amp;F4&amp;H4&amp;J4&amp;L4&amp;N4&amp;P4&amp;R4</f>
        <v>W47HM270D5</v>
      </c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  <c r="Q1" s="412"/>
      <c r="R1" s="412"/>
      <c r="S1" s="412"/>
      <c r="T1" s="1"/>
      <c r="U1" s="413" t="str">
        <f>U4&amp;W4&amp;Y4&amp;AA4&amp;AC4&amp;AE4&amp;AG4&amp;AI4</f>
        <v>B1-0B202</v>
      </c>
      <c r="V1" s="413"/>
      <c r="W1" s="413"/>
      <c r="X1" s="413"/>
      <c r="Y1" s="413"/>
      <c r="Z1" s="413"/>
      <c r="AA1" s="413"/>
      <c r="AB1" s="413"/>
      <c r="AC1" s="413"/>
      <c r="AD1" s="413"/>
      <c r="AE1" s="413"/>
      <c r="AF1" s="413"/>
      <c r="AG1" s="413"/>
      <c r="AH1" s="413"/>
      <c r="AI1" s="413"/>
      <c r="AJ1" s="413"/>
      <c r="AK1" s="1"/>
      <c r="AL1" s="409" t="str">
        <f>AL4&amp;AN4</f>
        <v>2M</v>
      </c>
      <c r="AM1" s="409"/>
      <c r="AN1" s="409"/>
      <c r="AO1" s="409"/>
      <c r="AP1" s="1"/>
      <c r="AQ1" s="1"/>
    </row>
    <row r="2" spans="1:54" ht="5.2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</row>
    <row r="3" spans="1:54" x14ac:dyDescent="0.25">
      <c r="A3" s="1"/>
      <c r="B3" s="1"/>
      <c r="C3" s="1"/>
      <c r="D3" s="410" t="s">
        <v>732</v>
      </c>
      <c r="E3" s="410"/>
      <c r="F3" s="410"/>
      <c r="G3" s="410"/>
      <c r="H3" s="410"/>
      <c r="I3" s="410"/>
      <c r="J3" s="410"/>
      <c r="K3" s="410"/>
      <c r="L3" s="410"/>
      <c r="M3" s="410"/>
      <c r="N3" s="410"/>
      <c r="O3" s="410"/>
      <c r="P3" s="410"/>
      <c r="Q3" s="410"/>
      <c r="R3" s="410"/>
      <c r="S3" s="410"/>
      <c r="T3" s="1"/>
      <c r="U3" s="262"/>
      <c r="V3" s="411" t="s">
        <v>733</v>
      </c>
      <c r="W3" s="411"/>
      <c r="X3" s="411"/>
      <c r="Y3" s="411"/>
      <c r="Z3" s="411"/>
      <c r="AA3" s="411"/>
      <c r="AB3" s="411"/>
      <c r="AC3" s="411"/>
      <c r="AD3" s="411"/>
      <c r="AE3" s="411"/>
      <c r="AF3" s="411"/>
      <c r="AG3" s="411"/>
      <c r="AH3" s="411"/>
      <c r="AI3" s="411"/>
      <c r="AJ3" s="262"/>
      <c r="AK3" s="1"/>
      <c r="AL3" s="263" t="s">
        <v>734</v>
      </c>
      <c r="AM3" s="263"/>
      <c r="AN3" s="263"/>
      <c r="AO3" s="263"/>
      <c r="AP3" s="1"/>
      <c r="AQ3" s="1"/>
    </row>
    <row r="4" spans="1:54" ht="17.25" x14ac:dyDescent="0.3">
      <c r="A4" s="1"/>
      <c r="B4" s="264"/>
      <c r="C4" s="264"/>
      <c r="D4" s="407" t="s">
        <v>735</v>
      </c>
      <c r="E4" s="407"/>
      <c r="F4" s="407">
        <v>4</v>
      </c>
      <c r="G4" s="407"/>
      <c r="H4" s="407">
        <v>7</v>
      </c>
      <c r="I4" s="407"/>
      <c r="J4" s="407" t="s">
        <v>736</v>
      </c>
      <c r="K4" s="407"/>
      <c r="L4" s="407" t="s">
        <v>737</v>
      </c>
      <c r="M4" s="407"/>
      <c r="N4" s="407">
        <v>270</v>
      </c>
      <c r="O4" s="407"/>
      <c r="P4" s="407" t="s">
        <v>738</v>
      </c>
      <c r="Q4" s="407"/>
      <c r="R4" s="407">
        <v>5</v>
      </c>
      <c r="S4" s="407"/>
      <c r="T4" s="265" t="s">
        <v>453</v>
      </c>
      <c r="U4" s="407" t="s">
        <v>739</v>
      </c>
      <c r="V4" s="407"/>
      <c r="W4" s="407">
        <v>1</v>
      </c>
      <c r="X4" s="407"/>
      <c r="Y4" s="407" t="s">
        <v>453</v>
      </c>
      <c r="Z4" s="407"/>
      <c r="AA4" s="407">
        <v>0</v>
      </c>
      <c r="AB4" s="407"/>
      <c r="AC4" s="407" t="s">
        <v>739</v>
      </c>
      <c r="AD4" s="407"/>
      <c r="AE4" s="407">
        <v>2</v>
      </c>
      <c r="AF4" s="407"/>
      <c r="AG4" s="407">
        <v>0</v>
      </c>
      <c r="AH4" s="407"/>
      <c r="AI4" s="407">
        <v>2</v>
      </c>
      <c r="AJ4" s="407"/>
      <c r="AK4" s="265" t="s">
        <v>453</v>
      </c>
      <c r="AL4" s="407">
        <v>2</v>
      </c>
      <c r="AM4" s="407"/>
      <c r="AN4" s="407" t="s">
        <v>737</v>
      </c>
      <c r="AO4" s="407"/>
      <c r="AP4" s="264"/>
      <c r="AQ4" s="264"/>
      <c r="AY4" s="266"/>
      <c r="AZ4" s="266"/>
    </row>
    <row r="5" spans="1:54" ht="31.15" customHeight="1" x14ac:dyDescent="0.3">
      <c r="A5" s="1"/>
      <c r="B5" s="264"/>
      <c r="C5" s="264"/>
      <c r="D5" s="267"/>
      <c r="E5" s="264"/>
      <c r="F5" s="267"/>
      <c r="G5" s="264"/>
      <c r="H5" s="267"/>
      <c r="I5" s="264"/>
      <c r="J5" s="267"/>
      <c r="K5" s="264"/>
      <c r="L5" s="267"/>
      <c r="M5" s="264"/>
      <c r="N5" s="267"/>
      <c r="O5" s="264"/>
      <c r="P5" s="267"/>
      <c r="Q5" s="264"/>
      <c r="R5" s="267"/>
      <c r="S5" s="264"/>
      <c r="T5" s="264"/>
      <c r="U5" s="267"/>
      <c r="V5" s="264"/>
      <c r="W5" s="267"/>
      <c r="X5" s="264"/>
      <c r="Y5" s="267"/>
      <c r="Z5" s="264"/>
      <c r="AA5" s="267"/>
      <c r="AB5" s="264"/>
      <c r="AC5" s="267"/>
      <c r="AD5" s="264"/>
      <c r="AE5" s="267"/>
      <c r="AF5" s="264"/>
      <c r="AG5" s="267"/>
      <c r="AH5" s="264"/>
      <c r="AI5" s="267"/>
      <c r="AJ5" s="264"/>
      <c r="AK5" s="264"/>
      <c r="AL5" s="267"/>
      <c r="AM5" s="264"/>
      <c r="AN5" s="267"/>
      <c r="AO5" s="264"/>
      <c r="AP5" s="268"/>
      <c r="AQ5" s="264"/>
      <c r="AW5" s="269"/>
      <c r="BB5" s="270"/>
    </row>
    <row r="6" spans="1:54" ht="18" thickBot="1" x14ac:dyDescent="0.35">
      <c r="A6" s="1"/>
      <c r="B6" s="408" t="s">
        <v>353</v>
      </c>
      <c r="C6" s="408"/>
      <c r="D6" s="271"/>
      <c r="E6" s="264"/>
      <c r="F6" s="267"/>
      <c r="G6" s="264"/>
      <c r="H6" s="267"/>
      <c r="I6" s="264"/>
      <c r="J6" s="267"/>
      <c r="K6" s="264"/>
      <c r="L6" s="267"/>
      <c r="M6" s="264"/>
      <c r="N6" s="267"/>
      <c r="O6" s="264"/>
      <c r="P6" s="267"/>
      <c r="Q6" s="264"/>
      <c r="R6" s="267"/>
      <c r="S6" s="264"/>
      <c r="T6" s="264"/>
      <c r="U6" s="267"/>
      <c r="V6" s="264"/>
      <c r="W6" s="267"/>
      <c r="X6" s="264"/>
      <c r="Y6" s="267"/>
      <c r="Z6" s="264"/>
      <c r="AA6" s="267"/>
      <c r="AB6" s="264"/>
      <c r="AC6" s="267"/>
      <c r="AD6" s="264"/>
      <c r="AE6" s="267"/>
      <c r="AF6" s="264"/>
      <c r="AG6" s="267"/>
      <c r="AH6" s="264"/>
      <c r="AI6" s="267"/>
      <c r="AJ6" s="264"/>
      <c r="AK6" s="264"/>
      <c r="AL6" s="267"/>
      <c r="AM6" s="264"/>
      <c r="AN6" s="264"/>
      <c r="AO6" s="272"/>
      <c r="AP6" s="406" t="s">
        <v>740</v>
      </c>
      <c r="AQ6" s="406"/>
      <c r="AW6" s="273"/>
      <c r="BB6" s="270"/>
    </row>
    <row r="7" spans="1:54" ht="17.25" x14ac:dyDescent="0.3">
      <c r="A7" s="1"/>
      <c r="B7" s="274" t="s">
        <v>741</v>
      </c>
      <c r="C7" s="264" t="s">
        <v>742</v>
      </c>
      <c r="D7" s="264"/>
      <c r="E7" s="264"/>
      <c r="F7" s="267"/>
      <c r="G7" s="264"/>
      <c r="H7" s="267"/>
      <c r="I7" s="264"/>
      <c r="J7" s="267"/>
      <c r="K7" s="264"/>
      <c r="L7" s="267"/>
      <c r="M7" s="264"/>
      <c r="N7" s="267"/>
      <c r="O7" s="264"/>
      <c r="P7" s="267"/>
      <c r="Q7" s="264"/>
      <c r="R7" s="267"/>
      <c r="S7" s="264"/>
      <c r="T7" s="264"/>
      <c r="U7" s="267"/>
      <c r="V7" s="264"/>
      <c r="W7" s="267"/>
      <c r="X7" s="264"/>
      <c r="Y7" s="267"/>
      <c r="Z7" s="264"/>
      <c r="AA7" s="267"/>
      <c r="AB7" s="264"/>
      <c r="AC7" s="267"/>
      <c r="AD7" s="264"/>
      <c r="AE7" s="267"/>
      <c r="AF7" s="264"/>
      <c r="AG7" s="267"/>
      <c r="AH7" s="264"/>
      <c r="AI7" s="267"/>
      <c r="AJ7" s="264"/>
      <c r="AK7" s="264"/>
      <c r="AL7" s="267"/>
      <c r="AM7" s="264"/>
      <c r="AN7" s="264"/>
      <c r="AO7" s="264"/>
      <c r="AP7" s="268" t="s">
        <v>743</v>
      </c>
      <c r="AQ7" s="275" t="s">
        <v>737</v>
      </c>
      <c r="AW7" s="273"/>
      <c r="BB7" s="270"/>
    </row>
    <row r="8" spans="1:54" ht="17.25" x14ac:dyDescent="0.3">
      <c r="A8" s="1"/>
      <c r="B8" s="274" t="s">
        <v>735</v>
      </c>
      <c r="C8" s="264" t="s">
        <v>744</v>
      </c>
      <c r="D8" s="264"/>
      <c r="E8" s="264"/>
      <c r="F8" s="267"/>
      <c r="G8" s="264"/>
      <c r="H8" s="267"/>
      <c r="I8" s="264"/>
      <c r="J8" s="267"/>
      <c r="K8" s="264"/>
      <c r="L8" s="267"/>
      <c r="M8" s="264"/>
      <c r="N8" s="267"/>
      <c r="O8" s="264"/>
      <c r="P8" s="267"/>
      <c r="Q8" s="264"/>
      <c r="R8" s="267"/>
      <c r="S8" s="264"/>
      <c r="T8" s="264"/>
      <c r="U8" s="267"/>
      <c r="V8" s="264"/>
      <c r="W8" s="267"/>
      <c r="X8" s="264"/>
      <c r="Y8" s="267"/>
      <c r="Z8" s="264"/>
      <c r="AA8" s="267"/>
      <c r="AB8" s="264"/>
      <c r="AC8" s="267"/>
      <c r="AD8" s="264"/>
      <c r="AE8" s="267"/>
      <c r="AF8" s="264"/>
      <c r="AG8" s="267"/>
      <c r="AH8" s="264"/>
      <c r="AI8" s="267"/>
      <c r="AJ8" s="264"/>
      <c r="AK8" s="264"/>
      <c r="AL8" s="267"/>
      <c r="AM8" s="264"/>
      <c r="AN8" s="264"/>
      <c r="AO8" s="264"/>
      <c r="AP8" s="268" t="s">
        <v>173</v>
      </c>
      <c r="AQ8" s="275" t="s">
        <v>745</v>
      </c>
      <c r="AW8" s="273"/>
      <c r="BB8" s="270"/>
    </row>
    <row r="9" spans="1:54" ht="17.25" x14ac:dyDescent="0.3">
      <c r="A9" s="1"/>
      <c r="B9" s="264"/>
      <c r="C9" s="264"/>
      <c r="D9" s="264"/>
      <c r="E9" s="264"/>
      <c r="F9" s="267"/>
      <c r="G9" s="264"/>
      <c r="H9" s="267"/>
      <c r="I9" s="264"/>
      <c r="J9" s="267"/>
      <c r="K9" s="264"/>
      <c r="L9" s="267"/>
      <c r="M9" s="264"/>
      <c r="N9" s="267"/>
      <c r="O9" s="264"/>
      <c r="P9" s="267"/>
      <c r="Q9" s="264"/>
      <c r="R9" s="267"/>
      <c r="S9" s="264"/>
      <c r="T9" s="264"/>
      <c r="U9" s="267"/>
      <c r="V9" s="264"/>
      <c r="W9" s="267"/>
      <c r="X9" s="264"/>
      <c r="Y9" s="267"/>
      <c r="Z9" s="264"/>
      <c r="AA9" s="267"/>
      <c r="AB9" s="264"/>
      <c r="AC9" s="267"/>
      <c r="AD9" s="264"/>
      <c r="AE9" s="267"/>
      <c r="AF9" s="264"/>
      <c r="AG9" s="267"/>
      <c r="AH9" s="264"/>
      <c r="AI9" s="267"/>
      <c r="AJ9" s="264"/>
      <c r="AK9" s="264"/>
      <c r="AL9" s="267"/>
      <c r="AM9" s="264"/>
      <c r="AN9" s="1"/>
      <c r="AO9" s="1"/>
      <c r="AP9" s="268" t="s">
        <v>204</v>
      </c>
      <c r="AQ9" s="275" t="s">
        <v>739</v>
      </c>
      <c r="AW9" s="269"/>
      <c r="BB9" s="270"/>
    </row>
    <row r="10" spans="1:54" ht="18" thickBot="1" x14ac:dyDescent="0.35">
      <c r="A10" s="1"/>
      <c r="B10" s="276" t="s">
        <v>117</v>
      </c>
      <c r="C10" s="277"/>
      <c r="D10" s="277"/>
      <c r="E10" s="277"/>
      <c r="F10" s="271"/>
      <c r="G10" s="264"/>
      <c r="H10" s="267"/>
      <c r="I10" s="264"/>
      <c r="J10" s="267"/>
      <c r="K10" s="264"/>
      <c r="L10" s="267"/>
      <c r="M10" s="264"/>
      <c r="N10" s="267"/>
      <c r="O10" s="264"/>
      <c r="P10" s="267"/>
      <c r="Q10" s="264"/>
      <c r="R10" s="267"/>
      <c r="S10" s="264"/>
      <c r="T10" s="264"/>
      <c r="U10" s="267"/>
      <c r="V10" s="264"/>
      <c r="W10" s="267"/>
      <c r="X10" s="264"/>
      <c r="Y10" s="267"/>
      <c r="Z10" s="264"/>
      <c r="AA10" s="267"/>
      <c r="AB10" s="264"/>
      <c r="AC10" s="267"/>
      <c r="AD10" s="264"/>
      <c r="AE10" s="267"/>
      <c r="AF10" s="264"/>
      <c r="AG10" s="267"/>
      <c r="AH10" s="264"/>
      <c r="AI10" s="267"/>
      <c r="AJ10" s="264"/>
      <c r="AK10" s="264"/>
      <c r="AL10" s="267"/>
      <c r="AM10" s="264"/>
      <c r="AN10" s="1"/>
      <c r="AO10" s="1"/>
      <c r="AP10" s="1"/>
      <c r="AQ10" s="1"/>
      <c r="AW10" s="273"/>
      <c r="BB10" s="270"/>
    </row>
    <row r="11" spans="1:54" ht="18" thickBot="1" x14ac:dyDescent="0.35">
      <c r="A11" s="1"/>
      <c r="B11" s="278">
        <v>2</v>
      </c>
      <c r="C11" s="264" t="s">
        <v>746</v>
      </c>
      <c r="D11" s="264"/>
      <c r="E11" s="264"/>
      <c r="F11" s="264"/>
      <c r="G11" s="264"/>
      <c r="H11" s="267"/>
      <c r="I11" s="264"/>
      <c r="J11" s="267"/>
      <c r="K11" s="264"/>
      <c r="L11" s="267"/>
      <c r="M11" s="264"/>
      <c r="N11" s="267"/>
      <c r="O11" s="264"/>
      <c r="P11" s="267"/>
      <c r="Q11" s="264"/>
      <c r="R11" s="267"/>
      <c r="S11" s="264"/>
      <c r="T11" s="264"/>
      <c r="U11" s="267"/>
      <c r="V11" s="264"/>
      <c r="W11" s="267"/>
      <c r="X11" s="264"/>
      <c r="Y11" s="267"/>
      <c r="Z11" s="264"/>
      <c r="AA11" s="267"/>
      <c r="AB11" s="264"/>
      <c r="AC11" s="267"/>
      <c r="AD11" s="264"/>
      <c r="AE11" s="267"/>
      <c r="AF11" s="264"/>
      <c r="AG11" s="267"/>
      <c r="AH11" s="264"/>
      <c r="AI11" s="267"/>
      <c r="AJ11" s="264"/>
      <c r="AK11" s="264"/>
      <c r="AL11" s="264"/>
      <c r="AM11" s="272"/>
      <c r="AN11" s="277"/>
      <c r="AO11" s="277"/>
      <c r="AP11" s="406" t="s">
        <v>747</v>
      </c>
      <c r="AQ11" s="406"/>
      <c r="AW11" s="269"/>
      <c r="BB11" s="270"/>
    </row>
    <row r="12" spans="1:54" ht="17.25" x14ac:dyDescent="0.3">
      <c r="A12" s="1"/>
      <c r="B12" s="278">
        <v>4</v>
      </c>
      <c r="C12" s="264" t="s">
        <v>748</v>
      </c>
      <c r="D12" s="264"/>
      <c r="E12" s="264"/>
      <c r="F12" s="264"/>
      <c r="G12" s="264"/>
      <c r="H12" s="267"/>
      <c r="I12" s="264"/>
      <c r="J12" s="267"/>
      <c r="K12" s="264"/>
      <c r="L12" s="267"/>
      <c r="M12" s="264"/>
      <c r="N12" s="267"/>
      <c r="O12" s="264"/>
      <c r="P12" s="267"/>
      <c r="Q12" s="264"/>
      <c r="R12" s="267"/>
      <c r="S12" s="264"/>
      <c r="T12" s="264"/>
      <c r="U12" s="267"/>
      <c r="V12" s="264"/>
      <c r="W12" s="267"/>
      <c r="X12" s="264"/>
      <c r="Y12" s="267"/>
      <c r="Z12" s="264"/>
      <c r="AA12" s="267"/>
      <c r="AB12" s="264"/>
      <c r="AC12" s="267"/>
      <c r="AD12" s="264"/>
      <c r="AE12" s="267"/>
      <c r="AF12" s="264"/>
      <c r="AG12" s="267"/>
      <c r="AH12" s="264"/>
      <c r="AI12" s="267"/>
      <c r="AJ12" s="264"/>
      <c r="AK12" s="1"/>
      <c r="AL12" s="264"/>
      <c r="AM12" s="264"/>
      <c r="AN12" s="264"/>
      <c r="AO12" s="264"/>
      <c r="AP12" s="268" t="s">
        <v>749</v>
      </c>
      <c r="AQ12" s="274">
        <f>AN9</f>
        <v>0</v>
      </c>
      <c r="AW12" s="269"/>
      <c r="BB12" s="270"/>
    </row>
    <row r="13" spans="1:54" ht="17.25" x14ac:dyDescent="0.3">
      <c r="A13" s="1"/>
      <c r="B13" s="278">
        <v>6</v>
      </c>
      <c r="C13" s="264" t="s">
        <v>750</v>
      </c>
      <c r="D13" s="264"/>
      <c r="E13" s="264"/>
      <c r="F13" s="264"/>
      <c r="G13" s="264"/>
      <c r="H13" s="267"/>
      <c r="I13" s="264"/>
      <c r="J13" s="267"/>
      <c r="K13" s="264"/>
      <c r="L13" s="267"/>
      <c r="M13" s="264"/>
      <c r="N13" s="267"/>
      <c r="O13" s="264"/>
      <c r="P13" s="267"/>
      <c r="Q13" s="264"/>
      <c r="R13" s="267"/>
      <c r="S13" s="264"/>
      <c r="T13" s="264"/>
      <c r="U13" s="267"/>
      <c r="V13" s="264"/>
      <c r="W13" s="267"/>
      <c r="X13" s="264"/>
      <c r="Y13" s="267"/>
      <c r="Z13" s="264"/>
      <c r="AA13" s="267"/>
      <c r="AB13" s="264"/>
      <c r="AC13" s="267"/>
      <c r="AD13" s="264"/>
      <c r="AE13" s="267"/>
      <c r="AF13" s="264"/>
      <c r="AG13" s="267"/>
      <c r="AH13" s="264"/>
      <c r="AI13" s="267"/>
      <c r="AJ13" s="264"/>
      <c r="AK13" s="1"/>
      <c r="AL13" s="1"/>
      <c r="AM13" s="1"/>
      <c r="AN13" s="1"/>
      <c r="AO13" s="1"/>
      <c r="AP13" s="268" t="s">
        <v>452</v>
      </c>
      <c r="AQ13" s="275" t="s">
        <v>453</v>
      </c>
      <c r="AW13" s="269"/>
      <c r="BB13" s="270"/>
    </row>
    <row r="14" spans="1:54" ht="18" thickBot="1" x14ac:dyDescent="0.35">
      <c r="A14" s="1"/>
      <c r="B14" s="264"/>
      <c r="C14" s="264"/>
      <c r="D14" s="264"/>
      <c r="E14" s="264"/>
      <c r="F14" s="264"/>
      <c r="G14" s="264"/>
      <c r="H14" s="267"/>
      <c r="I14" s="264"/>
      <c r="J14" s="267"/>
      <c r="K14" s="264"/>
      <c r="L14" s="267"/>
      <c r="M14" s="264"/>
      <c r="N14" s="267"/>
      <c r="O14" s="264"/>
      <c r="P14" s="267"/>
      <c r="Q14" s="264"/>
      <c r="R14" s="267"/>
      <c r="S14" s="264"/>
      <c r="T14" s="264"/>
      <c r="U14" s="267"/>
      <c r="V14" s="264"/>
      <c r="W14" s="267"/>
      <c r="X14" s="264"/>
      <c r="Y14" s="267"/>
      <c r="Z14" s="264"/>
      <c r="AA14" s="267"/>
      <c r="AB14" s="264"/>
      <c r="AC14" s="267"/>
      <c r="AD14" s="264"/>
      <c r="AE14" s="267"/>
      <c r="AF14" s="264"/>
      <c r="AG14" s="267"/>
      <c r="AH14" s="264"/>
      <c r="AI14" s="264"/>
      <c r="AJ14" s="272"/>
      <c r="AK14" s="279"/>
      <c r="AL14" s="277"/>
      <c r="AM14" s="277"/>
      <c r="AN14" s="277"/>
      <c r="AO14" s="277"/>
      <c r="AP14" s="406" t="s">
        <v>751</v>
      </c>
      <c r="AQ14" s="406"/>
      <c r="AW14" s="269"/>
      <c r="BB14" s="270"/>
    </row>
    <row r="15" spans="1:54" ht="18" thickBot="1" x14ac:dyDescent="0.35">
      <c r="A15" s="1"/>
      <c r="B15" s="276" t="s">
        <v>316</v>
      </c>
      <c r="C15" s="276"/>
      <c r="D15" s="276"/>
      <c r="E15" s="276"/>
      <c r="F15" s="276"/>
      <c r="G15" s="276"/>
      <c r="H15" s="280"/>
      <c r="I15" s="264"/>
      <c r="J15" s="267"/>
      <c r="K15" s="264"/>
      <c r="L15" s="267"/>
      <c r="M15" s="264"/>
      <c r="N15" s="267"/>
      <c r="O15" s="264"/>
      <c r="P15" s="267"/>
      <c r="Q15" s="264"/>
      <c r="R15" s="267"/>
      <c r="S15" s="264"/>
      <c r="T15" s="264"/>
      <c r="U15" s="267"/>
      <c r="V15" s="264"/>
      <c r="W15" s="267"/>
      <c r="X15" s="264"/>
      <c r="Y15" s="267"/>
      <c r="Z15" s="264"/>
      <c r="AA15" s="267"/>
      <c r="AB15" s="264"/>
      <c r="AC15" s="267"/>
      <c r="AD15" s="264"/>
      <c r="AE15" s="267"/>
      <c r="AF15" s="264"/>
      <c r="AG15" s="267"/>
      <c r="AH15" s="264"/>
      <c r="AI15" s="264"/>
      <c r="AJ15" s="264"/>
      <c r="AK15" s="264"/>
      <c r="AL15" s="264"/>
      <c r="AM15" s="264"/>
      <c r="AN15" s="264"/>
      <c r="AO15" s="264"/>
      <c r="AP15" s="268" t="s">
        <v>752</v>
      </c>
      <c r="AQ15" s="274">
        <v>0</v>
      </c>
      <c r="AW15" s="273"/>
      <c r="BB15" s="270"/>
    </row>
    <row r="16" spans="1:54" ht="17.25" x14ac:dyDescent="0.3">
      <c r="A16" s="1"/>
      <c r="B16" s="278">
        <v>3</v>
      </c>
      <c r="C16" s="264" t="s">
        <v>753</v>
      </c>
      <c r="D16" s="264"/>
      <c r="E16" s="264"/>
      <c r="F16" s="264"/>
      <c r="G16" s="264"/>
      <c r="H16" s="264"/>
      <c r="I16" s="264"/>
      <c r="J16" s="267"/>
      <c r="K16" s="264"/>
      <c r="L16" s="267"/>
      <c r="M16" s="264"/>
      <c r="N16" s="267"/>
      <c r="O16" s="264"/>
      <c r="P16" s="267"/>
      <c r="Q16" s="264"/>
      <c r="R16" s="267"/>
      <c r="S16" s="264"/>
      <c r="T16" s="264"/>
      <c r="U16" s="267"/>
      <c r="V16" s="264"/>
      <c r="W16" s="267"/>
      <c r="X16" s="264"/>
      <c r="Y16" s="267"/>
      <c r="Z16" s="264"/>
      <c r="AA16" s="267"/>
      <c r="AB16" s="264"/>
      <c r="AC16" s="267"/>
      <c r="AD16" s="264"/>
      <c r="AE16" s="267"/>
      <c r="AF16" s="264"/>
      <c r="AG16" s="267"/>
      <c r="AH16" s="264"/>
      <c r="AI16" s="264"/>
      <c r="AJ16" s="264"/>
      <c r="AK16" s="264"/>
      <c r="AL16" s="264"/>
      <c r="AM16" s="264"/>
      <c r="AN16" s="264"/>
      <c r="AO16" s="264"/>
      <c r="AP16" s="268" t="s">
        <v>754</v>
      </c>
      <c r="AQ16" s="274">
        <v>2</v>
      </c>
      <c r="AW16" s="269"/>
      <c r="BB16" s="270"/>
    </row>
    <row r="17" spans="1:54" ht="17.25" x14ac:dyDescent="0.3">
      <c r="A17" s="1"/>
      <c r="B17" s="278">
        <v>4</v>
      </c>
      <c r="C17" s="264" t="s">
        <v>755</v>
      </c>
      <c r="D17" s="264"/>
      <c r="E17" s="264"/>
      <c r="F17" s="264"/>
      <c r="G17" s="264"/>
      <c r="H17" s="264"/>
      <c r="I17" s="264"/>
      <c r="J17" s="267"/>
      <c r="K17" s="264"/>
      <c r="L17" s="267"/>
      <c r="M17" s="264"/>
      <c r="N17" s="267"/>
      <c r="O17" s="264"/>
      <c r="P17" s="267"/>
      <c r="Q17" s="264"/>
      <c r="R17" s="267"/>
      <c r="S17" s="264"/>
      <c r="T17" s="264"/>
      <c r="U17" s="267"/>
      <c r="V17" s="264"/>
      <c r="W17" s="267"/>
      <c r="X17" s="264"/>
      <c r="Y17" s="267"/>
      <c r="Z17" s="264"/>
      <c r="AA17" s="267"/>
      <c r="AB17" s="264"/>
      <c r="AC17" s="267"/>
      <c r="AD17" s="264"/>
      <c r="AE17" s="267"/>
      <c r="AF17" s="264"/>
      <c r="AG17" s="267"/>
      <c r="AH17" s="264"/>
      <c r="AI17" s="1"/>
      <c r="AJ17" s="264"/>
      <c r="AK17" s="264"/>
      <c r="AL17" s="264"/>
      <c r="AM17" s="264"/>
      <c r="AN17" s="264"/>
      <c r="AO17" s="264"/>
      <c r="AP17" s="268" t="s">
        <v>756</v>
      </c>
      <c r="AQ17" s="274">
        <v>3</v>
      </c>
      <c r="AW17" s="269"/>
      <c r="BB17" s="270"/>
    </row>
    <row r="18" spans="1:54" ht="17.25" x14ac:dyDescent="0.3">
      <c r="A18" s="1"/>
      <c r="B18" s="278">
        <v>5</v>
      </c>
      <c r="C18" s="264" t="s">
        <v>199</v>
      </c>
      <c r="D18" s="264"/>
      <c r="E18" s="264"/>
      <c r="F18" s="264"/>
      <c r="G18" s="264"/>
      <c r="H18" s="264"/>
      <c r="I18" s="264"/>
      <c r="J18" s="267"/>
      <c r="K18" s="264"/>
      <c r="L18" s="267"/>
      <c r="M18" s="264"/>
      <c r="N18" s="267"/>
      <c r="O18" s="264"/>
      <c r="P18" s="267"/>
      <c r="Q18" s="264"/>
      <c r="R18" s="267"/>
      <c r="S18" s="264"/>
      <c r="T18" s="264"/>
      <c r="U18" s="267"/>
      <c r="V18" s="264"/>
      <c r="W18" s="267"/>
      <c r="X18" s="264"/>
      <c r="Y18" s="267"/>
      <c r="Z18" s="264"/>
      <c r="AA18" s="267"/>
      <c r="AB18" s="264"/>
      <c r="AC18" s="267"/>
      <c r="AD18" s="264"/>
      <c r="AE18" s="267"/>
      <c r="AF18" s="264"/>
      <c r="AG18" s="267"/>
      <c r="AH18" s="264"/>
      <c r="AI18" s="1"/>
      <c r="AJ18" s="1"/>
      <c r="AK18" s="1"/>
      <c r="AL18" s="1"/>
      <c r="AM18" s="1"/>
      <c r="AN18" s="1"/>
      <c r="AO18" s="1"/>
      <c r="AP18" s="268" t="s">
        <v>452</v>
      </c>
      <c r="AQ18" s="275" t="s">
        <v>453</v>
      </c>
      <c r="AW18" s="269"/>
      <c r="BB18" s="270"/>
    </row>
    <row r="19" spans="1:54" ht="18" thickBot="1" x14ac:dyDescent="0.35">
      <c r="A19" s="1"/>
      <c r="B19" s="278">
        <v>7</v>
      </c>
      <c r="C19" s="264" t="s">
        <v>209</v>
      </c>
      <c r="D19" s="264"/>
      <c r="E19" s="264"/>
      <c r="F19" s="264"/>
      <c r="G19" s="264"/>
      <c r="H19" s="264"/>
      <c r="I19" s="264"/>
      <c r="J19" s="267"/>
      <c r="K19" s="264"/>
      <c r="L19" s="267"/>
      <c r="M19" s="264"/>
      <c r="N19" s="267"/>
      <c r="O19" s="264"/>
      <c r="P19" s="267"/>
      <c r="Q19" s="264"/>
      <c r="R19" s="267"/>
      <c r="S19" s="264"/>
      <c r="T19" s="264"/>
      <c r="U19" s="267"/>
      <c r="V19" s="264"/>
      <c r="W19" s="267"/>
      <c r="X19" s="264"/>
      <c r="Y19" s="267"/>
      <c r="Z19" s="264"/>
      <c r="AA19" s="267"/>
      <c r="AB19" s="264"/>
      <c r="AC19" s="267"/>
      <c r="AD19" s="264"/>
      <c r="AE19" s="267"/>
      <c r="AF19" s="264"/>
      <c r="AG19" s="264"/>
      <c r="AH19" s="272"/>
      <c r="AI19" s="277"/>
      <c r="AJ19" s="277"/>
      <c r="AK19" s="277"/>
      <c r="AL19" s="277"/>
      <c r="AM19" s="277"/>
      <c r="AN19" s="277"/>
      <c r="AO19" s="277"/>
      <c r="AP19" s="406" t="s">
        <v>757</v>
      </c>
      <c r="AQ19" s="406"/>
      <c r="AW19" s="269"/>
      <c r="BB19" s="270"/>
    </row>
    <row r="20" spans="1:54" ht="17.25" x14ac:dyDescent="0.3">
      <c r="A20" s="1"/>
      <c r="B20" s="1"/>
      <c r="C20" s="1"/>
      <c r="D20" s="1"/>
      <c r="E20" s="1"/>
      <c r="F20" s="1"/>
      <c r="G20" s="1"/>
      <c r="H20" s="264"/>
      <c r="I20" s="264"/>
      <c r="J20" s="267"/>
      <c r="K20" s="264"/>
      <c r="L20" s="267"/>
      <c r="M20" s="264"/>
      <c r="N20" s="267"/>
      <c r="O20" s="264"/>
      <c r="P20" s="267"/>
      <c r="Q20" s="264"/>
      <c r="R20" s="267"/>
      <c r="S20" s="264"/>
      <c r="T20" s="264"/>
      <c r="U20" s="267"/>
      <c r="V20" s="264"/>
      <c r="W20" s="267"/>
      <c r="X20" s="264"/>
      <c r="Y20" s="267"/>
      <c r="Z20" s="264"/>
      <c r="AA20" s="267"/>
      <c r="AB20" s="264"/>
      <c r="AC20" s="267"/>
      <c r="AD20" s="264"/>
      <c r="AE20" s="267"/>
      <c r="AF20" s="264"/>
      <c r="AG20" s="264"/>
      <c r="AH20" s="264"/>
      <c r="AI20" s="264"/>
      <c r="AJ20" s="264"/>
      <c r="AK20" s="264"/>
      <c r="AL20" s="264"/>
      <c r="AM20" s="264"/>
      <c r="AN20" s="264"/>
      <c r="AO20" s="264"/>
      <c r="AP20" s="268" t="s">
        <v>758</v>
      </c>
      <c r="AQ20" s="274">
        <v>0</v>
      </c>
      <c r="AW20" s="269"/>
      <c r="BB20" s="270"/>
    </row>
    <row r="21" spans="1:54" ht="18" thickBot="1" x14ac:dyDescent="0.35">
      <c r="A21" s="1"/>
      <c r="B21" s="276" t="s">
        <v>759</v>
      </c>
      <c r="C21" s="276"/>
      <c r="D21" s="276"/>
      <c r="E21" s="276"/>
      <c r="F21" s="276"/>
      <c r="G21" s="276"/>
      <c r="H21" s="276"/>
      <c r="I21" s="276"/>
      <c r="J21" s="280"/>
      <c r="K21" s="264"/>
      <c r="L21" s="267"/>
      <c r="M21" s="264"/>
      <c r="N21" s="267"/>
      <c r="O21" s="264"/>
      <c r="P21" s="267"/>
      <c r="Q21" s="264"/>
      <c r="R21" s="267"/>
      <c r="S21" s="264"/>
      <c r="T21" s="264"/>
      <c r="U21" s="267"/>
      <c r="V21" s="264"/>
      <c r="W21" s="267"/>
      <c r="X21" s="264"/>
      <c r="Y21" s="267"/>
      <c r="Z21" s="264"/>
      <c r="AA21" s="267"/>
      <c r="AB21" s="264"/>
      <c r="AC21" s="267"/>
      <c r="AD21" s="264"/>
      <c r="AE21" s="267"/>
      <c r="AF21" s="264"/>
      <c r="AG21" s="264"/>
      <c r="AH21" s="264"/>
      <c r="AI21" s="264"/>
      <c r="AJ21" s="264"/>
      <c r="AK21" s="264"/>
      <c r="AL21" s="264"/>
      <c r="AM21" s="264"/>
      <c r="AN21" s="264"/>
      <c r="AO21" s="264"/>
      <c r="AP21" s="268" t="s">
        <v>760</v>
      </c>
      <c r="AQ21" s="274">
        <v>1</v>
      </c>
      <c r="AW21" s="269"/>
      <c r="BB21" s="270"/>
    </row>
    <row r="22" spans="1:54" ht="17.25" x14ac:dyDescent="0.3">
      <c r="A22" s="1"/>
      <c r="B22" s="278" t="s">
        <v>761</v>
      </c>
      <c r="C22" s="264" t="s">
        <v>30</v>
      </c>
      <c r="D22" s="264"/>
      <c r="E22" s="264"/>
      <c r="F22" s="264"/>
      <c r="G22" s="264"/>
      <c r="H22" s="264"/>
      <c r="I22" s="264"/>
      <c r="J22" s="264"/>
      <c r="K22" s="264"/>
      <c r="L22" s="267"/>
      <c r="M22" s="264"/>
      <c r="N22" s="267"/>
      <c r="O22" s="264"/>
      <c r="P22" s="267"/>
      <c r="Q22" s="264"/>
      <c r="R22" s="267"/>
      <c r="S22" s="264"/>
      <c r="T22" s="264"/>
      <c r="U22" s="267"/>
      <c r="V22" s="264"/>
      <c r="W22" s="267"/>
      <c r="X22" s="264"/>
      <c r="Y22" s="267"/>
      <c r="Z22" s="264"/>
      <c r="AA22" s="267"/>
      <c r="AB22" s="264"/>
      <c r="AC22" s="267"/>
      <c r="AD22" s="264"/>
      <c r="AE22" s="267"/>
      <c r="AF22" s="264"/>
      <c r="AG22" s="264"/>
      <c r="AH22" s="264"/>
      <c r="AI22" s="264"/>
      <c r="AJ22" s="264"/>
      <c r="AK22" s="264"/>
      <c r="AL22" s="264"/>
      <c r="AM22" s="264"/>
      <c r="AN22" s="264"/>
      <c r="AO22" s="264"/>
      <c r="AP22" s="268" t="s">
        <v>452</v>
      </c>
      <c r="AQ22" s="275" t="s">
        <v>453</v>
      </c>
      <c r="AW22" s="269"/>
      <c r="BB22" s="270"/>
    </row>
    <row r="23" spans="1:54" ht="18" thickBot="1" x14ac:dyDescent="0.35">
      <c r="A23" s="1"/>
      <c r="B23" s="278" t="s">
        <v>736</v>
      </c>
      <c r="C23" s="264" t="s">
        <v>762</v>
      </c>
      <c r="D23" s="264"/>
      <c r="E23" s="264"/>
      <c r="F23" s="264"/>
      <c r="G23" s="264"/>
      <c r="H23" s="264"/>
      <c r="I23" s="264"/>
      <c r="J23" s="264"/>
      <c r="K23" s="264"/>
      <c r="L23" s="267"/>
      <c r="M23" s="264"/>
      <c r="N23" s="267"/>
      <c r="O23" s="264"/>
      <c r="P23" s="267"/>
      <c r="Q23" s="264"/>
      <c r="R23" s="267"/>
      <c r="S23" s="264"/>
      <c r="T23" s="264"/>
      <c r="U23" s="267"/>
      <c r="V23" s="264"/>
      <c r="W23" s="267"/>
      <c r="X23" s="264"/>
      <c r="Y23" s="267"/>
      <c r="Z23" s="264"/>
      <c r="AA23" s="267"/>
      <c r="AB23" s="264"/>
      <c r="AC23" s="267"/>
      <c r="AD23" s="264"/>
      <c r="AE23" s="264"/>
      <c r="AF23" s="281"/>
      <c r="AG23" s="276"/>
      <c r="AH23" s="276"/>
      <c r="AI23" s="276"/>
      <c r="AJ23" s="276"/>
      <c r="AK23" s="276"/>
      <c r="AL23" s="276"/>
      <c r="AM23" s="276"/>
      <c r="AN23" s="276"/>
      <c r="AO23" s="276"/>
      <c r="AP23" s="406" t="s">
        <v>763</v>
      </c>
      <c r="AQ23" s="406"/>
      <c r="AW23" s="269"/>
      <c r="BB23" s="270"/>
    </row>
    <row r="24" spans="1:54" ht="17.25" x14ac:dyDescent="0.3">
      <c r="A24" s="1"/>
      <c r="B24" s="278" t="s">
        <v>764</v>
      </c>
      <c r="C24" s="264" t="s">
        <v>765</v>
      </c>
      <c r="D24" s="264"/>
      <c r="E24" s="264"/>
      <c r="F24" s="264"/>
      <c r="G24" s="264"/>
      <c r="H24" s="264"/>
      <c r="I24" s="264"/>
      <c r="J24" s="264"/>
      <c r="K24" s="264"/>
      <c r="L24" s="267"/>
      <c r="M24" s="264"/>
      <c r="N24" s="267"/>
      <c r="O24" s="264"/>
      <c r="P24" s="267"/>
      <c r="Q24" s="264"/>
      <c r="R24" s="267"/>
      <c r="S24" s="264"/>
      <c r="T24" s="264"/>
      <c r="U24" s="267"/>
      <c r="V24" s="264"/>
      <c r="W24" s="267"/>
      <c r="X24" s="264"/>
      <c r="Y24" s="267"/>
      <c r="Z24" s="264"/>
      <c r="AA24" s="267"/>
      <c r="AB24" s="264"/>
      <c r="AC24" s="267"/>
      <c r="AD24" s="264"/>
      <c r="AE24" s="264"/>
      <c r="AF24" s="264"/>
      <c r="AG24" s="264"/>
      <c r="AH24" s="264"/>
      <c r="AI24" s="264"/>
      <c r="AJ24" s="264"/>
      <c r="AK24" s="264"/>
      <c r="AL24" s="264"/>
      <c r="AM24" s="264"/>
      <c r="AN24" s="264"/>
      <c r="AO24" s="264"/>
      <c r="AP24" s="268">
        <v>1</v>
      </c>
      <c r="AQ24" s="274">
        <v>1</v>
      </c>
      <c r="AW24" s="269"/>
      <c r="BB24" s="270"/>
    </row>
    <row r="25" spans="1:54" ht="17.25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267"/>
      <c r="M25" s="264"/>
      <c r="N25" s="267"/>
      <c r="O25" s="264"/>
      <c r="P25" s="267"/>
      <c r="Q25" s="264"/>
      <c r="R25" s="267"/>
      <c r="S25" s="264"/>
      <c r="T25" s="264"/>
      <c r="U25" s="267"/>
      <c r="V25" s="264"/>
      <c r="W25" s="267"/>
      <c r="X25" s="264"/>
      <c r="Y25" s="267"/>
      <c r="Z25" s="264"/>
      <c r="AA25" s="267"/>
      <c r="AB25" s="264"/>
      <c r="AC25" s="267"/>
      <c r="AD25" s="264"/>
      <c r="AE25" s="264"/>
      <c r="AF25" s="264"/>
      <c r="AG25" s="264"/>
      <c r="AH25" s="264"/>
      <c r="AI25" s="264"/>
      <c r="AJ25" s="264"/>
      <c r="AK25" s="264"/>
      <c r="AL25" s="264"/>
      <c r="AM25" s="264"/>
      <c r="AN25" s="264"/>
      <c r="AO25" s="264"/>
      <c r="AP25" s="268">
        <v>2</v>
      </c>
      <c r="AQ25" s="274">
        <v>2</v>
      </c>
      <c r="AW25" s="269"/>
    </row>
    <row r="26" spans="1:54" ht="18" thickBot="1" x14ac:dyDescent="0.35">
      <c r="A26" s="1"/>
      <c r="B26" s="276" t="s">
        <v>766</v>
      </c>
      <c r="C26" s="276"/>
      <c r="D26" s="276"/>
      <c r="E26" s="276"/>
      <c r="F26" s="276"/>
      <c r="G26" s="276"/>
      <c r="H26" s="276"/>
      <c r="I26" s="276"/>
      <c r="J26" s="276"/>
      <c r="K26" s="276"/>
      <c r="L26" s="280"/>
      <c r="M26" s="264"/>
      <c r="N26" s="267"/>
      <c r="O26" s="264"/>
      <c r="P26" s="267"/>
      <c r="Q26" s="264"/>
      <c r="R26" s="267"/>
      <c r="S26" s="264"/>
      <c r="T26" s="264"/>
      <c r="U26" s="267"/>
      <c r="V26" s="264"/>
      <c r="W26" s="267"/>
      <c r="X26" s="264"/>
      <c r="Y26" s="267"/>
      <c r="Z26" s="264"/>
      <c r="AA26" s="267"/>
      <c r="AB26" s="264"/>
      <c r="AC26" s="267"/>
      <c r="AD26" s="264"/>
      <c r="AE26" s="264"/>
      <c r="AF26" s="264"/>
      <c r="AG26" s="1"/>
      <c r="AH26" s="1"/>
      <c r="AI26" s="1"/>
      <c r="AJ26" s="1"/>
      <c r="AK26" s="1"/>
      <c r="AL26" s="1"/>
      <c r="AM26" s="1"/>
      <c r="AN26" s="1"/>
      <c r="AO26" s="1"/>
      <c r="AP26" s="268" t="s">
        <v>452</v>
      </c>
      <c r="AQ26" s="275" t="s">
        <v>453</v>
      </c>
      <c r="AW26" s="269"/>
    </row>
    <row r="27" spans="1:54" ht="18" thickBot="1" x14ac:dyDescent="0.35">
      <c r="A27" s="1"/>
      <c r="B27" s="278" t="s">
        <v>767</v>
      </c>
      <c r="C27" s="264" t="s">
        <v>705</v>
      </c>
      <c r="D27" s="264"/>
      <c r="E27" s="264"/>
      <c r="F27" s="264"/>
      <c r="G27" s="264"/>
      <c r="H27" s="264"/>
      <c r="I27" s="264"/>
      <c r="J27" s="264"/>
      <c r="K27" s="264"/>
      <c r="L27" s="264"/>
      <c r="M27" s="264"/>
      <c r="N27" s="267"/>
      <c r="O27" s="264"/>
      <c r="P27" s="267"/>
      <c r="Q27" s="264"/>
      <c r="R27" s="267"/>
      <c r="S27" s="264"/>
      <c r="T27" s="264"/>
      <c r="U27" s="267"/>
      <c r="V27" s="264"/>
      <c r="W27" s="267"/>
      <c r="X27" s="264"/>
      <c r="Y27" s="267"/>
      <c r="Z27" s="264"/>
      <c r="AA27" s="267"/>
      <c r="AB27" s="264"/>
      <c r="AC27" s="267"/>
      <c r="AD27" s="272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406" t="s">
        <v>768</v>
      </c>
      <c r="AQ27" s="406"/>
    </row>
    <row r="28" spans="1:54" ht="17.25" x14ac:dyDescent="0.3">
      <c r="A28" s="1"/>
      <c r="B28" s="278" t="s">
        <v>769</v>
      </c>
      <c r="C28" s="264" t="s">
        <v>698</v>
      </c>
      <c r="D28" s="264"/>
      <c r="E28" s="264"/>
      <c r="F28" s="264"/>
      <c r="G28" s="264"/>
      <c r="H28" s="264"/>
      <c r="I28" s="264"/>
      <c r="J28" s="264"/>
      <c r="K28" s="264"/>
      <c r="L28" s="264"/>
      <c r="M28" s="264"/>
      <c r="N28" s="267"/>
      <c r="O28" s="264"/>
      <c r="P28" s="267"/>
      <c r="Q28" s="264"/>
      <c r="R28" s="267"/>
      <c r="S28" s="264"/>
      <c r="T28" s="264"/>
      <c r="U28" s="267"/>
      <c r="V28" s="264"/>
      <c r="W28" s="267"/>
      <c r="X28" s="264"/>
      <c r="Y28" s="267"/>
      <c r="Z28" s="264"/>
      <c r="AA28" s="267"/>
      <c r="AB28" s="264"/>
      <c r="AC28" s="264"/>
      <c r="AD28" s="264"/>
      <c r="AE28" s="264"/>
      <c r="AF28" s="264"/>
      <c r="AG28" s="264"/>
      <c r="AH28" s="264"/>
      <c r="AI28" s="264"/>
      <c r="AJ28" s="264"/>
      <c r="AK28" s="264"/>
      <c r="AL28" s="264"/>
      <c r="AM28" s="264"/>
      <c r="AN28" s="264"/>
      <c r="AO28" s="264"/>
      <c r="AP28" s="268" t="s">
        <v>770</v>
      </c>
      <c r="AQ28" s="275" t="s">
        <v>739</v>
      </c>
    </row>
    <row r="29" spans="1:54" ht="17.25" x14ac:dyDescent="0.3">
      <c r="A29" s="282"/>
      <c r="B29" s="278" t="s">
        <v>737</v>
      </c>
      <c r="C29" s="264" t="s">
        <v>771</v>
      </c>
      <c r="D29" s="264"/>
      <c r="E29" s="264"/>
      <c r="F29" s="264"/>
      <c r="G29" s="264"/>
      <c r="H29" s="264"/>
      <c r="I29" s="264"/>
      <c r="J29" s="264"/>
      <c r="K29" s="264"/>
      <c r="L29" s="264"/>
      <c r="M29" s="264"/>
      <c r="N29" s="267"/>
      <c r="O29" s="264"/>
      <c r="P29" s="267"/>
      <c r="Q29" s="264"/>
      <c r="R29" s="267"/>
      <c r="S29" s="264"/>
      <c r="T29" s="264"/>
      <c r="U29" s="267"/>
      <c r="V29" s="264"/>
      <c r="W29" s="267"/>
      <c r="X29" s="264"/>
      <c r="Y29" s="267"/>
      <c r="Z29" s="264"/>
      <c r="AA29" s="267"/>
      <c r="AB29" s="264"/>
      <c r="AC29" s="264"/>
      <c r="AD29" s="264"/>
      <c r="AE29" s="264"/>
      <c r="AF29" s="264"/>
      <c r="AG29" s="264"/>
      <c r="AH29" s="264"/>
      <c r="AI29" s="264"/>
      <c r="AJ29" s="264"/>
      <c r="AK29" s="264"/>
      <c r="AL29" s="264"/>
      <c r="AM29" s="264"/>
      <c r="AN29" s="264"/>
      <c r="AO29" s="264"/>
      <c r="AP29" s="268" t="s">
        <v>772</v>
      </c>
      <c r="AQ29" s="275" t="s">
        <v>761</v>
      </c>
    </row>
    <row r="30" spans="1:54" ht="17.25" x14ac:dyDescent="0.3">
      <c r="A30" s="282"/>
      <c r="B30" s="1"/>
      <c r="C30" s="1"/>
      <c r="D30" s="1"/>
      <c r="E30" s="1"/>
      <c r="F30" s="1"/>
      <c r="G30" s="1"/>
      <c r="H30" s="1"/>
      <c r="I30" s="1"/>
      <c r="J30" s="1"/>
      <c r="K30" s="1"/>
      <c r="L30" s="264"/>
      <c r="M30" s="264"/>
      <c r="N30" s="267"/>
      <c r="O30" s="264"/>
      <c r="P30" s="267"/>
      <c r="Q30" s="264"/>
      <c r="R30" s="267"/>
      <c r="S30" s="264"/>
      <c r="T30" s="264"/>
      <c r="U30" s="267"/>
      <c r="V30" s="264"/>
      <c r="W30" s="267"/>
      <c r="X30" s="264"/>
      <c r="Y30" s="267"/>
      <c r="Z30" s="264"/>
      <c r="AA30" s="267"/>
      <c r="AB30" s="264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268" t="s">
        <v>452</v>
      </c>
      <c r="AQ30" s="275" t="s">
        <v>453</v>
      </c>
    </row>
    <row r="31" spans="1:54" ht="18" thickBot="1" x14ac:dyDescent="0.35">
      <c r="A31" s="282"/>
      <c r="B31" s="276" t="s">
        <v>773</v>
      </c>
      <c r="C31" s="276"/>
      <c r="D31" s="276"/>
      <c r="E31" s="276"/>
      <c r="F31" s="276"/>
      <c r="G31" s="276"/>
      <c r="H31" s="276"/>
      <c r="I31" s="276"/>
      <c r="J31" s="276"/>
      <c r="K31" s="276"/>
      <c r="L31" s="277"/>
      <c r="M31" s="277"/>
      <c r="N31" s="271"/>
      <c r="O31" s="264"/>
      <c r="P31" s="267"/>
      <c r="Q31" s="264"/>
      <c r="R31" s="267"/>
      <c r="S31" s="264"/>
      <c r="T31" s="264"/>
      <c r="U31" s="267"/>
      <c r="V31" s="264"/>
      <c r="W31" s="267"/>
      <c r="X31" s="264"/>
      <c r="Y31" s="267"/>
      <c r="Z31" s="264"/>
      <c r="AA31" s="267"/>
      <c r="AB31" s="264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</row>
    <row r="32" spans="1:54" ht="18" thickBot="1" x14ac:dyDescent="0.35">
      <c r="A32" s="1"/>
      <c r="B32" s="274" t="s">
        <v>774</v>
      </c>
      <c r="C32" s="264" t="s">
        <v>775</v>
      </c>
      <c r="D32" s="264"/>
      <c r="E32" s="264"/>
      <c r="F32" s="264"/>
      <c r="G32" s="264"/>
      <c r="H32" s="264"/>
      <c r="I32" s="264"/>
      <c r="J32" s="264"/>
      <c r="K32" s="264"/>
      <c r="L32" s="264"/>
      <c r="M32" s="264"/>
      <c r="N32" s="264"/>
      <c r="O32" s="264"/>
      <c r="P32" s="267"/>
      <c r="Q32" s="264"/>
      <c r="R32" s="267"/>
      <c r="S32" s="264"/>
      <c r="T32" s="264"/>
      <c r="U32" s="267"/>
      <c r="V32" s="264"/>
      <c r="W32" s="267"/>
      <c r="X32" s="264"/>
      <c r="Y32" s="267"/>
      <c r="Z32" s="264"/>
      <c r="AA32" s="267"/>
      <c r="AB32" s="272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406" t="s">
        <v>334</v>
      </c>
      <c r="AQ32" s="406"/>
    </row>
    <row r="33" spans="1:44" ht="17.25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264"/>
      <c r="P33" s="267"/>
      <c r="Q33" s="264"/>
      <c r="R33" s="267"/>
      <c r="S33" s="264"/>
      <c r="T33" s="264"/>
      <c r="U33" s="267"/>
      <c r="V33" s="264"/>
      <c r="W33" s="267"/>
      <c r="X33" s="264"/>
      <c r="Y33" s="267"/>
      <c r="Z33" s="264"/>
      <c r="AA33" s="264"/>
      <c r="AB33" s="264"/>
      <c r="AC33" s="264"/>
      <c r="AD33" s="264"/>
      <c r="AE33" s="264"/>
      <c r="AF33" s="264"/>
      <c r="AG33" s="264"/>
      <c r="AH33" s="264"/>
      <c r="AI33" s="264"/>
      <c r="AJ33" s="264"/>
      <c r="AK33" s="264"/>
      <c r="AL33" s="264"/>
      <c r="AM33" s="264"/>
      <c r="AN33" s="264"/>
      <c r="AO33" s="264"/>
      <c r="AP33" s="268">
        <v>0</v>
      </c>
      <c r="AQ33" s="274">
        <v>0</v>
      </c>
    </row>
    <row r="34" spans="1:44" ht="18" thickBot="1" x14ac:dyDescent="0.35">
      <c r="A34" s="1"/>
      <c r="B34" s="276" t="s">
        <v>314</v>
      </c>
      <c r="C34" s="276"/>
      <c r="D34" s="277"/>
      <c r="E34" s="277"/>
      <c r="F34" s="277"/>
      <c r="G34" s="277"/>
      <c r="H34" s="277"/>
      <c r="I34" s="277"/>
      <c r="J34" s="277"/>
      <c r="K34" s="277"/>
      <c r="L34" s="277"/>
      <c r="M34" s="277"/>
      <c r="N34" s="277"/>
      <c r="O34" s="277"/>
      <c r="P34" s="271"/>
      <c r="Q34" s="264"/>
      <c r="R34" s="267"/>
      <c r="S34" s="264"/>
      <c r="T34" s="264"/>
      <c r="U34" s="267"/>
      <c r="V34" s="264"/>
      <c r="W34" s="267"/>
      <c r="X34" s="264"/>
      <c r="Y34" s="267"/>
      <c r="Z34" s="264"/>
      <c r="AA34" s="264"/>
      <c r="AB34" s="264"/>
      <c r="AC34" s="264"/>
      <c r="AD34" s="264"/>
      <c r="AE34" s="264"/>
      <c r="AF34" s="264"/>
      <c r="AG34" s="264"/>
      <c r="AH34" s="264"/>
      <c r="AI34" s="264"/>
      <c r="AJ34" s="264"/>
      <c r="AK34" s="264"/>
      <c r="AL34" s="264"/>
      <c r="AM34" s="264"/>
      <c r="AN34" s="264"/>
      <c r="AO34" s="264"/>
      <c r="AP34" s="268">
        <v>1</v>
      </c>
      <c r="AQ34" s="274">
        <v>1</v>
      </c>
    </row>
    <row r="35" spans="1:44" ht="17.25" x14ac:dyDescent="0.3">
      <c r="A35" s="1"/>
      <c r="B35" s="278" t="s">
        <v>764</v>
      </c>
      <c r="C35" s="283" t="s">
        <v>344</v>
      </c>
      <c r="D35" s="264"/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4"/>
      <c r="P35" s="264"/>
      <c r="Q35" s="264"/>
      <c r="R35" s="267"/>
      <c r="S35" s="264"/>
      <c r="T35" s="264"/>
      <c r="U35" s="267"/>
      <c r="V35" s="264"/>
      <c r="W35" s="267"/>
      <c r="X35" s="264"/>
      <c r="Y35" s="267"/>
      <c r="Z35" s="264"/>
      <c r="AA35" s="264"/>
      <c r="AB35" s="264"/>
      <c r="AC35" s="264"/>
      <c r="AD35" s="264"/>
      <c r="AE35" s="264"/>
      <c r="AF35" s="264"/>
      <c r="AG35" s="264"/>
      <c r="AH35" s="1"/>
      <c r="AI35" s="1"/>
      <c r="AJ35" s="1"/>
      <c r="AK35" s="1"/>
      <c r="AL35" s="1"/>
      <c r="AM35" s="1"/>
      <c r="AN35" s="1"/>
      <c r="AO35" s="1"/>
      <c r="AP35" s="1">
        <v>2</v>
      </c>
      <c r="AQ35" s="274">
        <v>2</v>
      </c>
    </row>
    <row r="36" spans="1:44" ht="17.25" x14ac:dyDescent="0.3">
      <c r="A36" s="1"/>
      <c r="B36" s="278" t="s">
        <v>738</v>
      </c>
      <c r="C36" s="283" t="s">
        <v>776</v>
      </c>
      <c r="D36" s="264"/>
      <c r="E36" s="264"/>
      <c r="F36" s="264"/>
      <c r="G36" s="264"/>
      <c r="H36" s="264"/>
      <c r="I36" s="264"/>
      <c r="J36" s="264"/>
      <c r="K36" s="264"/>
      <c r="L36" s="264"/>
      <c r="M36" s="264"/>
      <c r="N36" s="264"/>
      <c r="O36" s="264"/>
      <c r="P36" s="264"/>
      <c r="Q36" s="264"/>
      <c r="R36" s="267"/>
      <c r="S36" s="264"/>
      <c r="T36" s="264"/>
      <c r="U36" s="267"/>
      <c r="V36" s="264"/>
      <c r="W36" s="267"/>
      <c r="X36" s="264"/>
      <c r="Y36" s="267"/>
      <c r="Z36" s="264"/>
      <c r="AA36" s="264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>
        <v>3</v>
      </c>
      <c r="AQ36" s="274">
        <v>3</v>
      </c>
    </row>
    <row r="37" spans="1:44" ht="18" thickBot="1" x14ac:dyDescent="0.35">
      <c r="A37" s="1"/>
      <c r="B37" s="278" t="s">
        <v>737</v>
      </c>
      <c r="C37" s="283" t="s">
        <v>335</v>
      </c>
      <c r="D37" s="264"/>
      <c r="E37" s="264"/>
      <c r="F37" s="264"/>
      <c r="G37" s="264"/>
      <c r="H37" s="264"/>
      <c r="I37" s="264"/>
      <c r="J37" s="264"/>
      <c r="K37" s="264"/>
      <c r="L37" s="264"/>
      <c r="M37" s="264"/>
      <c r="N37" s="264"/>
      <c r="O37" s="264"/>
      <c r="P37" s="264"/>
      <c r="Q37" s="264"/>
      <c r="R37" s="267"/>
      <c r="S37" s="264"/>
      <c r="T37" s="264"/>
      <c r="U37" s="267"/>
      <c r="V37" s="264"/>
      <c r="W37" s="267"/>
      <c r="X37" s="264"/>
      <c r="Y37" s="267"/>
      <c r="Z37" s="272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406" t="s">
        <v>777</v>
      </c>
      <c r="AQ37" s="406"/>
    </row>
    <row r="38" spans="1:44" ht="18" thickBot="1" x14ac:dyDescent="0.35">
      <c r="A38" s="1"/>
      <c r="B38" s="276" t="s">
        <v>778</v>
      </c>
      <c r="C38" s="276"/>
      <c r="D38" s="276"/>
      <c r="E38" s="276"/>
      <c r="F38" s="276"/>
      <c r="G38" s="276"/>
      <c r="H38" s="276"/>
      <c r="I38" s="276"/>
      <c r="J38" s="276"/>
      <c r="K38" s="276"/>
      <c r="L38" s="276"/>
      <c r="M38" s="276"/>
      <c r="N38" s="276"/>
      <c r="O38" s="276"/>
      <c r="P38" s="276"/>
      <c r="Q38" s="276"/>
      <c r="R38" s="280"/>
      <c r="S38" s="264"/>
      <c r="T38" s="264"/>
      <c r="U38" s="267"/>
      <c r="V38" s="264"/>
      <c r="W38" s="267"/>
      <c r="X38" s="264"/>
      <c r="Y38" s="264"/>
      <c r="Z38" s="264"/>
      <c r="AA38" s="264"/>
      <c r="AB38" s="264"/>
      <c r="AC38" s="264"/>
      <c r="AD38" s="264"/>
      <c r="AE38" s="264"/>
      <c r="AF38" s="264"/>
      <c r="AG38" s="264"/>
      <c r="AH38" s="264"/>
      <c r="AI38" s="264"/>
      <c r="AJ38" s="264"/>
      <c r="AK38" s="264"/>
      <c r="AL38" s="264"/>
      <c r="AM38" s="264"/>
      <c r="AN38" s="264"/>
      <c r="AO38" s="264"/>
      <c r="AP38" s="268" t="s">
        <v>779</v>
      </c>
      <c r="AQ38" s="275" t="s">
        <v>741</v>
      </c>
    </row>
    <row r="39" spans="1:44" ht="17.25" x14ac:dyDescent="0.3">
      <c r="A39" s="1"/>
      <c r="B39" s="278">
        <v>2</v>
      </c>
      <c r="C39" s="284" t="s">
        <v>780</v>
      </c>
      <c r="D39" s="264"/>
      <c r="E39" s="264"/>
      <c r="F39" s="264"/>
      <c r="G39" s="264"/>
      <c r="H39" s="264"/>
      <c r="I39" s="264"/>
      <c r="J39" s="264"/>
      <c r="K39" s="264"/>
      <c r="L39" s="264"/>
      <c r="M39" s="264"/>
      <c r="N39" s="264"/>
      <c r="O39" s="264"/>
      <c r="P39" s="1"/>
      <c r="Q39" s="1"/>
      <c r="R39" s="1"/>
      <c r="S39" s="1"/>
      <c r="T39" s="264"/>
      <c r="U39" s="267"/>
      <c r="V39" s="264"/>
      <c r="W39" s="267"/>
      <c r="X39" s="264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264"/>
      <c r="AJ39" s="264"/>
      <c r="AK39" s="264"/>
      <c r="AL39" s="264"/>
      <c r="AM39" s="264"/>
      <c r="AN39" s="264"/>
      <c r="AO39" s="264"/>
      <c r="AP39" s="268" t="s">
        <v>781</v>
      </c>
      <c r="AQ39" s="275" t="s">
        <v>782</v>
      </c>
    </row>
    <row r="40" spans="1:44" ht="17.25" x14ac:dyDescent="0.3">
      <c r="A40" s="1"/>
      <c r="B40" s="278">
        <v>4</v>
      </c>
      <c r="C40" s="284" t="s">
        <v>783</v>
      </c>
      <c r="D40" s="264"/>
      <c r="E40" s="264"/>
      <c r="F40" s="264"/>
      <c r="G40" s="264"/>
      <c r="H40" s="264"/>
      <c r="I40" s="264"/>
      <c r="J40" s="264"/>
      <c r="K40" s="264"/>
      <c r="L40" s="264"/>
      <c r="M40" s="264"/>
      <c r="N40" s="264"/>
      <c r="O40" s="264"/>
      <c r="P40" s="1"/>
      <c r="Q40" s="1"/>
      <c r="R40" s="1"/>
      <c r="S40" s="1"/>
      <c r="T40" s="264"/>
      <c r="U40" s="267"/>
      <c r="V40" s="264"/>
      <c r="W40" s="267"/>
      <c r="X40" s="264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268" t="s">
        <v>452</v>
      </c>
      <c r="AQ40" s="275" t="s">
        <v>453</v>
      </c>
      <c r="AR40" s="285"/>
    </row>
    <row r="41" spans="1:44" ht="18" thickBot="1" x14ac:dyDescent="0.35">
      <c r="A41" s="1"/>
      <c r="B41" s="278">
        <v>5</v>
      </c>
      <c r="C41" s="284" t="s">
        <v>784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264"/>
      <c r="O41" s="264"/>
      <c r="P41" s="1"/>
      <c r="Q41" s="1"/>
      <c r="R41" s="1"/>
      <c r="S41" s="1"/>
      <c r="T41" s="264"/>
      <c r="U41" s="267"/>
      <c r="V41" s="264"/>
      <c r="W41" s="267"/>
      <c r="X41" s="272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406" t="s">
        <v>785</v>
      </c>
      <c r="AQ41" s="406"/>
      <c r="AR41" s="285"/>
    </row>
    <row r="42" spans="1:44" ht="17.25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64"/>
      <c r="U42" s="267"/>
      <c r="V42" s="264"/>
      <c r="W42" s="264"/>
      <c r="X42" s="264"/>
      <c r="Y42" s="264"/>
      <c r="Z42" s="264"/>
      <c r="AA42" s="264"/>
      <c r="AB42" s="264"/>
      <c r="AC42" s="264"/>
      <c r="AD42" s="264"/>
      <c r="AE42" s="264"/>
      <c r="AF42" s="264"/>
      <c r="AG42" s="264"/>
      <c r="AH42" s="264"/>
      <c r="AI42" s="264"/>
      <c r="AJ42" s="264"/>
      <c r="AK42" s="264"/>
      <c r="AL42" s="264"/>
      <c r="AM42" s="264"/>
      <c r="AN42" s="264"/>
      <c r="AO42" s="264"/>
      <c r="AP42" s="268" t="s">
        <v>786</v>
      </c>
      <c r="AQ42" s="274">
        <v>1</v>
      </c>
      <c r="AR42" s="285"/>
    </row>
    <row r="43" spans="1:44" ht="17.25" x14ac:dyDescent="0.3">
      <c r="A43" s="1"/>
      <c r="B43" s="278"/>
      <c r="C43" s="283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264"/>
      <c r="T43" s="264"/>
      <c r="U43" s="267"/>
      <c r="V43" s="264"/>
      <c r="W43" s="264"/>
      <c r="X43" s="264"/>
      <c r="Y43" s="264"/>
      <c r="Z43" s="264"/>
      <c r="AA43" s="264"/>
      <c r="AB43" s="264"/>
      <c r="AC43" s="264"/>
      <c r="AD43" s="1"/>
      <c r="AE43" s="1"/>
      <c r="AF43" s="264"/>
      <c r="AG43" s="264"/>
      <c r="AH43" s="264"/>
      <c r="AI43" s="264"/>
      <c r="AJ43" s="264"/>
      <c r="AK43" s="264"/>
      <c r="AL43" s="264"/>
      <c r="AM43" s="1"/>
      <c r="AN43" s="1"/>
      <c r="AO43" s="1"/>
      <c r="AP43" s="268" t="s">
        <v>787</v>
      </c>
      <c r="AQ43" s="274">
        <v>2</v>
      </c>
      <c r="AR43" s="285"/>
    </row>
    <row r="44" spans="1:44" ht="17.25" x14ac:dyDescent="0.3">
      <c r="A44" s="1"/>
      <c r="B44" s="278"/>
      <c r="C44" s="283"/>
      <c r="D44" s="264"/>
      <c r="E44" s="264"/>
      <c r="F44" s="264"/>
      <c r="G44" s="264"/>
      <c r="H44" s="264"/>
      <c r="I44" s="264"/>
      <c r="J44" s="264"/>
      <c r="K44" s="264"/>
      <c r="L44" s="264"/>
      <c r="M44" s="264"/>
      <c r="N44" s="264"/>
      <c r="O44" s="264"/>
      <c r="P44" s="264"/>
      <c r="Q44" s="264"/>
      <c r="R44" s="264"/>
      <c r="S44" s="264"/>
      <c r="T44" s="264"/>
      <c r="U44" s="267"/>
      <c r="V44" s="264"/>
      <c r="W44" s="264"/>
      <c r="X44" s="264"/>
      <c r="Y44" s="264"/>
      <c r="Z44" s="264"/>
      <c r="AA44" s="264"/>
      <c r="AB44" s="264"/>
      <c r="AC44" s="264"/>
      <c r="AD44" s="1"/>
      <c r="AE44" s="1"/>
      <c r="AF44" s="264"/>
      <c r="AG44" s="264"/>
      <c r="AH44" s="264"/>
      <c r="AI44" s="264"/>
      <c r="AJ44" s="264"/>
      <c r="AK44" s="264"/>
      <c r="AL44" s="264"/>
      <c r="AM44" s="264"/>
      <c r="AN44" s="264"/>
      <c r="AO44" s="264"/>
      <c r="AP44" s="268" t="s">
        <v>788</v>
      </c>
      <c r="AQ44" s="274">
        <v>3</v>
      </c>
      <c r="AR44" s="285"/>
    </row>
    <row r="45" spans="1:44" ht="17.25" x14ac:dyDescent="0.3">
      <c r="A45" s="1"/>
      <c r="B45" s="278"/>
      <c r="C45" s="283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264"/>
      <c r="Q45" s="264"/>
      <c r="R45" s="264"/>
      <c r="S45" s="264"/>
      <c r="T45" s="1"/>
      <c r="U45" s="267"/>
      <c r="V45" s="264"/>
      <c r="W45" s="264"/>
      <c r="X45" s="264"/>
      <c r="Y45" s="264"/>
      <c r="Z45" s="264"/>
      <c r="AA45" s="264"/>
      <c r="AB45" s="264"/>
      <c r="AC45" s="264"/>
      <c r="AD45" s="1"/>
      <c r="AE45" s="1"/>
      <c r="AF45" s="264"/>
      <c r="AG45" s="264"/>
      <c r="AH45" s="264"/>
      <c r="AI45" s="264"/>
      <c r="AJ45" s="264"/>
      <c r="AK45" s="264"/>
      <c r="AL45" s="264"/>
      <c r="AM45" s="1"/>
      <c r="AN45" s="1"/>
      <c r="AO45" s="1"/>
      <c r="AP45" s="268" t="s">
        <v>452</v>
      </c>
      <c r="AQ45" s="275" t="s">
        <v>453</v>
      </c>
      <c r="AR45" s="285"/>
    </row>
    <row r="46" spans="1:44" ht="17.25" x14ac:dyDescent="0.3">
      <c r="A46" s="1"/>
      <c r="B46" s="278"/>
      <c r="C46" s="283"/>
      <c r="D46" s="264"/>
      <c r="E46" s="264"/>
      <c r="F46" s="264"/>
      <c r="G46" s="264"/>
      <c r="H46" s="264"/>
      <c r="I46" s="264"/>
      <c r="J46" s="264"/>
      <c r="K46" s="264"/>
      <c r="L46" s="264"/>
      <c r="M46" s="264"/>
      <c r="N46" s="264"/>
      <c r="O46" s="264"/>
      <c r="P46" s="264"/>
      <c r="Q46" s="264"/>
      <c r="R46" s="264"/>
      <c r="S46" s="264"/>
      <c r="T46" s="1"/>
      <c r="U46" s="267"/>
      <c r="V46" s="264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285"/>
    </row>
    <row r="47" spans="1:44" ht="18" thickBot="1" x14ac:dyDescent="0.35">
      <c r="A47" s="1"/>
      <c r="B47" s="278"/>
      <c r="C47" s="283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264"/>
      <c r="T47" s="1"/>
      <c r="U47" s="267"/>
      <c r="V47" s="272"/>
      <c r="W47" s="279"/>
      <c r="X47" s="279"/>
      <c r="Y47" s="279"/>
      <c r="Z47" s="279"/>
      <c r="AA47" s="279"/>
      <c r="AB47" s="279"/>
      <c r="AC47" s="279"/>
      <c r="AD47" s="279"/>
      <c r="AE47" s="279"/>
      <c r="AF47" s="279"/>
      <c r="AG47" s="279"/>
      <c r="AH47" s="279"/>
      <c r="AI47" s="279"/>
      <c r="AJ47" s="279"/>
      <c r="AK47" s="279"/>
      <c r="AL47" s="279"/>
      <c r="AM47" s="277"/>
      <c r="AN47" s="277"/>
      <c r="AO47" s="277"/>
      <c r="AP47" s="406" t="s">
        <v>789</v>
      </c>
      <c r="AQ47" s="406"/>
    </row>
    <row r="48" spans="1:44" ht="17.25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264"/>
      <c r="T48" s="1"/>
      <c r="U48" s="1"/>
      <c r="V48" s="1"/>
      <c r="W48" s="1"/>
      <c r="X48" s="264"/>
      <c r="Y48" s="264"/>
      <c r="Z48" s="264"/>
      <c r="AA48" s="264"/>
      <c r="AB48" s="264"/>
      <c r="AC48" s="264"/>
      <c r="AD48" s="264"/>
      <c r="AE48" s="264"/>
      <c r="AF48" s="264"/>
      <c r="AG48" s="264"/>
      <c r="AH48" s="264"/>
      <c r="AI48" s="264"/>
      <c r="AJ48" s="264"/>
      <c r="AK48" s="264"/>
      <c r="AL48" s="264"/>
      <c r="AM48" s="264"/>
      <c r="AN48" s="264"/>
      <c r="AO48" s="1"/>
      <c r="AP48" s="268" t="s">
        <v>135</v>
      </c>
      <c r="AQ48" s="275" t="s">
        <v>737</v>
      </c>
    </row>
    <row r="49" spans="1:43" ht="17.25" x14ac:dyDescent="0.3">
      <c r="A49" s="1"/>
      <c r="B49" s="286"/>
      <c r="C49" s="286"/>
      <c r="D49" s="286"/>
      <c r="E49" s="286"/>
      <c r="F49" s="286"/>
      <c r="G49" s="286"/>
      <c r="H49" s="286"/>
      <c r="I49" s="286"/>
      <c r="J49" s="286"/>
      <c r="K49" s="286"/>
      <c r="L49" s="286"/>
      <c r="M49" s="286"/>
      <c r="N49" s="286"/>
      <c r="O49" s="286"/>
      <c r="P49" s="286"/>
      <c r="Q49" s="286"/>
      <c r="R49" s="286"/>
      <c r="S49" s="1"/>
      <c r="T49" s="1"/>
      <c r="U49" s="1"/>
      <c r="V49" s="1"/>
      <c r="W49" s="1"/>
      <c r="X49" s="264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268" t="s">
        <v>790</v>
      </c>
      <c r="AQ49" s="275" t="s">
        <v>791</v>
      </c>
    </row>
    <row r="50" spans="1:43" ht="17.25" x14ac:dyDescent="0.3">
      <c r="A50" s="1"/>
      <c r="B50" s="286"/>
      <c r="C50" s="286"/>
      <c r="D50" s="286"/>
      <c r="E50" s="286"/>
      <c r="F50" s="286"/>
      <c r="G50" s="286"/>
      <c r="H50" s="286"/>
      <c r="I50" s="286"/>
      <c r="J50" s="286"/>
      <c r="K50" s="286"/>
      <c r="L50" s="286"/>
      <c r="M50" s="286"/>
      <c r="N50" s="286"/>
      <c r="O50" s="286"/>
      <c r="P50" s="286"/>
      <c r="Q50" s="286"/>
      <c r="R50" s="286"/>
      <c r="S50" s="286"/>
      <c r="T50" s="1"/>
      <c r="U50" s="1"/>
      <c r="V50" s="1"/>
      <c r="W50" s="1"/>
      <c r="X50" s="264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268" t="s">
        <v>792</v>
      </c>
      <c r="AQ50" s="275" t="s">
        <v>764</v>
      </c>
    </row>
    <row r="51" spans="1:43" ht="17.25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286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268" t="s">
        <v>793</v>
      </c>
      <c r="AQ51" s="275" t="s">
        <v>769</v>
      </c>
    </row>
    <row r="52" spans="1:43" ht="17.25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268" t="s">
        <v>770</v>
      </c>
      <c r="AQ52" s="275" t="s">
        <v>739</v>
      </c>
    </row>
    <row r="53" spans="1:43" ht="17.25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268" t="s">
        <v>772</v>
      </c>
      <c r="AQ53" s="275" t="s">
        <v>761</v>
      </c>
    </row>
    <row r="54" spans="1:43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</row>
    <row r="55" spans="1:43" ht="17.25" x14ac:dyDescent="0.3">
      <c r="A55" s="1"/>
      <c r="B55" s="264"/>
      <c r="C55" s="264"/>
      <c r="D55" s="264"/>
      <c r="E55" s="264"/>
      <c r="F55" s="264"/>
      <c r="G55" s="264"/>
      <c r="H55" s="264"/>
      <c r="I55" s="264"/>
      <c r="J55" s="264"/>
      <c r="K55" s="264"/>
      <c r="L55" s="264"/>
      <c r="M55" s="264"/>
      <c r="N55" s="264"/>
      <c r="O55" s="264"/>
      <c r="P55" s="264"/>
      <c r="Q55" s="264"/>
      <c r="R55" s="264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264"/>
      <c r="AN55" s="264"/>
      <c r="AO55" s="264"/>
      <c r="AP55" s="1"/>
      <c r="AQ55" s="1"/>
    </row>
    <row r="56" spans="1:43" ht="17.25" x14ac:dyDescent="0.3">
      <c r="A56" s="1"/>
      <c r="B56" s="286"/>
      <c r="C56" s="28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64"/>
      <c r="O56" s="264"/>
      <c r="P56" s="264"/>
      <c r="Q56" s="264"/>
      <c r="R56" s="264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264"/>
      <c r="AN56" s="264"/>
      <c r="AO56" s="264"/>
      <c r="AP56" s="1"/>
      <c r="AQ56" s="1"/>
    </row>
    <row r="57" spans="1:43" ht="17.25" x14ac:dyDescent="0.3">
      <c r="A57" s="1"/>
      <c r="B57" s="264"/>
      <c r="C57" s="283"/>
      <c r="D57" s="264"/>
      <c r="E57" s="264"/>
      <c r="F57" s="264"/>
      <c r="G57" s="264"/>
      <c r="H57" s="264"/>
      <c r="I57" s="264"/>
      <c r="J57" s="264"/>
      <c r="K57" s="264"/>
      <c r="L57" s="264"/>
      <c r="M57" s="264"/>
      <c r="N57" s="264"/>
      <c r="O57" s="264"/>
      <c r="P57" s="264"/>
      <c r="Q57" s="264"/>
      <c r="R57" s="264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264"/>
      <c r="AN57" s="264"/>
      <c r="AO57" s="264"/>
      <c r="AP57" s="1"/>
      <c r="AQ57" s="1"/>
    </row>
    <row r="58" spans="1:43" ht="17.25" x14ac:dyDescent="0.3">
      <c r="A58" s="1"/>
      <c r="B58" s="264"/>
      <c r="C58" s="283"/>
      <c r="D58" s="264"/>
      <c r="E58" s="264"/>
      <c r="F58" s="264"/>
      <c r="G58" s="264"/>
      <c r="H58" s="264"/>
      <c r="I58" s="264"/>
      <c r="J58" s="264"/>
      <c r="K58" s="264"/>
      <c r="L58" s="264"/>
      <c r="M58" s="264"/>
      <c r="N58" s="264"/>
      <c r="O58" s="264"/>
      <c r="P58" s="264"/>
      <c r="Q58" s="264"/>
      <c r="R58" s="264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264"/>
      <c r="AN58" s="264"/>
      <c r="AO58" s="264"/>
      <c r="AP58" s="1"/>
      <c r="AQ58" s="1"/>
    </row>
    <row r="59" spans="1:43" ht="17.25" x14ac:dyDescent="0.3">
      <c r="A59" s="1"/>
      <c r="B59" s="264"/>
      <c r="C59" s="283"/>
      <c r="D59" s="264"/>
      <c r="E59" s="264"/>
      <c r="F59" s="264"/>
      <c r="G59" s="264"/>
      <c r="H59" s="264"/>
      <c r="I59" s="264"/>
      <c r="J59" s="264"/>
      <c r="K59" s="264"/>
      <c r="L59" s="264"/>
      <c r="M59" s="264"/>
      <c r="N59" s="264"/>
      <c r="O59" s="264"/>
      <c r="P59" s="264"/>
      <c r="Q59" s="264"/>
      <c r="R59" s="264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264"/>
      <c r="AN59" s="264"/>
      <c r="AO59" s="264"/>
      <c r="AP59" s="1"/>
      <c r="AQ59" s="1"/>
    </row>
    <row r="60" spans="1:43" ht="17.25" x14ac:dyDescent="0.3">
      <c r="A60" s="1"/>
      <c r="B60" s="264"/>
      <c r="C60" s="283"/>
      <c r="D60" s="264"/>
      <c r="E60" s="264"/>
      <c r="F60" s="264"/>
      <c r="G60" s="264"/>
      <c r="H60" s="264"/>
      <c r="I60" s="264"/>
      <c r="J60" s="264"/>
      <c r="K60" s="264"/>
      <c r="L60" s="264"/>
      <c r="M60" s="264"/>
      <c r="N60" s="264"/>
      <c r="O60" s="264"/>
      <c r="P60" s="264"/>
      <c r="Q60" s="264"/>
      <c r="R60" s="264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264"/>
      <c r="AN60" s="264"/>
      <c r="AO60" s="264"/>
      <c r="AP60" s="1"/>
      <c r="AQ60" s="1"/>
    </row>
    <row r="61" spans="1:43" ht="17.25" x14ac:dyDescent="0.3">
      <c r="A61" s="1"/>
      <c r="B61" s="264"/>
      <c r="C61" s="283"/>
      <c r="D61" s="264"/>
      <c r="E61" s="264"/>
      <c r="F61" s="264"/>
      <c r="G61" s="264"/>
      <c r="H61" s="264"/>
      <c r="I61" s="264"/>
      <c r="J61" s="264"/>
      <c r="K61" s="264"/>
      <c r="L61" s="264"/>
      <c r="M61" s="264"/>
      <c r="N61" s="264"/>
      <c r="O61" s="264"/>
      <c r="P61" s="264"/>
      <c r="Q61" s="264"/>
      <c r="R61" s="264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264"/>
      <c r="AN61" s="264"/>
      <c r="AO61" s="264"/>
      <c r="AP61" s="1"/>
      <c r="AQ61" s="1"/>
    </row>
    <row r="62" spans="1:43" ht="17.25" x14ac:dyDescent="0.3">
      <c r="A62" s="1"/>
      <c r="B62" s="264"/>
      <c r="C62" s="283"/>
      <c r="D62" s="264"/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264"/>
      <c r="Q62" s="264"/>
      <c r="R62" s="264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264"/>
      <c r="AN62" s="264"/>
      <c r="AO62" s="264"/>
      <c r="AP62" s="1"/>
      <c r="AQ62" s="1"/>
    </row>
    <row r="63" spans="1:43" ht="17.25" x14ac:dyDescent="0.3">
      <c r="A63" s="1"/>
      <c r="B63" s="1"/>
      <c r="C63" s="283"/>
      <c r="D63" s="264"/>
      <c r="E63" s="264"/>
      <c r="F63" s="264"/>
      <c r="G63" s="264"/>
      <c r="H63" s="264"/>
      <c r="I63" s="264"/>
      <c r="J63" s="264"/>
      <c r="K63" s="264"/>
      <c r="L63" s="264"/>
      <c r="M63" s="264"/>
      <c r="N63" s="264"/>
      <c r="O63" s="264"/>
      <c r="P63" s="264"/>
      <c r="Q63" s="264"/>
      <c r="R63" s="264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264"/>
      <c r="AN63" s="264"/>
      <c r="AO63" s="264"/>
      <c r="AP63" s="1"/>
      <c r="AQ63" s="1"/>
    </row>
    <row r="64" spans="1:43" ht="17.25" x14ac:dyDescent="0.3">
      <c r="A64" s="1"/>
      <c r="B64" s="264"/>
      <c r="C64" s="283"/>
      <c r="D64" s="1"/>
      <c r="E64" s="1"/>
      <c r="F64" s="1"/>
      <c r="G64" s="1"/>
      <c r="H64" s="1"/>
      <c r="I64" s="1"/>
      <c r="J64" s="1"/>
      <c r="K64" s="1"/>
      <c r="L64" s="1"/>
      <c r="M64" s="1"/>
      <c r="N64" s="264"/>
      <c r="O64" s="264"/>
      <c r="P64" s="264"/>
      <c r="Q64" s="264"/>
      <c r="R64" s="264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287"/>
      <c r="AQ64" s="1"/>
    </row>
    <row r="65" spans="15:42" ht="17.25" x14ac:dyDescent="0.3">
      <c r="O65" s="288"/>
      <c r="P65" s="289"/>
      <c r="Q65" s="289"/>
      <c r="R65" s="289"/>
      <c r="AP65" s="290"/>
    </row>
    <row r="66" spans="15:42" ht="17.25" x14ac:dyDescent="0.3">
      <c r="O66" s="289"/>
      <c r="P66" s="289"/>
      <c r="Q66" s="289"/>
      <c r="R66" s="289"/>
      <c r="AP66" s="290"/>
    </row>
    <row r="67" spans="15:42" ht="17.25" x14ac:dyDescent="0.3">
      <c r="O67" s="289"/>
      <c r="P67" s="289"/>
      <c r="Q67" s="289"/>
      <c r="R67" s="289"/>
      <c r="AP67" s="290"/>
    </row>
    <row r="68" spans="15:42" ht="17.25" x14ac:dyDescent="0.3">
      <c r="O68" s="289"/>
      <c r="P68" s="289"/>
      <c r="Q68" s="289"/>
      <c r="R68" s="289"/>
    </row>
    <row r="69" spans="15:42" ht="17.25" x14ac:dyDescent="0.3">
      <c r="O69" s="289"/>
      <c r="P69" s="289"/>
      <c r="Q69" s="289"/>
      <c r="R69" s="289"/>
    </row>
  </sheetData>
  <mergeCells count="34">
    <mergeCell ref="AL1:AO1"/>
    <mergeCell ref="D3:S3"/>
    <mergeCell ref="V3:AI3"/>
    <mergeCell ref="D4:E4"/>
    <mergeCell ref="F4:G4"/>
    <mergeCell ref="H4:I4"/>
    <mergeCell ref="J4:K4"/>
    <mergeCell ref="L4:M4"/>
    <mergeCell ref="U4:V4"/>
    <mergeCell ref="W4:X4"/>
    <mergeCell ref="Y4:Z4"/>
    <mergeCell ref="D1:S1"/>
    <mergeCell ref="U1:AJ1"/>
    <mergeCell ref="AP47:AQ47"/>
    <mergeCell ref="AN4:AO4"/>
    <mergeCell ref="B6:C6"/>
    <mergeCell ref="AP6:AQ6"/>
    <mergeCell ref="AP11:AQ11"/>
    <mergeCell ref="AP14:AQ14"/>
    <mergeCell ref="AP19:AQ19"/>
    <mergeCell ref="AA4:AB4"/>
    <mergeCell ref="AC4:AD4"/>
    <mergeCell ref="AE4:AF4"/>
    <mergeCell ref="AG4:AH4"/>
    <mergeCell ref="AI4:AJ4"/>
    <mergeCell ref="AL4:AM4"/>
    <mergeCell ref="N4:O4"/>
    <mergeCell ref="P4:Q4"/>
    <mergeCell ref="R4:S4"/>
    <mergeCell ref="AP23:AQ23"/>
    <mergeCell ref="AP27:AQ27"/>
    <mergeCell ref="AP32:AQ32"/>
    <mergeCell ref="AP37:AQ37"/>
    <mergeCell ref="AP41:AQ41"/>
  </mergeCells>
  <dataValidations count="18">
    <dataValidation type="list" allowBlank="1" showInputMessage="1" showErrorMessage="1" sqref="L4:M26" xr:uid="{5A86E95F-38CB-48E2-A780-D1FCD2332563}">
      <formula1>$B$27:$B$29</formula1>
    </dataValidation>
    <dataValidation type="list" allowBlank="1" showInputMessage="1" showErrorMessage="1" sqref="AN4:AO4" xr:uid="{5C019B19-B026-4265-9871-D3EF196922D6}">
      <formula1>$AQ$7:$AQ$9</formula1>
    </dataValidation>
    <dataValidation type="list" allowBlank="1" showInputMessage="1" showErrorMessage="1" sqref="AI4:AJ4" xr:uid="{8829194A-33B5-491C-8E7A-AE83137763E7}">
      <formula1>$AQ$15:$AQ$17</formula1>
    </dataValidation>
    <dataValidation type="list" allowBlank="1" showInputMessage="1" showErrorMessage="1" sqref="AG4:AH4" xr:uid="{5DDB4670-21B9-4ECF-B0A7-42BB24ECB46C}">
      <formula1>$AQ$20:$AQ$21</formula1>
    </dataValidation>
    <dataValidation type="list" allowBlank="1" showInputMessage="1" showErrorMessage="1" sqref="AE4:AF4" xr:uid="{C706E42A-0F39-41E8-B3E2-E5FB51D8E677}">
      <formula1>$AQ$24:$AQ$25</formula1>
    </dataValidation>
    <dataValidation type="list" allowBlank="1" showInputMessage="1" showErrorMessage="1" sqref="W4:X4" xr:uid="{F2A75A40-9773-43B3-AC3C-D50DA31F781F}">
      <formula1>$AQ$42:$AQ$45</formula1>
    </dataValidation>
    <dataValidation type="list" allowBlank="1" showInputMessage="1" showErrorMessage="1" sqref="AA4:AB4" xr:uid="{089D792C-EC40-4919-AF45-5BEF27E71EFC}">
      <formula1>$AQ$33:$AQ$36</formula1>
    </dataValidation>
    <dataValidation type="list" allowBlank="1" showInputMessage="1" showErrorMessage="1" sqref="U4:V4" xr:uid="{F96465AA-5AB6-4CC1-9067-D975DF45A0B4}">
      <formula1>$AQ$48:$AQ$53</formula1>
    </dataValidation>
    <dataValidation type="list" allowBlank="1" showInputMessage="1" showErrorMessage="1" sqref="R4:S4" xr:uid="{0BF2851E-D014-4440-9CE7-18471A0284C5}">
      <formula1>$B$39:$B$41</formula1>
    </dataValidation>
    <dataValidation type="list" allowBlank="1" showInputMessage="1" showErrorMessage="1" sqref="J4:K4" xr:uid="{13C4DA34-FB8B-42E2-9908-42A677830120}">
      <formula1>$B$22:$B$24</formula1>
    </dataValidation>
    <dataValidation type="list" allowBlank="1" showInputMessage="1" showErrorMessage="1" sqref="P4:Q34" xr:uid="{A5394CA5-B28C-4343-AA6D-969E39B0F616}">
      <formula1>$B$35:$B$37</formula1>
    </dataValidation>
    <dataValidation type="list" allowBlank="1" showInputMessage="1" showErrorMessage="1" sqref="AL4:AM4" xr:uid="{2DF7CECB-90AD-4C44-B595-209F4528670B}">
      <formula1>"1,2,3,4,5,6"</formula1>
    </dataValidation>
    <dataValidation type="list" allowBlank="1" showInputMessage="1" showErrorMessage="1" sqref="Y4:Z4" xr:uid="{979C9F31-4089-409C-AD03-5B52AB64B1EC}">
      <formula1>$AQ$38:$AQ$40</formula1>
    </dataValidation>
    <dataValidation type="list" allowBlank="1" showInputMessage="1" showErrorMessage="1" sqref="D4:E4" xr:uid="{354C49BF-299F-4422-818D-BEED795515EB}">
      <formula1>$B$7:$B$8</formula1>
    </dataValidation>
    <dataValidation type="list" allowBlank="1" showInputMessage="1" showErrorMessage="1" sqref="F4:G4" xr:uid="{4BC7200D-27BD-401A-837C-CD2BC9AED85E}">
      <formula1>$B$11:$B$13</formula1>
    </dataValidation>
    <dataValidation type="list" allowBlank="1" showInputMessage="1" showErrorMessage="1" sqref="H4:I4" xr:uid="{27224BF2-CDD8-4594-AE31-C31E350E9AC7}">
      <formula1>$B$16:$B$19</formula1>
    </dataValidation>
    <dataValidation type="list" allowBlank="1" showInputMessage="1" showErrorMessage="1" sqref="N4:O31" xr:uid="{154E1D04-AEDB-4F55-8385-67763653A15E}">
      <formula1>"65,135,270,300,600,900,1200"</formula1>
    </dataValidation>
    <dataValidation type="list" allowBlank="1" showInputMessage="1" showErrorMessage="1" sqref="AC4:AD4" xr:uid="{E901BD23-756F-47B5-85E3-13740FA566DC}">
      <formula1>$AQ$28:$AQ$30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55763-23C4-4359-82A8-09CE3C801FB3}">
  <sheetPr codeName="Sheet8"/>
  <dimension ref="A1:E30"/>
  <sheetViews>
    <sheetView workbookViewId="0">
      <selection activeCell="D22" sqref="D22:E30"/>
    </sheetView>
  </sheetViews>
  <sheetFormatPr baseColWidth="10" defaultColWidth="9.140625" defaultRowHeight="15" x14ac:dyDescent="0.25"/>
  <sheetData>
    <row r="1" spans="1:5" x14ac:dyDescent="0.25">
      <c r="A1" t="s">
        <v>794</v>
      </c>
    </row>
    <row r="2" spans="1:5" x14ac:dyDescent="0.25">
      <c r="A2" t="s">
        <v>795</v>
      </c>
      <c r="D2" t="s">
        <v>341</v>
      </c>
    </row>
    <row r="3" spans="1:5" x14ac:dyDescent="0.25">
      <c r="A3" t="s">
        <v>796</v>
      </c>
      <c r="B3" t="s">
        <v>797</v>
      </c>
      <c r="D3" t="s">
        <v>796</v>
      </c>
      <c r="E3" t="s">
        <v>797</v>
      </c>
    </row>
    <row r="4" spans="1:5" x14ac:dyDescent="0.25">
      <c r="A4">
        <v>-30</v>
      </c>
      <c r="B4">
        <v>56</v>
      </c>
    </row>
    <row r="5" spans="1:5" x14ac:dyDescent="0.25">
      <c r="A5">
        <v>34</v>
      </c>
      <c r="B5">
        <v>56</v>
      </c>
    </row>
    <row r="6" spans="1:5" x14ac:dyDescent="0.25">
      <c r="A6">
        <v>85</v>
      </c>
      <c r="B6">
        <v>99</v>
      </c>
    </row>
    <row r="7" spans="1:5" x14ac:dyDescent="0.25">
      <c r="A7">
        <v>85</v>
      </c>
      <c r="B7">
        <v>143</v>
      </c>
    </row>
    <row r="8" spans="1:5" x14ac:dyDescent="0.25">
      <c r="A8">
        <v>-8</v>
      </c>
      <c r="B8">
        <v>143</v>
      </c>
    </row>
    <row r="9" spans="1:5" x14ac:dyDescent="0.25">
      <c r="A9">
        <v>-30</v>
      </c>
      <c r="B9">
        <v>129</v>
      </c>
    </row>
    <row r="10" spans="1:5" x14ac:dyDescent="0.25">
      <c r="A10">
        <v>-30</v>
      </c>
      <c r="B10">
        <v>56</v>
      </c>
    </row>
    <row r="12" spans="1:5" x14ac:dyDescent="0.25">
      <c r="A12" t="s">
        <v>798</v>
      </c>
      <c r="D12" t="s">
        <v>799</v>
      </c>
    </row>
    <row r="13" spans="1:5" x14ac:dyDescent="0.25">
      <c r="A13" t="s">
        <v>800</v>
      </c>
      <c r="B13" t="s">
        <v>537</v>
      </c>
      <c r="D13" t="s">
        <v>537</v>
      </c>
      <c r="E13" t="s">
        <v>800</v>
      </c>
    </row>
    <row r="14" spans="1:5" x14ac:dyDescent="0.25">
      <c r="A14">
        <v>32</v>
      </c>
      <c r="B14">
        <f>B4-20</f>
        <v>36</v>
      </c>
      <c r="D14">
        <f>A4+15</f>
        <v>-15</v>
      </c>
      <c r="E14">
        <f>B4+20</f>
        <v>76</v>
      </c>
    </row>
    <row r="15" spans="1:5" x14ac:dyDescent="0.25">
      <c r="A15">
        <f t="shared" ref="A15:A17" si="0">A5+15</f>
        <v>49</v>
      </c>
      <c r="B15">
        <f t="shared" ref="B15:B18" si="1">B5-20</f>
        <v>36</v>
      </c>
      <c r="D15">
        <f t="shared" ref="D15:D20" si="2">A5+15</f>
        <v>49</v>
      </c>
      <c r="E15">
        <f t="shared" ref="E15:E20" si="3">B5+20</f>
        <v>76</v>
      </c>
    </row>
    <row r="16" spans="1:5" x14ac:dyDescent="0.25">
      <c r="A16">
        <f t="shared" si="0"/>
        <v>100</v>
      </c>
      <c r="B16">
        <f t="shared" si="1"/>
        <v>79</v>
      </c>
      <c r="D16">
        <f t="shared" si="2"/>
        <v>100</v>
      </c>
      <c r="E16">
        <f t="shared" si="3"/>
        <v>119</v>
      </c>
    </row>
    <row r="17" spans="1:5" x14ac:dyDescent="0.25">
      <c r="A17">
        <f t="shared" si="0"/>
        <v>100</v>
      </c>
      <c r="B17">
        <f t="shared" si="1"/>
        <v>123</v>
      </c>
      <c r="D17">
        <f t="shared" si="2"/>
        <v>100</v>
      </c>
      <c r="E17">
        <f t="shared" si="3"/>
        <v>163</v>
      </c>
    </row>
    <row r="18" spans="1:5" x14ac:dyDescent="0.25">
      <c r="A18">
        <v>32</v>
      </c>
      <c r="B18">
        <f t="shared" si="1"/>
        <v>123</v>
      </c>
      <c r="D18">
        <f t="shared" si="2"/>
        <v>7</v>
      </c>
      <c r="E18">
        <f t="shared" si="3"/>
        <v>163</v>
      </c>
    </row>
    <row r="19" spans="1:5" x14ac:dyDescent="0.25">
      <c r="A19">
        <v>32</v>
      </c>
      <c r="B19">
        <v>36</v>
      </c>
      <c r="D19">
        <f t="shared" si="2"/>
        <v>-15</v>
      </c>
      <c r="E19">
        <f t="shared" si="3"/>
        <v>149</v>
      </c>
    </row>
    <row r="20" spans="1:5" x14ac:dyDescent="0.25">
      <c r="D20">
        <f t="shared" si="2"/>
        <v>-15</v>
      </c>
      <c r="E20">
        <f t="shared" si="3"/>
        <v>76</v>
      </c>
    </row>
    <row r="22" spans="1:5" x14ac:dyDescent="0.25">
      <c r="A22" t="s">
        <v>801</v>
      </c>
      <c r="D22" t="s">
        <v>802</v>
      </c>
    </row>
    <row r="23" spans="1:5" x14ac:dyDescent="0.25">
      <c r="A23" t="s">
        <v>803</v>
      </c>
      <c r="B23" t="s">
        <v>537</v>
      </c>
      <c r="D23" t="s">
        <v>537</v>
      </c>
      <c r="E23" t="s">
        <v>803</v>
      </c>
    </row>
    <row r="24" spans="1:5" x14ac:dyDescent="0.25">
      <c r="A24">
        <f>A4+10</f>
        <v>-20</v>
      </c>
      <c r="B24">
        <f>B4-20</f>
        <v>36</v>
      </c>
      <c r="D24">
        <f>A4+20</f>
        <v>-10</v>
      </c>
      <c r="E24">
        <f>B4-6</f>
        <v>50</v>
      </c>
    </row>
    <row r="25" spans="1:5" x14ac:dyDescent="0.25">
      <c r="A25">
        <f t="shared" ref="A25:A30" si="4">A5+10</f>
        <v>44</v>
      </c>
      <c r="B25">
        <f t="shared" ref="B25:B30" si="5">B5-20</f>
        <v>36</v>
      </c>
      <c r="D25">
        <f t="shared" ref="D25:D30" si="6">A5+20</f>
        <v>54</v>
      </c>
      <c r="E25">
        <f t="shared" ref="E25:E30" si="7">B5-6</f>
        <v>50</v>
      </c>
    </row>
    <row r="26" spans="1:5" x14ac:dyDescent="0.25">
      <c r="A26">
        <f t="shared" si="4"/>
        <v>95</v>
      </c>
      <c r="B26">
        <f t="shared" si="5"/>
        <v>79</v>
      </c>
      <c r="D26">
        <f t="shared" si="6"/>
        <v>105</v>
      </c>
      <c r="E26">
        <f t="shared" si="7"/>
        <v>93</v>
      </c>
    </row>
    <row r="27" spans="1:5" x14ac:dyDescent="0.25">
      <c r="A27">
        <f t="shared" si="4"/>
        <v>95</v>
      </c>
      <c r="B27">
        <f t="shared" si="5"/>
        <v>123</v>
      </c>
      <c r="D27">
        <f t="shared" si="6"/>
        <v>105</v>
      </c>
      <c r="E27">
        <f t="shared" si="7"/>
        <v>137</v>
      </c>
    </row>
    <row r="28" spans="1:5" x14ac:dyDescent="0.25">
      <c r="A28">
        <f t="shared" si="4"/>
        <v>2</v>
      </c>
      <c r="B28">
        <f t="shared" si="5"/>
        <v>123</v>
      </c>
      <c r="D28">
        <f t="shared" si="6"/>
        <v>12</v>
      </c>
      <c r="E28">
        <f t="shared" si="7"/>
        <v>137</v>
      </c>
    </row>
    <row r="29" spans="1:5" x14ac:dyDescent="0.25">
      <c r="A29">
        <f t="shared" si="4"/>
        <v>-20</v>
      </c>
      <c r="B29">
        <f t="shared" si="5"/>
        <v>109</v>
      </c>
      <c r="D29">
        <f t="shared" si="6"/>
        <v>-10</v>
      </c>
      <c r="E29">
        <f t="shared" si="7"/>
        <v>123</v>
      </c>
    </row>
    <row r="30" spans="1:5" x14ac:dyDescent="0.25">
      <c r="A30">
        <f t="shared" si="4"/>
        <v>-20</v>
      </c>
      <c r="B30">
        <f t="shared" si="5"/>
        <v>36</v>
      </c>
      <c r="D30">
        <f t="shared" si="6"/>
        <v>-10</v>
      </c>
      <c r="E30">
        <f t="shared" si="7"/>
        <v>50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EB2C-5D0B-4EDA-96A5-95838EF870C7}">
  <sheetPr codeName="Sheet4"/>
  <dimension ref="A1:BJ242"/>
  <sheetViews>
    <sheetView topLeftCell="A19" zoomScaleNormal="100" workbookViewId="0">
      <selection activeCell="AI69" sqref="AI69"/>
    </sheetView>
  </sheetViews>
  <sheetFormatPr baseColWidth="10" defaultColWidth="9.140625" defaultRowHeight="15" x14ac:dyDescent="0.25"/>
  <cols>
    <col min="1" max="1" width="16.140625" style="2" customWidth="1"/>
    <col min="2" max="2" width="0.85546875" style="2" customWidth="1"/>
    <col min="3" max="3" width="6.42578125" style="2" customWidth="1"/>
    <col min="4" max="4" width="0.85546875" style="2" customWidth="1"/>
    <col min="5" max="5" width="5.5703125" style="2" customWidth="1"/>
    <col min="6" max="6" width="0.85546875" style="2" customWidth="1"/>
    <col min="7" max="7" width="10.140625" style="2" customWidth="1"/>
    <col min="8" max="8" width="0.85546875" style="2" customWidth="1"/>
    <col min="9" max="9" width="5.5703125" style="2" customWidth="1"/>
    <col min="10" max="10" width="0.85546875" style="2" customWidth="1"/>
    <col min="11" max="11" width="10.140625" style="2" customWidth="1"/>
    <col min="12" max="12" width="0.85546875" style="2" customWidth="1"/>
    <col min="13" max="13" width="5.5703125" style="2" customWidth="1"/>
    <col min="14" max="14" width="0.85546875" style="2" customWidth="1"/>
    <col min="15" max="15" width="10.140625" style="2" customWidth="1"/>
    <col min="16" max="16" width="0.85546875" style="2" customWidth="1"/>
    <col min="17" max="17" width="5.5703125" style="2" customWidth="1"/>
    <col min="18" max="18" width="0.85546875" style="2" customWidth="1"/>
    <col min="19" max="19" width="10.140625" style="2" customWidth="1"/>
    <col min="20" max="20" width="0.85546875" style="2" customWidth="1"/>
    <col min="21" max="21" width="5.5703125" style="2" customWidth="1"/>
    <col min="22" max="22" width="0.85546875" style="2" customWidth="1"/>
    <col min="23" max="23" width="10.140625" style="2" customWidth="1"/>
    <col min="24" max="24" width="0.85546875" style="2" customWidth="1"/>
    <col min="25" max="25" width="5.5703125" style="2" customWidth="1"/>
    <col min="26" max="26" width="0.85546875" style="2" customWidth="1"/>
    <col min="27" max="27" width="10.140625" style="2" customWidth="1"/>
    <col min="28" max="28" width="0.85546875" style="2" customWidth="1"/>
    <col min="29" max="29" width="7.140625" style="2" customWidth="1"/>
    <col min="30" max="30" width="0.85546875" style="2" customWidth="1"/>
    <col min="31" max="31" width="7.140625" style="2" customWidth="1"/>
    <col min="32" max="32" width="0.85546875" style="2" customWidth="1"/>
    <col min="33" max="33" width="14.140625" style="2" bestFit="1" customWidth="1"/>
    <col min="34" max="34" width="0.85546875" style="2" customWidth="1"/>
    <col min="35" max="35" width="6.42578125" style="2" customWidth="1"/>
    <col min="36" max="36" width="0.85546875" style="2" customWidth="1"/>
    <col min="37" max="37" width="7.42578125" style="2" bestFit="1" customWidth="1"/>
    <col min="38" max="38" width="0.85546875" style="2" customWidth="1"/>
    <col min="39" max="39" width="11.42578125" style="2" customWidth="1"/>
    <col min="40" max="40" width="0.85546875" style="2" customWidth="1"/>
    <col min="41" max="41" width="6.42578125" style="2" customWidth="1"/>
    <col min="42" max="42" width="0.85546875" style="2" customWidth="1"/>
    <col min="43" max="43" width="6.42578125" style="2" customWidth="1"/>
    <col min="44" max="44" width="0.85546875" style="2" customWidth="1"/>
    <col min="45" max="45" width="6.42578125" style="2" customWidth="1"/>
    <col min="46" max="46" width="0.85546875" style="2" customWidth="1"/>
    <col min="47" max="47" width="6.42578125" style="2" customWidth="1"/>
    <col min="48" max="48" width="0.85546875" style="2" customWidth="1"/>
    <col min="49" max="49" width="6.42578125" style="2" customWidth="1"/>
    <col min="50" max="50" width="0.85546875" style="2" customWidth="1"/>
    <col min="51" max="51" width="6.42578125" style="2" customWidth="1"/>
    <col min="52" max="52" width="0.85546875" style="2" customWidth="1"/>
    <col min="53" max="53" width="6.42578125" style="2" customWidth="1"/>
    <col min="54" max="54" width="0.85546875" style="2" customWidth="1"/>
    <col min="55" max="55" width="6.42578125" style="2" customWidth="1"/>
    <col min="56" max="56" width="0.85546875" style="2" customWidth="1"/>
    <col min="57" max="57" width="6.42578125" style="2" customWidth="1"/>
    <col min="58" max="58" width="0.85546875" style="2" customWidth="1"/>
    <col min="59" max="59" width="6.42578125" style="2" customWidth="1"/>
    <col min="60" max="60" width="0.85546875" style="2" customWidth="1"/>
    <col min="61" max="61" width="6.42578125" style="2" customWidth="1"/>
    <col min="62" max="62" width="0.85546875" style="2" customWidth="1"/>
    <col min="63" max="16384" width="9.140625" style="2"/>
  </cols>
  <sheetData>
    <row r="1" spans="1:62" ht="49.5" customHeight="1" x14ac:dyDescent="0.25">
      <c r="A1" s="1"/>
      <c r="B1" s="1"/>
      <c r="C1" s="517" t="s">
        <v>804</v>
      </c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8"/>
      <c r="O1" s="518"/>
      <c r="P1" s="518"/>
      <c r="Q1" s="518"/>
      <c r="R1" s="518"/>
      <c r="S1" s="518"/>
      <c r="T1" s="518"/>
      <c r="U1" s="518"/>
      <c r="V1" s="518"/>
      <c r="W1" s="518"/>
      <c r="X1" s="518"/>
      <c r="Y1" s="518"/>
      <c r="Z1" s="518"/>
      <c r="AA1" s="518"/>
      <c r="AB1" s="518"/>
      <c r="AC1" s="518"/>
      <c r="AD1" s="518"/>
      <c r="AE1" s="518"/>
      <c r="AF1" s="518"/>
    </row>
    <row r="2" spans="1:62" ht="24" x14ac:dyDescent="0.25">
      <c r="A2" s="414" t="s">
        <v>805</v>
      </c>
      <c r="B2" s="414"/>
      <c r="C2" s="414"/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4"/>
      <c r="W2" s="414"/>
      <c r="X2" s="414"/>
      <c r="Y2" s="414"/>
      <c r="Z2" s="414"/>
      <c r="AA2" s="414"/>
      <c r="AB2" s="414"/>
      <c r="AC2" s="414"/>
      <c r="AD2" s="414"/>
      <c r="AE2" s="414"/>
      <c r="AF2" s="414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</row>
    <row r="3" spans="1:62" ht="3" customHeight="1" x14ac:dyDescent="0.25">
      <c r="A3" s="415"/>
      <c r="B3" s="415"/>
      <c r="C3" s="415"/>
      <c r="D3" s="415"/>
      <c r="E3" s="415"/>
      <c r="F3" s="415"/>
      <c r="G3" s="415"/>
      <c r="H3" s="415"/>
      <c r="I3" s="415"/>
      <c r="J3" s="415"/>
      <c r="K3" s="415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5"/>
      <c r="X3" s="415"/>
      <c r="Y3" s="415"/>
      <c r="Z3" s="415"/>
      <c r="AA3" s="415"/>
      <c r="AB3" s="415"/>
      <c r="AC3" s="415"/>
      <c r="AD3" s="415"/>
      <c r="AE3" s="415"/>
      <c r="AF3" s="415"/>
    </row>
    <row r="4" spans="1:62" ht="18.75" x14ac:dyDescent="0.25">
      <c r="A4" s="416" t="s">
        <v>1</v>
      </c>
      <c r="B4" s="416"/>
      <c r="C4" s="416"/>
      <c r="D4" s="416"/>
      <c r="E4" s="416"/>
      <c r="F4" s="416"/>
      <c r="G4" s="416"/>
      <c r="H4" s="416"/>
      <c r="I4" s="416"/>
      <c r="J4" s="416"/>
      <c r="K4" s="416"/>
      <c r="L4" s="416"/>
      <c r="M4" s="416"/>
      <c r="N4" s="416"/>
      <c r="O4" s="416"/>
      <c r="P4" s="416"/>
      <c r="Q4" s="416"/>
      <c r="R4" s="416"/>
      <c r="S4" s="416"/>
      <c r="T4" s="416"/>
      <c r="U4" s="416"/>
      <c r="V4" s="416"/>
      <c r="W4" s="416"/>
      <c r="X4" s="416"/>
      <c r="Y4" s="416"/>
      <c r="Z4" s="416"/>
      <c r="AA4" s="416"/>
      <c r="AB4" s="416"/>
      <c r="AC4" s="416"/>
      <c r="AD4" s="416"/>
      <c r="AE4" s="416"/>
      <c r="AF4" s="416"/>
    </row>
    <row r="5" spans="1:62" ht="3" customHeigh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62" x14ac:dyDescent="0.25">
      <c r="A6" s="417" t="s">
        <v>806</v>
      </c>
      <c r="B6" s="418"/>
      <c r="C6" s="419"/>
      <c r="D6" s="420"/>
      <c r="E6" s="420"/>
      <c r="F6" s="420"/>
      <c r="G6" s="420"/>
      <c r="H6" s="420"/>
      <c r="I6" s="420"/>
      <c r="J6" s="420"/>
      <c r="K6" s="421"/>
      <c r="L6" s="5"/>
      <c r="M6" s="417" t="s">
        <v>807</v>
      </c>
      <c r="N6" s="417"/>
      <c r="O6" s="418"/>
      <c r="P6" s="422"/>
      <c r="Q6" s="423"/>
      <c r="R6" s="423"/>
      <c r="S6" s="424"/>
      <c r="T6" s="425" t="s">
        <v>808</v>
      </c>
      <c r="U6" s="417"/>
      <c r="V6" s="417"/>
      <c r="W6" s="417"/>
      <c r="X6" s="422" t="s">
        <v>809</v>
      </c>
      <c r="Y6" s="424"/>
      <c r="Z6" s="417" t="s">
        <v>810</v>
      </c>
      <c r="AA6" s="418"/>
      <c r="AB6" s="426">
        <v>44755</v>
      </c>
      <c r="AC6" s="423"/>
      <c r="AD6" s="423"/>
      <c r="AE6" s="424"/>
      <c r="AF6" s="1"/>
      <c r="AK6" s="419"/>
      <c r="AL6" s="420"/>
      <c r="AM6" s="420"/>
      <c r="AN6" s="420"/>
      <c r="AO6" s="421"/>
      <c r="AR6" s="1"/>
    </row>
    <row r="7" spans="1:62" ht="3" customHeight="1" x14ac:dyDescent="0.25">
      <c r="A7" s="7"/>
      <c r="B7" s="7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62" x14ac:dyDescent="0.25">
      <c r="A8" s="417" t="s">
        <v>811</v>
      </c>
      <c r="B8" s="417"/>
      <c r="C8" s="427" t="s">
        <v>812</v>
      </c>
      <c r="D8" s="428"/>
      <c r="E8" s="8" t="s">
        <v>813</v>
      </c>
      <c r="F8" s="5"/>
      <c r="G8" s="429">
        <v>1</v>
      </c>
      <c r="H8" s="430"/>
      <c r="I8" s="425" t="s">
        <v>814</v>
      </c>
      <c r="J8" s="417"/>
      <c r="K8" s="417"/>
      <c r="L8" s="418"/>
      <c r="M8" s="429" t="s">
        <v>815</v>
      </c>
      <c r="N8" s="430"/>
      <c r="O8" s="431" t="s">
        <v>814</v>
      </c>
      <c r="P8" s="432"/>
      <c r="Q8" s="429" t="s">
        <v>816</v>
      </c>
      <c r="R8" s="430"/>
      <c r="S8" s="425" t="s">
        <v>817</v>
      </c>
      <c r="T8" s="417"/>
      <c r="U8" s="417"/>
      <c r="V8" s="418"/>
      <c r="W8" s="429" t="s">
        <v>818</v>
      </c>
      <c r="X8" s="439"/>
      <c r="Y8" s="430"/>
      <c r="Z8" s="425" t="s">
        <v>819</v>
      </c>
      <c r="AA8" s="417"/>
      <c r="AB8" s="418"/>
      <c r="AC8" s="440" t="s">
        <v>167</v>
      </c>
      <c r="AD8" s="441"/>
      <c r="AE8" s="442"/>
      <c r="AF8" s="1"/>
    </row>
    <row r="9" spans="1:62" ht="3" customHeight="1" x14ac:dyDescent="0.25">
      <c r="A9" s="417" t="s">
        <v>820</v>
      </c>
      <c r="B9" s="417"/>
      <c r="C9" s="10"/>
      <c r="D9" s="10"/>
      <c r="E9" s="10"/>
      <c r="F9" s="11"/>
      <c r="G9" s="4"/>
      <c r="H9" s="4"/>
      <c r="I9" s="4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4"/>
      <c r="V9" s="4"/>
      <c r="W9" s="4"/>
      <c r="X9" s="12"/>
      <c r="Y9" s="12"/>
      <c r="Z9" s="12"/>
      <c r="AA9" s="13"/>
      <c r="AB9" s="13"/>
      <c r="AC9" s="13"/>
      <c r="AD9" s="13"/>
      <c r="AE9" s="14"/>
      <c r="AF9" s="11"/>
    </row>
    <row r="10" spans="1:62" ht="15" customHeight="1" x14ac:dyDescent="0.25">
      <c r="A10" s="417"/>
      <c r="B10" s="417"/>
      <c r="C10" s="15">
        <v>4.0000000000000001E-3</v>
      </c>
      <c r="D10" s="5"/>
      <c r="E10" s="417" t="str">
        <f>IF(AC8="Canada", "Province ","State ")</f>
        <v xml:space="preserve">State </v>
      </c>
      <c r="F10" s="418"/>
      <c r="G10" s="443" t="s">
        <v>821</v>
      </c>
      <c r="H10" s="444"/>
      <c r="I10" s="444"/>
      <c r="J10" s="444"/>
      <c r="K10" s="445"/>
      <c r="L10" s="16"/>
      <c r="M10" s="417" t="s">
        <v>822</v>
      </c>
      <c r="N10" s="417"/>
      <c r="O10" s="418"/>
      <c r="P10" s="443" t="s">
        <v>823</v>
      </c>
      <c r="Q10" s="444"/>
      <c r="R10" s="444"/>
      <c r="S10" s="444"/>
      <c r="T10" s="444"/>
      <c r="U10" s="444"/>
      <c r="V10" s="444"/>
      <c r="W10" s="445"/>
      <c r="X10" s="1"/>
      <c r="Y10" s="446" t="s">
        <v>824</v>
      </c>
      <c r="Z10" s="446"/>
      <c r="AA10" s="17">
        <v>94.8</v>
      </c>
      <c r="AB10" s="417" t="s">
        <v>825</v>
      </c>
      <c r="AC10" s="417"/>
      <c r="AD10" s="433">
        <v>75.7</v>
      </c>
      <c r="AE10" s="433"/>
      <c r="AF10" s="1"/>
    </row>
    <row r="11" spans="1:62" ht="2.65" customHeigh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18"/>
    </row>
    <row r="12" spans="1:62" ht="15" customHeight="1" x14ac:dyDescent="0.25">
      <c r="A12" s="4" t="s">
        <v>826</v>
      </c>
      <c r="B12" s="5"/>
      <c r="C12" s="434">
        <v>436</v>
      </c>
      <c r="D12" s="434"/>
      <c r="E12" s="434"/>
      <c r="F12" s="5"/>
      <c r="G12" s="417" t="s">
        <v>827</v>
      </c>
      <c r="H12" s="417"/>
      <c r="I12" s="417"/>
      <c r="J12" s="5"/>
      <c r="K12" s="19">
        <v>104</v>
      </c>
      <c r="L12" s="5"/>
      <c r="M12" s="417" t="s">
        <v>828</v>
      </c>
      <c r="N12" s="418"/>
      <c r="O12" s="435" t="s">
        <v>783</v>
      </c>
      <c r="P12" s="436"/>
      <c r="Q12" s="437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18"/>
    </row>
    <row r="13" spans="1:62" ht="3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62" ht="16.5" customHeight="1" x14ac:dyDescent="0.25">
      <c r="A14" s="438" t="s">
        <v>829</v>
      </c>
      <c r="B14" s="438"/>
      <c r="C14" s="438"/>
      <c r="D14" s="438"/>
      <c r="E14" s="438"/>
      <c r="F14" s="438"/>
      <c r="G14" s="438"/>
      <c r="H14" s="438"/>
      <c r="I14" s="438"/>
      <c r="J14" s="438"/>
      <c r="K14" s="438"/>
      <c r="L14" s="438"/>
      <c r="M14" s="438"/>
      <c r="N14" s="438"/>
      <c r="O14" s="438"/>
      <c r="P14" s="438"/>
      <c r="Q14" s="438"/>
      <c r="R14" s="438"/>
      <c r="S14" s="438"/>
      <c r="T14" s="438"/>
      <c r="U14" s="438"/>
      <c r="V14" s="438"/>
      <c r="W14" s="438"/>
      <c r="X14" s="438"/>
      <c r="Y14" s="438"/>
      <c r="Z14" s="438"/>
      <c r="AA14" s="438"/>
      <c r="AB14" s="438"/>
      <c r="AC14" s="438"/>
      <c r="AD14" s="438"/>
      <c r="AE14" s="438"/>
      <c r="AF14" s="438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</row>
    <row r="15" spans="1:62" ht="3" customHeight="1" thickBot="1" x14ac:dyDescent="0.3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2"/>
      <c r="AD15" s="22"/>
      <c r="AE15" s="22"/>
      <c r="AF15" s="22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4"/>
    </row>
    <row r="16" spans="1:62" x14ac:dyDescent="0.25">
      <c r="A16" s="417" t="s">
        <v>830</v>
      </c>
      <c r="B16" s="418"/>
      <c r="C16" s="440" t="s">
        <v>831</v>
      </c>
      <c r="D16" s="441"/>
      <c r="E16" s="442"/>
      <c r="F16" s="5"/>
      <c r="G16" s="431" t="s">
        <v>832</v>
      </c>
      <c r="H16" s="431"/>
      <c r="I16" s="5"/>
      <c r="J16" s="25"/>
      <c r="K16" s="443" t="s">
        <v>833</v>
      </c>
      <c r="L16" s="444"/>
      <c r="M16" s="445"/>
      <c r="N16" s="16"/>
      <c r="O16" s="417" t="s">
        <v>834</v>
      </c>
      <c r="P16" s="417"/>
      <c r="Q16" s="417"/>
      <c r="R16" s="417"/>
      <c r="S16" s="448" t="s">
        <v>135</v>
      </c>
      <c r="T16" s="449"/>
      <c r="U16" s="450"/>
      <c r="V16" s="451" t="str">
        <f>IF(C16="Air_Cooled","Cond. Coating ",IF(C16="Water_Cooled","Corrosif ",""))</f>
        <v xml:space="preserve">Cond. Coating </v>
      </c>
      <c r="W16" s="417"/>
      <c r="X16" s="417"/>
      <c r="Y16" s="417"/>
      <c r="Z16" s="418"/>
      <c r="AA16" s="26" t="s">
        <v>164</v>
      </c>
      <c r="AB16" s="1"/>
      <c r="AC16" s="1"/>
      <c r="AD16" s="1"/>
      <c r="AE16" s="1"/>
      <c r="AF16" s="1"/>
      <c r="AG16" s="27" t="s">
        <v>835</v>
      </c>
      <c r="AH16" s="452"/>
      <c r="AI16" s="28">
        <v>1.35</v>
      </c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4"/>
    </row>
    <row r="17" spans="1:62" ht="3" customHeight="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2"/>
      <c r="AD17" s="22"/>
      <c r="AE17" s="22"/>
      <c r="AF17" s="22"/>
      <c r="AG17" s="29"/>
      <c r="AH17" s="453"/>
      <c r="AI17" s="31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4"/>
    </row>
    <row r="18" spans="1:62" ht="15.75" thickBot="1" x14ac:dyDescent="0.3">
      <c r="A18" s="417" t="s">
        <v>313</v>
      </c>
      <c r="B18" s="417"/>
      <c r="C18" s="427">
        <v>16</v>
      </c>
      <c r="D18" s="428"/>
      <c r="E18" s="431" t="s">
        <v>836</v>
      </c>
      <c r="F18" s="431"/>
      <c r="G18" s="432"/>
      <c r="H18" s="429">
        <v>0</v>
      </c>
      <c r="I18" s="430"/>
      <c r="J18" s="1"/>
      <c r="K18" s="4" t="s">
        <v>837</v>
      </c>
      <c r="L18" s="429" t="s">
        <v>164</v>
      </c>
      <c r="M18" s="439"/>
      <c r="N18" s="430"/>
      <c r="O18" s="4" t="s">
        <v>838</v>
      </c>
      <c r="P18" s="443" t="s">
        <v>839</v>
      </c>
      <c r="Q18" s="445"/>
      <c r="R18" s="5"/>
      <c r="S18" s="417" t="s">
        <v>840</v>
      </c>
      <c r="T18" s="417"/>
      <c r="U18" s="429">
        <v>3</v>
      </c>
      <c r="V18" s="430"/>
      <c r="W18" s="447" t="s">
        <v>841</v>
      </c>
      <c r="X18" s="447"/>
      <c r="Y18" s="447"/>
      <c r="Z18" s="429" t="s">
        <v>842</v>
      </c>
      <c r="AA18" s="430"/>
      <c r="AB18" s="1"/>
      <c r="AC18" s="1"/>
      <c r="AD18" s="1"/>
      <c r="AE18" s="1"/>
      <c r="AF18" s="22"/>
      <c r="AG18" s="33" t="s">
        <v>843</v>
      </c>
      <c r="AH18" s="454"/>
      <c r="AI18" s="34">
        <v>1.2</v>
      </c>
      <c r="AJ18" s="23"/>
      <c r="AK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4"/>
    </row>
    <row r="19" spans="1:62" ht="3" customHeight="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2"/>
      <c r="AD19" s="22"/>
      <c r="AE19" s="22"/>
      <c r="AF19" s="22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4"/>
    </row>
    <row r="20" spans="1:62" ht="3.75" customHeight="1" x14ac:dyDescent="0.25">
      <c r="A20" s="4"/>
      <c r="B20" s="4"/>
      <c r="C20" s="4"/>
      <c r="D20" s="4"/>
      <c r="E20" s="4"/>
      <c r="F20" s="4"/>
      <c r="G20" s="4"/>
      <c r="H20" s="4"/>
      <c r="I20" s="35"/>
      <c r="J20" s="1"/>
      <c r="K20" s="32"/>
      <c r="L20" s="32"/>
      <c r="M20" s="32"/>
      <c r="N20" s="1"/>
      <c r="O20" s="35"/>
      <c r="P20" s="1"/>
      <c r="Q20" s="4"/>
      <c r="R20" s="4"/>
      <c r="S20" s="4"/>
      <c r="T20" s="1"/>
      <c r="U20" s="36"/>
      <c r="V20" s="36"/>
      <c r="W20" s="4"/>
      <c r="X20" s="4"/>
      <c r="Y20" s="4"/>
      <c r="Z20" s="4"/>
      <c r="AA20" s="35"/>
      <c r="AB20" s="35"/>
      <c r="AC20" s="35"/>
      <c r="AD20" s="35"/>
      <c r="AE20" s="35"/>
      <c r="AF20" s="22"/>
      <c r="AG20" s="37"/>
      <c r="AH20" s="30"/>
      <c r="AI20" s="37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4"/>
    </row>
    <row r="21" spans="1:62" x14ac:dyDescent="0.25">
      <c r="A21" s="4" t="s">
        <v>844</v>
      </c>
      <c r="B21" s="4"/>
      <c r="C21" s="448" t="s">
        <v>845</v>
      </c>
      <c r="D21" s="449"/>
      <c r="E21" s="450"/>
      <c r="F21" s="4"/>
      <c r="G21" s="417" t="s">
        <v>846</v>
      </c>
      <c r="H21" s="417"/>
      <c r="I21" s="417"/>
      <c r="J21" s="417"/>
      <c r="K21" s="417"/>
      <c r="L21" s="32"/>
      <c r="M21" s="448" t="s">
        <v>847</v>
      </c>
      <c r="N21" s="449"/>
      <c r="O21" s="450"/>
      <c r="P21" s="1"/>
      <c r="Q21" s="4"/>
      <c r="R21" s="4"/>
      <c r="S21" s="4"/>
      <c r="T21" s="1"/>
      <c r="U21" s="36"/>
      <c r="V21" s="36"/>
      <c r="W21" s="36"/>
      <c r="X21" s="5"/>
      <c r="Y21" s="5"/>
      <c r="Z21" s="5"/>
      <c r="AA21" s="417" t="s">
        <v>848</v>
      </c>
      <c r="AB21" s="417"/>
      <c r="AC21" s="418"/>
      <c r="AD21" s="458">
        <v>100</v>
      </c>
      <c r="AE21" s="459"/>
      <c r="AF21" s="22"/>
      <c r="AG21" s="37" t="s">
        <v>849</v>
      </c>
      <c r="AH21" s="30"/>
      <c r="AI21" s="37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4"/>
    </row>
    <row r="22" spans="1:62" ht="3.75" customHeight="1" x14ac:dyDescent="0.25">
      <c r="A22" s="4"/>
      <c r="B22" s="4"/>
      <c r="C22" s="35"/>
      <c r="D22" s="35"/>
      <c r="E22" s="4"/>
      <c r="F22" s="4"/>
      <c r="G22" s="4"/>
      <c r="H22" s="4"/>
      <c r="I22" s="35"/>
      <c r="J22" s="1"/>
      <c r="K22" s="32"/>
      <c r="L22" s="32"/>
      <c r="M22" s="32"/>
      <c r="N22" s="1"/>
      <c r="O22" s="35"/>
      <c r="P22" s="1"/>
      <c r="Q22" s="4"/>
      <c r="R22" s="4"/>
      <c r="S22" s="4"/>
      <c r="T22" s="1"/>
      <c r="U22" s="36"/>
      <c r="V22" s="36"/>
      <c r="W22" s="4"/>
      <c r="X22" s="4"/>
      <c r="Y22" s="4"/>
      <c r="Z22" s="4"/>
      <c r="AA22" s="35"/>
      <c r="AB22" s="35"/>
      <c r="AC22" s="35"/>
      <c r="AD22" s="35"/>
      <c r="AE22" s="35"/>
      <c r="AF22" s="22"/>
      <c r="AG22" s="37"/>
      <c r="AH22" s="30"/>
      <c r="AI22" s="37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4"/>
    </row>
    <row r="23" spans="1:62" x14ac:dyDescent="0.25">
      <c r="A23" s="6" t="s">
        <v>850</v>
      </c>
      <c r="B23" s="4"/>
      <c r="C23" s="458">
        <f>26.38*745</f>
        <v>19653.099999999999</v>
      </c>
      <c r="D23" s="460"/>
      <c r="E23" s="459"/>
      <c r="F23" s="425" t="s">
        <v>851</v>
      </c>
      <c r="G23" s="417"/>
      <c r="H23" s="417"/>
      <c r="I23" s="418"/>
      <c r="J23" s="458"/>
      <c r="K23" s="460"/>
      <c r="L23" s="460"/>
      <c r="M23" s="459"/>
      <c r="N23" s="425" t="s">
        <v>852</v>
      </c>
      <c r="O23" s="417"/>
      <c r="P23" s="417"/>
      <c r="Q23" s="418"/>
      <c r="R23" s="458"/>
      <c r="S23" s="460"/>
      <c r="T23" s="460"/>
      <c r="U23" s="459"/>
      <c r="V23" s="425" t="s">
        <v>853</v>
      </c>
      <c r="W23" s="417"/>
      <c r="X23" s="417"/>
      <c r="Y23" s="418"/>
      <c r="Z23" s="458"/>
      <c r="AA23" s="460"/>
      <c r="AB23" s="460"/>
      <c r="AC23" s="459"/>
      <c r="AD23" s="1"/>
      <c r="AE23" s="1"/>
      <c r="AF23" s="22"/>
      <c r="AH23" s="30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4"/>
    </row>
    <row r="24" spans="1:62" ht="3.75" customHeight="1" x14ac:dyDescent="0.25">
      <c r="A24" s="4"/>
      <c r="B24" s="4"/>
      <c r="C24" s="35"/>
      <c r="D24" s="35"/>
      <c r="E24" s="4"/>
      <c r="F24" s="4"/>
      <c r="G24" s="4"/>
      <c r="H24" s="4"/>
      <c r="I24" s="35"/>
      <c r="J24" s="1"/>
      <c r="K24" s="32"/>
      <c r="L24" s="32"/>
      <c r="M24" s="32"/>
      <c r="N24" s="1"/>
      <c r="O24" s="35"/>
      <c r="P24" s="1"/>
      <c r="Q24" s="4"/>
      <c r="R24" s="4"/>
      <c r="S24" s="4"/>
      <c r="T24" s="1"/>
      <c r="U24" s="36"/>
      <c r="V24" s="36"/>
      <c r="W24" s="4"/>
      <c r="X24" s="4"/>
      <c r="Y24" s="4"/>
      <c r="Z24" s="4"/>
      <c r="AA24" s="35"/>
      <c r="AB24" s="35"/>
      <c r="AC24" s="35"/>
      <c r="AD24" s="35"/>
      <c r="AE24" s="35"/>
      <c r="AF24" s="22"/>
      <c r="AG24" s="37"/>
      <c r="AH24" s="30"/>
      <c r="AI24" s="37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4"/>
    </row>
    <row r="25" spans="1:62" x14ac:dyDescent="0.25">
      <c r="A25" s="4" t="s">
        <v>854</v>
      </c>
      <c r="B25" s="38"/>
      <c r="C25" s="39" t="s">
        <v>855</v>
      </c>
      <c r="D25" s="38"/>
      <c r="E25" s="417" t="s">
        <v>856</v>
      </c>
      <c r="F25" s="417"/>
      <c r="G25" s="417"/>
      <c r="H25" s="22"/>
      <c r="I25" s="40">
        <v>6</v>
      </c>
      <c r="J25" s="417" t="s">
        <v>857</v>
      </c>
      <c r="K25" s="417"/>
      <c r="L25" s="417"/>
      <c r="M25" s="417"/>
      <c r="N25" s="455" t="s">
        <v>858</v>
      </c>
      <c r="O25" s="455"/>
      <c r="P25" s="1"/>
      <c r="Q25" s="1"/>
      <c r="R25" s="1"/>
      <c r="S25" s="1"/>
      <c r="T25" s="1"/>
      <c r="U25" s="1"/>
      <c r="V25" s="1"/>
      <c r="W25" s="1"/>
      <c r="X25" s="1"/>
      <c r="Y25" s="1"/>
      <c r="Z25" s="4"/>
      <c r="AA25" s="5" t="s">
        <v>859</v>
      </c>
      <c r="AB25" s="456" t="s">
        <v>860</v>
      </c>
      <c r="AC25" s="456"/>
      <c r="AD25" s="456"/>
      <c r="AE25" s="456"/>
      <c r="AF25" s="22"/>
      <c r="AG25" s="37"/>
      <c r="AH25" s="30"/>
      <c r="AI25" s="37"/>
      <c r="AJ25" s="23"/>
      <c r="AK25" s="23" t="s">
        <v>861</v>
      </c>
      <c r="AL25" s="23"/>
      <c r="AM25" s="23"/>
      <c r="AN25" s="23"/>
      <c r="AO25" s="23" t="e">
        <v>#REF!</v>
      </c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4"/>
    </row>
    <row r="26" spans="1:62" ht="3" customHeight="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2"/>
      <c r="AD26" s="22"/>
      <c r="AE26" s="22"/>
      <c r="AF26" s="22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4"/>
    </row>
    <row r="27" spans="1:62" ht="15" hidden="1" customHeight="1" x14ac:dyDescent="0.25">
      <c r="A27" s="438" t="s">
        <v>862</v>
      </c>
      <c r="B27" s="438"/>
      <c r="C27" s="438"/>
      <c r="D27" s="438"/>
      <c r="E27" s="438"/>
      <c r="F27" s="438"/>
      <c r="G27" s="438"/>
      <c r="H27" s="438"/>
      <c r="I27" s="438"/>
      <c r="J27" s="438"/>
      <c r="K27" s="438"/>
      <c r="L27" s="438"/>
      <c r="M27" s="438"/>
      <c r="N27" s="438"/>
      <c r="O27" s="438"/>
      <c r="P27" s="438"/>
      <c r="Q27" s="438"/>
      <c r="R27" s="438"/>
      <c r="S27" s="438"/>
      <c r="T27" s="438"/>
      <c r="U27" s="438"/>
      <c r="V27" s="438"/>
      <c r="W27" s="438"/>
      <c r="X27" s="438"/>
      <c r="Y27" s="438"/>
      <c r="Z27" s="438"/>
      <c r="AA27" s="438"/>
      <c r="AB27" s="438"/>
      <c r="AC27" s="438"/>
      <c r="AD27" s="438"/>
      <c r="AE27" s="438"/>
      <c r="AF27" s="438"/>
      <c r="AG27" s="23"/>
      <c r="AH27" s="23"/>
      <c r="AI27" s="457" t="s">
        <v>863</v>
      </c>
      <c r="AJ27" s="457"/>
      <c r="AK27" s="457"/>
      <c r="AL27" s="457"/>
      <c r="AM27" s="457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4"/>
    </row>
    <row r="28" spans="1:62" ht="3" hidden="1" customHeight="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2"/>
      <c r="AD28" s="22"/>
      <c r="AE28" s="22"/>
      <c r="AF28" s="22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4"/>
    </row>
    <row r="29" spans="1:62" ht="14.25" hidden="1" customHeight="1" x14ac:dyDescent="0.25">
      <c r="A29" s="1"/>
      <c r="B29" s="5"/>
      <c r="C29" s="5"/>
      <c r="D29" s="5"/>
      <c r="E29" s="461" t="s">
        <v>48</v>
      </c>
      <c r="F29" s="461"/>
      <c r="G29" s="461"/>
      <c r="H29" s="16"/>
      <c r="I29" s="461" t="s">
        <v>49</v>
      </c>
      <c r="J29" s="461"/>
      <c r="K29" s="461"/>
      <c r="L29" s="41"/>
      <c r="M29" s="461" t="s">
        <v>864</v>
      </c>
      <c r="N29" s="461"/>
      <c r="O29" s="461"/>
      <c r="P29" s="21"/>
      <c r="Q29" s="461" t="s">
        <v>865</v>
      </c>
      <c r="R29" s="461"/>
      <c r="S29" s="461"/>
      <c r="T29" s="16"/>
      <c r="U29" s="461" t="s">
        <v>866</v>
      </c>
      <c r="V29" s="461"/>
      <c r="W29" s="461"/>
      <c r="X29" s="21"/>
      <c r="Y29" s="461" t="s">
        <v>867</v>
      </c>
      <c r="Z29" s="461"/>
      <c r="AA29" s="461"/>
      <c r="AB29" s="1"/>
      <c r="AC29" s="461" t="s">
        <v>868</v>
      </c>
      <c r="AD29" s="461"/>
      <c r="AE29" s="461"/>
      <c r="AF29" s="22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4"/>
    </row>
    <row r="30" spans="1:62" ht="13.35" hidden="1" customHeight="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2"/>
      <c r="AD30" s="22"/>
      <c r="AE30" s="22"/>
      <c r="AF30" s="22"/>
      <c r="AG30" s="23"/>
      <c r="AH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4"/>
    </row>
    <row r="31" spans="1:62" ht="14.25" hidden="1" customHeight="1" x14ac:dyDescent="0.25">
      <c r="A31" s="425" t="s">
        <v>869</v>
      </c>
      <c r="B31" s="417"/>
      <c r="C31" s="417"/>
      <c r="D31" s="21"/>
      <c r="E31" s="462" t="s">
        <v>870</v>
      </c>
      <c r="F31" s="462"/>
      <c r="G31" s="462"/>
      <c r="H31" s="21"/>
      <c r="I31" s="462" t="s">
        <v>871</v>
      </c>
      <c r="J31" s="462"/>
      <c r="K31" s="462"/>
      <c r="L31" s="35"/>
      <c r="M31" s="462">
        <v>0</v>
      </c>
      <c r="N31" s="462"/>
      <c r="O31" s="462"/>
      <c r="P31" s="35"/>
      <c r="Q31" s="462">
        <v>0</v>
      </c>
      <c r="R31" s="462"/>
      <c r="S31" s="462"/>
      <c r="T31" s="21"/>
      <c r="U31" s="462">
        <v>0</v>
      </c>
      <c r="V31" s="462"/>
      <c r="W31" s="462"/>
      <c r="X31" s="42"/>
      <c r="Y31" s="462">
        <v>0</v>
      </c>
      <c r="Z31" s="462"/>
      <c r="AA31" s="462"/>
      <c r="AB31" s="21"/>
      <c r="AC31" s="22"/>
      <c r="AD31" s="22"/>
      <c r="AE31" s="22"/>
      <c r="AF31" s="22"/>
      <c r="AG31" s="23"/>
      <c r="AH31" s="23"/>
      <c r="AI31" s="23">
        <v>0</v>
      </c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4"/>
    </row>
    <row r="32" spans="1:62" ht="14.25" hidden="1" customHeight="1" x14ac:dyDescent="0.25">
      <c r="A32" s="417" t="s">
        <v>318</v>
      </c>
      <c r="B32" s="417"/>
      <c r="C32" s="417"/>
      <c r="D32" s="21"/>
      <c r="E32" s="462">
        <v>1</v>
      </c>
      <c r="F32" s="462"/>
      <c r="G32" s="462"/>
      <c r="H32" s="21"/>
      <c r="I32" s="462">
        <v>1</v>
      </c>
      <c r="J32" s="462"/>
      <c r="K32" s="462"/>
      <c r="L32" s="35"/>
      <c r="M32" s="462" t="s">
        <v>849</v>
      </c>
      <c r="N32" s="462"/>
      <c r="O32" s="462"/>
      <c r="P32" s="35"/>
      <c r="Q32" s="462" t="s">
        <v>849</v>
      </c>
      <c r="R32" s="462"/>
      <c r="S32" s="462"/>
      <c r="T32" s="21"/>
      <c r="U32" s="462" t="s">
        <v>849</v>
      </c>
      <c r="V32" s="462"/>
      <c r="W32" s="462"/>
      <c r="X32" s="42"/>
      <c r="Y32" s="462" t="s">
        <v>849</v>
      </c>
      <c r="Z32" s="462"/>
      <c r="AA32" s="462"/>
      <c r="AB32" s="21"/>
      <c r="AC32" s="22"/>
      <c r="AD32" s="22"/>
      <c r="AE32" s="22"/>
      <c r="AF32" s="22"/>
      <c r="AG32" s="23"/>
      <c r="AH32" s="23"/>
      <c r="AI32" s="23" t="s">
        <v>861</v>
      </c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4"/>
    </row>
    <row r="33" spans="1:62" ht="14.25" hidden="1" customHeight="1" x14ac:dyDescent="0.25">
      <c r="A33" s="417" t="s">
        <v>872</v>
      </c>
      <c r="B33" s="417"/>
      <c r="C33" s="417"/>
      <c r="D33" s="21"/>
      <c r="E33" s="462">
        <v>0</v>
      </c>
      <c r="F33" s="462"/>
      <c r="G33" s="462"/>
      <c r="H33" s="21"/>
      <c r="I33" s="462" t="s">
        <v>849</v>
      </c>
      <c r="J33" s="462"/>
      <c r="K33" s="462"/>
      <c r="L33" s="35"/>
      <c r="M33" s="462" t="s">
        <v>849</v>
      </c>
      <c r="N33" s="462"/>
      <c r="O33" s="462"/>
      <c r="P33" s="35"/>
      <c r="Q33" s="462" t="s">
        <v>849</v>
      </c>
      <c r="R33" s="462"/>
      <c r="S33" s="462"/>
      <c r="T33" s="21"/>
      <c r="U33" s="462" t="s">
        <v>849</v>
      </c>
      <c r="V33" s="462"/>
      <c r="W33" s="462"/>
      <c r="X33" s="42"/>
      <c r="Y33" s="462" t="s">
        <v>849</v>
      </c>
      <c r="Z33" s="462"/>
      <c r="AA33" s="462"/>
      <c r="AB33" s="21"/>
      <c r="AC33" s="22"/>
      <c r="AD33" s="22"/>
      <c r="AE33" s="22"/>
      <c r="AF33" s="22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4"/>
    </row>
    <row r="34" spans="1:62" ht="14.25" hidden="1" customHeight="1" x14ac:dyDescent="0.25">
      <c r="A34" s="417" t="s">
        <v>319</v>
      </c>
      <c r="B34" s="417"/>
      <c r="C34" s="417"/>
      <c r="D34" s="21"/>
      <c r="E34" s="462" t="s">
        <v>849</v>
      </c>
      <c r="F34" s="462"/>
      <c r="G34" s="462"/>
      <c r="H34" s="21"/>
      <c r="I34" s="462" t="s">
        <v>849</v>
      </c>
      <c r="J34" s="462"/>
      <c r="K34" s="462"/>
      <c r="L34" s="35"/>
      <c r="M34" s="462" t="s">
        <v>849</v>
      </c>
      <c r="N34" s="462"/>
      <c r="O34" s="462"/>
      <c r="P34" s="35"/>
      <c r="Q34" s="462" t="s">
        <v>849</v>
      </c>
      <c r="R34" s="462"/>
      <c r="S34" s="462"/>
      <c r="T34" s="21"/>
      <c r="U34" s="462" t="s">
        <v>849</v>
      </c>
      <c r="V34" s="462"/>
      <c r="W34" s="462"/>
      <c r="X34" s="42"/>
      <c r="Y34" s="462" t="s">
        <v>849</v>
      </c>
      <c r="Z34" s="462"/>
      <c r="AA34" s="462"/>
      <c r="AB34" s="21"/>
      <c r="AC34" s="22"/>
      <c r="AD34" s="22"/>
      <c r="AE34" s="22"/>
      <c r="AF34" s="22"/>
      <c r="AG34" s="23"/>
      <c r="AH34" s="23"/>
      <c r="AI34" s="23" t="s">
        <v>873</v>
      </c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4"/>
    </row>
    <row r="35" spans="1:62" ht="14.25" hidden="1" customHeight="1" x14ac:dyDescent="0.25">
      <c r="A35" s="417" t="s">
        <v>874</v>
      </c>
      <c r="B35" s="417"/>
      <c r="C35" s="417"/>
      <c r="D35" s="21"/>
      <c r="E35" s="462" t="s">
        <v>849</v>
      </c>
      <c r="F35" s="462"/>
      <c r="G35" s="462"/>
      <c r="H35" s="21"/>
      <c r="I35" s="462" t="s">
        <v>849</v>
      </c>
      <c r="J35" s="462"/>
      <c r="K35" s="462"/>
      <c r="L35" s="35"/>
      <c r="M35" s="462" t="s">
        <v>849</v>
      </c>
      <c r="N35" s="462"/>
      <c r="O35" s="462"/>
      <c r="P35" s="35"/>
      <c r="Q35" s="462" t="s">
        <v>849</v>
      </c>
      <c r="R35" s="462"/>
      <c r="S35" s="462"/>
      <c r="T35" s="21"/>
      <c r="U35" s="462" t="s">
        <v>849</v>
      </c>
      <c r="V35" s="462"/>
      <c r="W35" s="462"/>
      <c r="X35" s="42"/>
      <c r="Y35" s="462" t="s">
        <v>849</v>
      </c>
      <c r="Z35" s="462"/>
      <c r="AA35" s="462"/>
      <c r="AB35" s="21"/>
      <c r="AC35" s="22"/>
      <c r="AD35" s="22"/>
      <c r="AE35" s="22"/>
      <c r="AF35" s="22"/>
      <c r="AG35" s="23"/>
      <c r="AH35" s="23"/>
      <c r="AI35" s="23">
        <f>E33</f>
        <v>0</v>
      </c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4"/>
    </row>
    <row r="36" spans="1:62" ht="14.25" hidden="1" customHeight="1" x14ac:dyDescent="0.25">
      <c r="A36" s="417" t="s">
        <v>875</v>
      </c>
      <c r="B36" s="417"/>
      <c r="C36" s="417"/>
      <c r="D36" s="21"/>
      <c r="E36" s="462" t="e">
        <v>#N/A</v>
      </c>
      <c r="F36" s="462"/>
      <c r="G36" s="462"/>
      <c r="H36" s="21"/>
      <c r="I36" s="462" t="e">
        <v>#N/A</v>
      </c>
      <c r="J36" s="462"/>
      <c r="K36" s="462"/>
      <c r="L36" s="35"/>
      <c r="M36" s="462" t="e">
        <v>#VALUE!</v>
      </c>
      <c r="N36" s="462"/>
      <c r="O36" s="462"/>
      <c r="P36" s="35"/>
      <c r="Q36" s="462" t="e">
        <v>#VALUE!</v>
      </c>
      <c r="R36" s="462"/>
      <c r="S36" s="462"/>
      <c r="T36" s="21"/>
      <c r="U36" s="462" t="e">
        <v>#VALUE!</v>
      </c>
      <c r="V36" s="462"/>
      <c r="W36" s="462"/>
      <c r="X36" s="42"/>
      <c r="Y36" s="462" t="e">
        <v>#VALUE!</v>
      </c>
      <c r="Z36" s="462"/>
      <c r="AA36" s="462"/>
      <c r="AB36" s="21"/>
      <c r="AC36" s="22"/>
      <c r="AD36" s="22"/>
      <c r="AE36" s="22"/>
      <c r="AF36" s="22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4"/>
    </row>
    <row r="37" spans="1:62" ht="14.25" hidden="1" customHeight="1" x14ac:dyDescent="0.25">
      <c r="A37" s="425" t="s">
        <v>876</v>
      </c>
      <c r="B37" s="417"/>
      <c r="C37" s="417"/>
      <c r="D37" s="21"/>
      <c r="E37" s="462" t="s">
        <v>877</v>
      </c>
      <c r="F37" s="462"/>
      <c r="G37" s="462"/>
      <c r="H37" s="21"/>
      <c r="I37" s="462" t="s">
        <v>877</v>
      </c>
      <c r="J37" s="462"/>
      <c r="K37" s="462"/>
      <c r="L37" s="35"/>
      <c r="M37" s="462" t="s">
        <v>849</v>
      </c>
      <c r="N37" s="462"/>
      <c r="O37" s="462"/>
      <c r="P37" s="35"/>
      <c r="Q37" s="462" t="s">
        <v>849</v>
      </c>
      <c r="R37" s="462"/>
      <c r="S37" s="462"/>
      <c r="T37" s="21"/>
      <c r="U37" s="462" t="s">
        <v>849</v>
      </c>
      <c r="V37" s="462"/>
      <c r="W37" s="462"/>
      <c r="X37" s="42"/>
      <c r="Y37" s="462" t="s">
        <v>849</v>
      </c>
      <c r="Z37" s="462"/>
      <c r="AA37" s="462"/>
      <c r="AB37" s="21"/>
      <c r="AC37" s="22"/>
      <c r="AD37" s="22"/>
      <c r="AE37" s="22"/>
      <c r="AF37" s="22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4"/>
    </row>
    <row r="38" spans="1:62" ht="14.25" hidden="1" customHeight="1" x14ac:dyDescent="0.25">
      <c r="A38" s="425" t="s">
        <v>878</v>
      </c>
      <c r="B38" s="417"/>
      <c r="C38" s="417"/>
      <c r="D38" s="21"/>
      <c r="E38" s="462">
        <v>1</v>
      </c>
      <c r="F38" s="462"/>
      <c r="G38" s="462"/>
      <c r="H38" s="21"/>
      <c r="I38" s="462">
        <v>1</v>
      </c>
      <c r="J38" s="462"/>
      <c r="K38" s="462"/>
      <c r="L38" s="35"/>
      <c r="M38" s="462" t="s">
        <v>849</v>
      </c>
      <c r="N38" s="462"/>
      <c r="O38" s="462"/>
      <c r="P38" s="35"/>
      <c r="Q38" s="462" t="s">
        <v>849</v>
      </c>
      <c r="R38" s="462"/>
      <c r="S38" s="462"/>
      <c r="T38" s="21"/>
      <c r="U38" s="462" t="s">
        <v>849</v>
      </c>
      <c r="V38" s="462"/>
      <c r="W38" s="462"/>
      <c r="X38" s="42"/>
      <c r="Y38" s="462" t="s">
        <v>849</v>
      </c>
      <c r="Z38" s="462"/>
      <c r="AA38" s="462"/>
      <c r="AB38" s="21"/>
      <c r="AC38" s="22"/>
      <c r="AD38" s="22"/>
      <c r="AE38" s="22"/>
      <c r="AF38" s="22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4"/>
    </row>
    <row r="39" spans="1:62" ht="14.25" hidden="1" customHeight="1" x14ac:dyDescent="0.25">
      <c r="A39" s="425" t="s">
        <v>879</v>
      </c>
      <c r="B39" s="417"/>
      <c r="C39" s="417"/>
      <c r="D39" s="21"/>
      <c r="E39" s="463" t="s">
        <v>880</v>
      </c>
      <c r="F39" s="463"/>
      <c r="G39" s="463"/>
      <c r="H39" s="21"/>
      <c r="I39" s="463" t="s">
        <v>880</v>
      </c>
      <c r="J39" s="463"/>
      <c r="K39" s="463"/>
      <c r="L39" s="35"/>
      <c r="M39" s="463" t="s">
        <v>849</v>
      </c>
      <c r="N39" s="463"/>
      <c r="O39" s="463"/>
      <c r="P39" s="35"/>
      <c r="Q39" s="463" t="s">
        <v>849</v>
      </c>
      <c r="R39" s="463"/>
      <c r="S39" s="463"/>
      <c r="T39" s="21"/>
      <c r="U39" s="463" t="s">
        <v>849</v>
      </c>
      <c r="V39" s="463"/>
      <c r="W39" s="463"/>
      <c r="X39" s="42"/>
      <c r="Y39" s="463" t="s">
        <v>849</v>
      </c>
      <c r="Z39" s="463"/>
      <c r="AA39" s="463"/>
      <c r="AB39" s="21"/>
      <c r="AC39" s="22"/>
      <c r="AD39" s="22"/>
      <c r="AE39" s="22"/>
      <c r="AF39" s="22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4"/>
    </row>
    <row r="40" spans="1:62" ht="14.25" hidden="1" customHeight="1" x14ac:dyDescent="0.25">
      <c r="A40" s="425" t="str">
        <f>IF($C$16="Air_Cooled","Condenser Skid Airflow (CFM)",IF($C$16="Water_Cooled","Condenser Water Flow (GPM)","ERR"))</f>
        <v>Condenser Skid Airflow (CFM)</v>
      </c>
      <c r="B40" s="417"/>
      <c r="C40" s="417"/>
      <c r="D40" s="21"/>
      <c r="E40" s="464">
        <v>11000</v>
      </c>
      <c r="F40" s="464"/>
      <c r="G40" s="464"/>
      <c r="H40" s="44"/>
      <c r="I40" s="464">
        <v>11000</v>
      </c>
      <c r="J40" s="464"/>
      <c r="K40" s="464"/>
      <c r="L40" s="43"/>
      <c r="M40" s="464" t="s">
        <v>849</v>
      </c>
      <c r="N40" s="464"/>
      <c r="O40" s="464"/>
      <c r="P40" s="43"/>
      <c r="Q40" s="464" t="s">
        <v>849</v>
      </c>
      <c r="R40" s="464"/>
      <c r="S40" s="464"/>
      <c r="T40" s="44"/>
      <c r="U40" s="464" t="s">
        <v>849</v>
      </c>
      <c r="V40" s="464"/>
      <c r="W40" s="464"/>
      <c r="X40" s="45"/>
      <c r="Y40" s="464" t="s">
        <v>849</v>
      </c>
      <c r="Z40" s="464"/>
      <c r="AA40" s="464"/>
      <c r="AB40" s="21"/>
      <c r="AC40" s="22"/>
      <c r="AD40" s="22"/>
      <c r="AE40" s="22"/>
      <c r="AF40" s="22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4"/>
    </row>
    <row r="41" spans="1:62" ht="14.25" hidden="1" customHeight="1" x14ac:dyDescent="0.25">
      <c r="A41" s="425" t="s">
        <v>334</v>
      </c>
      <c r="B41" s="417"/>
      <c r="C41" s="417"/>
      <c r="D41" s="21"/>
      <c r="E41" s="465">
        <v>1</v>
      </c>
      <c r="F41" s="465"/>
      <c r="G41" s="465"/>
      <c r="H41" s="44"/>
      <c r="I41" s="465">
        <v>1</v>
      </c>
      <c r="J41" s="465"/>
      <c r="K41" s="465"/>
      <c r="L41" s="43"/>
      <c r="M41" s="465" t="s">
        <v>849</v>
      </c>
      <c r="N41" s="465"/>
      <c r="O41" s="465"/>
      <c r="P41" s="43"/>
      <c r="Q41" s="465" t="s">
        <v>849</v>
      </c>
      <c r="R41" s="465"/>
      <c r="S41" s="465"/>
      <c r="T41" s="44"/>
      <c r="U41" s="465" t="s">
        <v>849</v>
      </c>
      <c r="V41" s="465"/>
      <c r="W41" s="465"/>
      <c r="X41" s="46"/>
      <c r="Y41" s="465" t="s">
        <v>849</v>
      </c>
      <c r="Z41" s="465"/>
      <c r="AA41" s="465"/>
      <c r="AB41" s="21"/>
      <c r="AC41" s="22"/>
      <c r="AD41" s="22"/>
      <c r="AE41" s="22"/>
      <c r="AF41" s="22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4"/>
    </row>
    <row r="42" spans="1:62" ht="14.25" hidden="1" customHeight="1" x14ac:dyDescent="0.25">
      <c r="A42" s="425" t="s">
        <v>881</v>
      </c>
      <c r="B42" s="417"/>
      <c r="C42" s="417"/>
      <c r="D42" s="21"/>
      <c r="E42" s="466" t="s">
        <v>882</v>
      </c>
      <c r="F42" s="466"/>
      <c r="G42" s="466"/>
      <c r="H42" s="48"/>
      <c r="I42" s="466" t="s">
        <v>882</v>
      </c>
      <c r="J42" s="466"/>
      <c r="K42" s="466"/>
      <c r="L42" s="47"/>
      <c r="M42" s="466" t="s">
        <v>849</v>
      </c>
      <c r="N42" s="466"/>
      <c r="O42" s="466"/>
      <c r="P42" s="47"/>
      <c r="Q42" s="466" t="s">
        <v>849</v>
      </c>
      <c r="R42" s="466"/>
      <c r="S42" s="466"/>
      <c r="T42" s="48"/>
      <c r="U42" s="466" t="s">
        <v>849</v>
      </c>
      <c r="V42" s="466"/>
      <c r="W42" s="466"/>
      <c r="X42" s="49"/>
      <c r="Y42" s="466" t="s">
        <v>849</v>
      </c>
      <c r="Z42" s="466"/>
      <c r="AA42" s="466"/>
      <c r="AB42" s="21"/>
      <c r="AC42" s="22"/>
      <c r="AD42" s="22"/>
      <c r="AE42" s="22"/>
      <c r="AF42" s="22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4"/>
    </row>
    <row r="43" spans="1:62" ht="14.25" hidden="1" customHeight="1" x14ac:dyDescent="0.25">
      <c r="A43" s="425" t="s">
        <v>883</v>
      </c>
      <c r="B43" s="417"/>
      <c r="C43" s="417"/>
      <c r="D43" s="21"/>
      <c r="E43" s="467">
        <v>11000</v>
      </c>
      <c r="F43" s="467"/>
      <c r="G43" s="467"/>
      <c r="H43" s="44"/>
      <c r="I43" s="467">
        <v>11000</v>
      </c>
      <c r="J43" s="467"/>
      <c r="K43" s="467"/>
      <c r="L43" s="43"/>
      <c r="M43" s="467" t="s">
        <v>849</v>
      </c>
      <c r="N43" s="467"/>
      <c r="O43" s="467"/>
      <c r="P43" s="43"/>
      <c r="Q43" s="467" t="s">
        <v>849</v>
      </c>
      <c r="R43" s="467"/>
      <c r="S43" s="467"/>
      <c r="T43" s="44"/>
      <c r="U43" s="467" t="s">
        <v>849</v>
      </c>
      <c r="V43" s="467"/>
      <c r="W43" s="467"/>
      <c r="X43" s="46"/>
      <c r="Y43" s="467" t="s">
        <v>849</v>
      </c>
      <c r="Z43" s="467"/>
      <c r="AA43" s="467"/>
      <c r="AB43" s="21"/>
      <c r="AC43" s="22"/>
      <c r="AD43" s="22"/>
      <c r="AE43" s="22"/>
      <c r="AF43" s="22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4"/>
    </row>
    <row r="44" spans="1:62" ht="14.25" hidden="1" customHeight="1" x14ac:dyDescent="0.25">
      <c r="A44" s="417" t="s">
        <v>884</v>
      </c>
      <c r="B44" s="417"/>
      <c r="C44" s="417"/>
      <c r="D44" s="50"/>
      <c r="E44" s="470">
        <v>1126</v>
      </c>
      <c r="F44" s="470"/>
      <c r="G44" s="470"/>
      <c r="H44" s="52"/>
      <c r="I44" s="470">
        <v>1126</v>
      </c>
      <c r="J44" s="470"/>
      <c r="K44" s="470"/>
      <c r="L44" s="51"/>
      <c r="M44" s="469" t="e">
        <v>#N/A</v>
      </c>
      <c r="N44" s="469"/>
      <c r="O44" s="469"/>
      <c r="P44" s="51"/>
      <c r="Q44" s="469" t="e">
        <v>#N/A</v>
      </c>
      <c r="R44" s="469"/>
      <c r="S44" s="469"/>
      <c r="T44" s="53"/>
      <c r="U44" s="469" t="e">
        <v>#N/A</v>
      </c>
      <c r="V44" s="469"/>
      <c r="W44" s="469"/>
      <c r="X44" s="54"/>
      <c r="Y44" s="469" t="e">
        <v>#N/A</v>
      </c>
      <c r="Z44" s="469"/>
      <c r="AA44" s="469"/>
      <c r="AB44" s="1"/>
      <c r="AC44" s="9"/>
      <c r="AD44" s="9"/>
      <c r="AE44" s="9"/>
      <c r="AF44" s="22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4"/>
    </row>
    <row r="45" spans="1:62" ht="14.25" hidden="1" customHeight="1" x14ac:dyDescent="0.25">
      <c r="A45" s="417" t="s">
        <v>885</v>
      </c>
      <c r="B45" s="417"/>
      <c r="C45" s="417"/>
      <c r="D45" s="50"/>
      <c r="E45" s="468">
        <v>3</v>
      </c>
      <c r="F45" s="468"/>
      <c r="G45" s="468"/>
      <c r="H45" s="55"/>
      <c r="I45" s="468">
        <v>3</v>
      </c>
      <c r="J45" s="468"/>
      <c r="K45" s="468"/>
      <c r="L45" s="56"/>
      <c r="M45" s="468" t="e">
        <v>#N/A</v>
      </c>
      <c r="N45" s="468"/>
      <c r="O45" s="468"/>
      <c r="P45" s="35"/>
      <c r="Q45" s="468" t="e">
        <v>#N/A</v>
      </c>
      <c r="R45" s="468"/>
      <c r="S45" s="468"/>
      <c r="T45" s="1"/>
      <c r="U45" s="468" t="e">
        <v>#N/A</v>
      </c>
      <c r="V45" s="468"/>
      <c r="W45" s="468"/>
      <c r="X45" s="42"/>
      <c r="Y45" s="468" t="e">
        <v>#N/A</v>
      </c>
      <c r="Z45" s="468"/>
      <c r="AA45" s="468"/>
      <c r="AB45" s="1"/>
      <c r="AC45" s="431"/>
      <c r="AD45" s="431"/>
      <c r="AE45" s="431"/>
      <c r="AF45" s="22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4"/>
    </row>
    <row r="46" spans="1:62" ht="14.25" hidden="1" customHeight="1" x14ac:dyDescent="0.25">
      <c r="A46" s="417" t="s">
        <v>886</v>
      </c>
      <c r="B46" s="417"/>
      <c r="C46" s="417"/>
      <c r="D46" s="50"/>
      <c r="E46" s="468">
        <v>3</v>
      </c>
      <c r="F46" s="468"/>
      <c r="G46" s="468"/>
      <c r="H46" s="55"/>
      <c r="I46" s="468">
        <v>3</v>
      </c>
      <c r="J46" s="468"/>
      <c r="K46" s="468"/>
      <c r="L46" s="56"/>
      <c r="M46" s="468" t="e">
        <v>#VALUE!</v>
      </c>
      <c r="N46" s="468"/>
      <c r="O46" s="468"/>
      <c r="P46" s="35"/>
      <c r="Q46" s="468" t="e">
        <v>#VALUE!</v>
      </c>
      <c r="R46" s="468"/>
      <c r="S46" s="468"/>
      <c r="T46" s="1"/>
      <c r="U46" s="468" t="e">
        <v>#VALUE!</v>
      </c>
      <c r="V46" s="468"/>
      <c r="W46" s="468"/>
      <c r="X46" s="42"/>
      <c r="Y46" s="468" t="e">
        <v>#VALUE!</v>
      </c>
      <c r="Z46" s="468"/>
      <c r="AA46" s="468"/>
      <c r="AB46" s="1"/>
      <c r="AC46" s="9"/>
      <c r="AD46" s="9"/>
      <c r="AE46" s="9"/>
      <c r="AF46" s="22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4"/>
    </row>
    <row r="47" spans="1:62" ht="14.25" hidden="1" customHeight="1" x14ac:dyDescent="0.25">
      <c r="A47" s="425" t="s">
        <v>887</v>
      </c>
      <c r="B47" s="417"/>
      <c r="C47" s="417"/>
      <c r="D47" s="21"/>
      <c r="E47" s="471">
        <v>0</v>
      </c>
      <c r="F47" s="471"/>
      <c r="G47" s="471"/>
      <c r="H47" s="58"/>
      <c r="I47" s="471">
        <v>0</v>
      </c>
      <c r="J47" s="471"/>
      <c r="K47" s="471"/>
      <c r="L47" s="57"/>
      <c r="M47" s="471">
        <v>0</v>
      </c>
      <c r="N47" s="471"/>
      <c r="O47" s="471"/>
      <c r="P47" s="57"/>
      <c r="Q47" s="57"/>
      <c r="R47" s="471">
        <v>0</v>
      </c>
      <c r="S47" s="471"/>
      <c r="T47" s="471"/>
      <c r="U47" s="471">
        <v>0</v>
      </c>
      <c r="V47" s="471"/>
      <c r="W47" s="471"/>
      <c r="X47" s="58"/>
      <c r="Y47" s="471">
        <v>0</v>
      </c>
      <c r="Z47" s="471"/>
      <c r="AA47" s="471"/>
      <c r="AB47" s="59"/>
      <c r="AC47" s="472" t="e">
        <f>(E47+I47*#REF!+U47+Y47)*#REF!</f>
        <v>#REF!</v>
      </c>
      <c r="AD47" s="472"/>
      <c r="AE47" s="472"/>
      <c r="AF47" s="22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4"/>
    </row>
    <row r="48" spans="1:62" ht="14.25" hidden="1" customHeight="1" x14ac:dyDescent="0.25">
      <c r="A48" s="425" t="s">
        <v>888</v>
      </c>
      <c r="B48" s="417"/>
      <c r="C48" s="417"/>
      <c r="D48" s="21"/>
      <c r="E48" s="471">
        <v>0</v>
      </c>
      <c r="F48" s="471"/>
      <c r="G48" s="471"/>
      <c r="H48" s="58"/>
      <c r="I48" s="471">
        <v>0</v>
      </c>
      <c r="J48" s="471"/>
      <c r="K48" s="471"/>
      <c r="L48" s="57"/>
      <c r="M48" s="471">
        <v>0</v>
      </c>
      <c r="N48" s="471"/>
      <c r="O48" s="471"/>
      <c r="P48" s="57"/>
      <c r="Q48" s="57"/>
      <c r="R48" s="471">
        <v>0</v>
      </c>
      <c r="S48" s="471"/>
      <c r="T48" s="471"/>
      <c r="U48" s="471">
        <v>0</v>
      </c>
      <c r="V48" s="471"/>
      <c r="W48" s="471"/>
      <c r="X48" s="58"/>
      <c r="Y48" s="471">
        <v>0</v>
      </c>
      <c r="Z48" s="471"/>
      <c r="AA48" s="471"/>
      <c r="AB48" s="59"/>
      <c r="AC48" s="472" t="e">
        <f>(E48+I48*#REF!+U48+Y48)*#REF!</f>
        <v>#REF!</v>
      </c>
      <c r="AD48" s="472"/>
      <c r="AE48" s="472"/>
      <c r="AF48" s="22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4"/>
    </row>
    <row r="49" spans="1:62" ht="14.25" hidden="1" customHeight="1" x14ac:dyDescent="0.25">
      <c r="A49" s="425" t="s">
        <v>889</v>
      </c>
      <c r="B49" s="417"/>
      <c r="C49" s="417"/>
      <c r="D49" s="5"/>
      <c r="E49" s="471">
        <v>0</v>
      </c>
      <c r="F49" s="471"/>
      <c r="G49" s="471"/>
      <c r="H49" s="60"/>
      <c r="I49" s="471">
        <v>0</v>
      </c>
      <c r="J49" s="471"/>
      <c r="K49" s="471"/>
      <c r="L49" s="57"/>
      <c r="M49" s="471">
        <v>0</v>
      </c>
      <c r="N49" s="471"/>
      <c r="O49" s="471"/>
      <c r="P49" s="57"/>
      <c r="Q49" s="57"/>
      <c r="R49" s="471">
        <v>0</v>
      </c>
      <c r="S49" s="471"/>
      <c r="T49" s="471"/>
      <c r="U49" s="471">
        <v>0</v>
      </c>
      <c r="V49" s="471"/>
      <c r="W49" s="471"/>
      <c r="X49" s="61"/>
      <c r="Y49" s="471">
        <v>0</v>
      </c>
      <c r="Z49" s="471"/>
      <c r="AA49" s="471"/>
      <c r="AB49" s="62"/>
      <c r="AC49" s="472" t="e">
        <f>(E49+I49*#REF!+U49+Y49)*#REF!</f>
        <v>#REF!</v>
      </c>
      <c r="AD49" s="472"/>
      <c r="AE49" s="472"/>
      <c r="AF49" s="22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4"/>
    </row>
    <row r="50" spans="1:62" ht="14.25" hidden="1" customHeight="1" x14ac:dyDescent="0.25">
      <c r="A50" s="425" t="s">
        <v>890</v>
      </c>
      <c r="B50" s="417"/>
      <c r="C50" s="417"/>
      <c r="D50" s="5"/>
      <c r="E50" s="471">
        <v>0</v>
      </c>
      <c r="F50" s="471"/>
      <c r="G50" s="471"/>
      <c r="H50" s="60"/>
      <c r="I50" s="471">
        <v>0</v>
      </c>
      <c r="J50" s="471"/>
      <c r="K50" s="471"/>
      <c r="L50" s="57"/>
      <c r="M50" s="471">
        <v>0</v>
      </c>
      <c r="N50" s="471"/>
      <c r="O50" s="471"/>
      <c r="P50" s="57"/>
      <c r="Q50" s="57"/>
      <c r="R50" s="471">
        <v>0</v>
      </c>
      <c r="S50" s="471"/>
      <c r="T50" s="471"/>
      <c r="U50" s="471">
        <v>0</v>
      </c>
      <c r="V50" s="471"/>
      <c r="W50" s="471"/>
      <c r="X50" s="61"/>
      <c r="Y50" s="471">
        <v>0</v>
      </c>
      <c r="Z50" s="471"/>
      <c r="AA50" s="471"/>
      <c r="AB50" s="62"/>
      <c r="AC50" s="472" t="e">
        <f>(E50+I50*#REF!+U50+Y50)*#REF!</f>
        <v>#REF!</v>
      </c>
      <c r="AD50" s="472"/>
      <c r="AE50" s="472"/>
      <c r="AF50" s="22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4"/>
    </row>
    <row r="51" spans="1:62" ht="14.25" hidden="1" customHeight="1" x14ac:dyDescent="0.25">
      <c r="A51" s="425" t="s">
        <v>891</v>
      </c>
      <c r="B51" s="417"/>
      <c r="C51" s="417"/>
      <c r="D51" s="21"/>
      <c r="E51" s="471">
        <v>0</v>
      </c>
      <c r="F51" s="471"/>
      <c r="G51" s="471"/>
      <c r="H51" s="58"/>
      <c r="I51" s="471">
        <v>0</v>
      </c>
      <c r="J51" s="471"/>
      <c r="K51" s="471"/>
      <c r="L51" s="57"/>
      <c r="M51" s="471">
        <v>0</v>
      </c>
      <c r="N51" s="471"/>
      <c r="O51" s="471"/>
      <c r="P51" s="57"/>
      <c r="Q51" s="57"/>
      <c r="R51" s="471">
        <v>0</v>
      </c>
      <c r="S51" s="471"/>
      <c r="T51" s="471"/>
      <c r="U51" s="471">
        <v>0</v>
      </c>
      <c r="V51" s="471"/>
      <c r="W51" s="471"/>
      <c r="X51" s="58"/>
      <c r="Y51" s="471">
        <v>0</v>
      </c>
      <c r="Z51" s="471"/>
      <c r="AA51" s="471"/>
      <c r="AB51" s="59"/>
      <c r="AC51" s="472" t="e">
        <f>(E51+I51*#REF!+U51+Y51)*#REF!</f>
        <v>#REF!</v>
      </c>
      <c r="AD51" s="472"/>
      <c r="AE51" s="472"/>
      <c r="AF51" s="22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4"/>
    </row>
    <row r="52" spans="1:62" ht="14.25" hidden="1" customHeight="1" x14ac:dyDescent="0.25">
      <c r="A52" s="425" t="s">
        <v>892</v>
      </c>
      <c r="B52" s="417"/>
      <c r="C52" s="417"/>
      <c r="D52" s="21"/>
      <c r="E52" s="473">
        <v>0</v>
      </c>
      <c r="F52" s="473"/>
      <c r="G52" s="473"/>
      <c r="H52" s="63"/>
      <c r="I52" s="473">
        <v>0</v>
      </c>
      <c r="J52" s="473"/>
      <c r="K52" s="473"/>
      <c r="L52" s="63"/>
      <c r="M52" s="473">
        <v>0</v>
      </c>
      <c r="N52" s="473"/>
      <c r="O52" s="473"/>
      <c r="P52" s="63"/>
      <c r="Q52" s="63"/>
      <c r="R52" s="473">
        <v>0</v>
      </c>
      <c r="S52" s="473"/>
      <c r="T52" s="473"/>
      <c r="U52" s="473">
        <v>0</v>
      </c>
      <c r="V52" s="473"/>
      <c r="W52" s="473"/>
      <c r="X52" s="63"/>
      <c r="Y52" s="473">
        <v>0</v>
      </c>
      <c r="Z52" s="473"/>
      <c r="AA52" s="473"/>
      <c r="AB52" s="64"/>
      <c r="AC52" s="474" t="e">
        <f>(E52+I52*#REF!+U52+Y52)*#REF!</f>
        <v>#REF!</v>
      </c>
      <c r="AD52" s="474"/>
      <c r="AE52" s="474"/>
      <c r="AF52" s="22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4"/>
    </row>
    <row r="53" spans="1:62" ht="14.25" hidden="1" customHeight="1" x14ac:dyDescent="0.25">
      <c r="A53" s="425" t="s">
        <v>893</v>
      </c>
      <c r="B53" s="417"/>
      <c r="C53" s="417"/>
      <c r="D53" s="21"/>
      <c r="E53" s="475">
        <v>0</v>
      </c>
      <c r="F53" s="475"/>
      <c r="G53" s="475"/>
      <c r="H53" s="65"/>
      <c r="I53" s="475">
        <v>0</v>
      </c>
      <c r="J53" s="475"/>
      <c r="K53" s="475"/>
      <c r="L53" s="65"/>
      <c r="M53" s="475">
        <v>0</v>
      </c>
      <c r="N53" s="475"/>
      <c r="O53" s="475"/>
      <c r="P53" s="65"/>
      <c r="Q53" s="65"/>
      <c r="R53" s="475">
        <v>0</v>
      </c>
      <c r="S53" s="475"/>
      <c r="T53" s="475"/>
      <c r="U53" s="475">
        <v>0</v>
      </c>
      <c r="V53" s="475"/>
      <c r="W53" s="475"/>
      <c r="X53" s="65"/>
      <c r="Y53" s="475">
        <v>0</v>
      </c>
      <c r="Z53" s="475"/>
      <c r="AA53" s="475"/>
      <c r="AB53" s="66"/>
      <c r="AC53" s="476" t="e">
        <f>(E53+I53*#REF!+U53+Y53)*#REF!</f>
        <v>#REF!</v>
      </c>
      <c r="AD53" s="476"/>
      <c r="AE53" s="476"/>
      <c r="AF53" s="22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4"/>
    </row>
    <row r="54" spans="1:62" ht="14.25" hidden="1" customHeight="1" x14ac:dyDescent="0.25">
      <c r="A54" s="425" t="s">
        <v>894</v>
      </c>
      <c r="B54" s="417"/>
      <c r="C54" s="417"/>
      <c r="D54" s="21"/>
      <c r="E54" s="477">
        <v>0</v>
      </c>
      <c r="F54" s="477"/>
      <c r="G54" s="477"/>
      <c r="H54" s="67"/>
      <c r="I54" s="477">
        <v>0</v>
      </c>
      <c r="J54" s="477"/>
      <c r="K54" s="477"/>
      <c r="L54" s="67"/>
      <c r="M54" s="477">
        <v>0</v>
      </c>
      <c r="N54" s="477"/>
      <c r="O54" s="477"/>
      <c r="P54" s="67"/>
      <c r="Q54" s="67"/>
      <c r="R54" s="477">
        <v>0</v>
      </c>
      <c r="S54" s="477"/>
      <c r="T54" s="477"/>
      <c r="U54" s="477">
        <v>0</v>
      </c>
      <c r="V54" s="477"/>
      <c r="W54" s="477"/>
      <c r="X54" s="67"/>
      <c r="Y54" s="477">
        <v>0</v>
      </c>
      <c r="Z54" s="477"/>
      <c r="AA54" s="477"/>
      <c r="AB54" s="68"/>
      <c r="AC54" s="478" t="e">
        <f>(E54+I54*#REF!+U54+Y54)*#REF!</f>
        <v>#REF!</v>
      </c>
      <c r="AD54" s="478"/>
      <c r="AE54" s="478"/>
      <c r="AF54" s="22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4"/>
    </row>
    <row r="55" spans="1:62" ht="14.25" hidden="1" customHeight="1" x14ac:dyDescent="0.25">
      <c r="A55" s="425" t="s">
        <v>895</v>
      </c>
      <c r="B55" s="417"/>
      <c r="C55" s="417"/>
      <c r="D55" s="21"/>
      <c r="E55" s="483">
        <f>E52+E53/$AI$16+E54*$AI$18</f>
        <v>0</v>
      </c>
      <c r="F55" s="473"/>
      <c r="G55" s="473"/>
      <c r="H55" s="67"/>
      <c r="I55" s="473">
        <f>I52+I53/$AI$16+I54*$AI$18</f>
        <v>0</v>
      </c>
      <c r="J55" s="473"/>
      <c r="K55" s="473"/>
      <c r="L55" s="63"/>
      <c r="M55" s="473">
        <f>M52+M53/$AI$16+M54*$AI$18</f>
        <v>0</v>
      </c>
      <c r="N55" s="473"/>
      <c r="O55" s="473"/>
      <c r="P55" s="63"/>
      <c r="Q55" s="63"/>
      <c r="R55" s="473">
        <f>R52+R53/$AI$16+R54*$AI$18</f>
        <v>0</v>
      </c>
      <c r="S55" s="473"/>
      <c r="T55" s="473"/>
      <c r="U55" s="473">
        <f>U52+U53/$AI$16+U54*$AI$18</f>
        <v>0</v>
      </c>
      <c r="V55" s="473"/>
      <c r="W55" s="473"/>
      <c r="X55" s="67"/>
      <c r="Y55" s="473">
        <f>Y52+Y53/$AI$16+Y54*$AI$18</f>
        <v>0</v>
      </c>
      <c r="Z55" s="473"/>
      <c r="AA55" s="473"/>
      <c r="AB55" s="68"/>
      <c r="AC55" s="480" t="e">
        <f>(E55+I55*#REF!+U55+Y55)*#REF!</f>
        <v>#REF!</v>
      </c>
      <c r="AD55" s="480"/>
      <c r="AE55" s="480"/>
      <c r="AF55" s="22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4"/>
    </row>
    <row r="56" spans="1:62" ht="14.25" hidden="1" customHeight="1" x14ac:dyDescent="0.25">
      <c r="A56" s="425" t="s">
        <v>896</v>
      </c>
      <c r="B56" s="417"/>
      <c r="C56" s="417"/>
      <c r="D56" s="21"/>
      <c r="E56" s="481">
        <v>0</v>
      </c>
      <c r="F56" s="481"/>
      <c r="G56" s="481"/>
      <c r="H56" s="70"/>
      <c r="I56" s="481">
        <v>0</v>
      </c>
      <c r="J56" s="481"/>
      <c r="K56" s="481"/>
      <c r="L56" s="69"/>
      <c r="M56" s="481">
        <v>0</v>
      </c>
      <c r="N56" s="481"/>
      <c r="O56" s="481"/>
      <c r="P56" s="69"/>
      <c r="Q56" s="69"/>
      <c r="R56" s="481">
        <v>0</v>
      </c>
      <c r="S56" s="481"/>
      <c r="T56" s="481"/>
      <c r="U56" s="481">
        <v>0</v>
      </c>
      <c r="V56" s="481"/>
      <c r="W56" s="481"/>
      <c r="X56" s="71"/>
      <c r="Y56" s="481">
        <v>0</v>
      </c>
      <c r="Z56" s="481"/>
      <c r="AA56" s="481"/>
      <c r="AB56" s="72"/>
      <c r="AC56" s="482" t="e">
        <f>Y56+U56+(#REF!*I56)+E56</f>
        <v>#REF!</v>
      </c>
      <c r="AD56" s="482"/>
      <c r="AE56" s="482"/>
      <c r="AF56" s="22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4"/>
    </row>
    <row r="57" spans="1:62" ht="14.25" hidden="1" customHeight="1" x14ac:dyDescent="0.25">
      <c r="A57" s="425" t="s">
        <v>897</v>
      </c>
      <c r="B57" s="417"/>
      <c r="C57" s="417"/>
      <c r="D57" s="21"/>
      <c r="E57" s="479"/>
      <c r="F57" s="479"/>
      <c r="G57" s="479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2"/>
      <c r="AD57" s="22"/>
      <c r="AE57" s="22"/>
      <c r="AF57" s="22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4"/>
    </row>
    <row r="58" spans="1:62" ht="14.25" hidden="1" customHeight="1" x14ac:dyDescent="0.25">
      <c r="A58" s="425" t="s">
        <v>898</v>
      </c>
      <c r="B58" s="417"/>
      <c r="C58" s="417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2"/>
      <c r="AD58" s="22"/>
      <c r="AE58" s="22"/>
      <c r="AF58" s="22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4"/>
    </row>
    <row r="59" spans="1:62" ht="14.25" hidden="1" customHeight="1" x14ac:dyDescent="0.25">
      <c r="A59" s="425" t="s">
        <v>899</v>
      </c>
      <c r="B59" s="417"/>
      <c r="C59" s="417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2"/>
      <c r="AD59" s="22"/>
      <c r="AE59" s="22"/>
      <c r="AF59" s="22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4"/>
    </row>
    <row r="60" spans="1:62" ht="14.25" hidden="1" customHeight="1" x14ac:dyDescent="0.25">
      <c r="A60" s="425" t="s">
        <v>900</v>
      </c>
      <c r="B60" s="417"/>
      <c r="C60" s="417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2"/>
      <c r="AD60" s="22"/>
      <c r="AE60" s="22"/>
      <c r="AF60" s="22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4"/>
    </row>
    <row r="61" spans="1:62" ht="14.25" hidden="1" customHeight="1" x14ac:dyDescent="0.25">
      <c r="A61" s="425"/>
      <c r="B61" s="417"/>
      <c r="C61" s="417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2"/>
      <c r="AD61" s="22"/>
      <c r="AE61" s="22"/>
      <c r="AF61" s="22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4"/>
    </row>
    <row r="62" spans="1:62" ht="15" customHeight="1" x14ac:dyDescent="0.25">
      <c r="A62" s="438" t="s">
        <v>901</v>
      </c>
      <c r="B62" s="438"/>
      <c r="C62" s="438"/>
      <c r="D62" s="438"/>
      <c r="E62" s="438"/>
      <c r="F62" s="438"/>
      <c r="G62" s="438"/>
      <c r="H62" s="438"/>
      <c r="I62" s="438"/>
      <c r="J62" s="438"/>
      <c r="K62" s="438"/>
      <c r="L62" s="438"/>
      <c r="M62" s="438"/>
      <c r="N62" s="438"/>
      <c r="O62" s="438"/>
      <c r="P62" s="438"/>
      <c r="Q62" s="438"/>
      <c r="R62" s="438"/>
      <c r="S62" s="438"/>
      <c r="T62" s="438"/>
      <c r="U62" s="438"/>
      <c r="V62" s="438"/>
      <c r="W62" s="438"/>
      <c r="X62" s="438"/>
      <c r="Y62" s="438"/>
      <c r="Z62" s="438"/>
      <c r="AA62" s="438"/>
      <c r="AB62" s="438"/>
      <c r="AC62" s="438"/>
      <c r="AD62" s="438"/>
      <c r="AE62" s="438"/>
      <c r="AF62" s="22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4"/>
    </row>
    <row r="63" spans="1:62" ht="3" customHeight="1" x14ac:dyDescent="0.25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2"/>
      <c r="AD63" s="22"/>
      <c r="AE63" s="22"/>
      <c r="AF63" s="22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4"/>
    </row>
    <row r="64" spans="1:62" x14ac:dyDescent="0.25">
      <c r="A64" s="21"/>
      <c r="B64" s="21"/>
      <c r="C64" s="21"/>
      <c r="D64" s="5"/>
      <c r="E64" s="461" t="s">
        <v>902</v>
      </c>
      <c r="F64" s="461"/>
      <c r="G64" s="461"/>
      <c r="H64" s="16"/>
      <c r="I64" s="461" t="s">
        <v>903</v>
      </c>
      <c r="J64" s="461"/>
      <c r="K64" s="461"/>
      <c r="L64" s="41"/>
      <c r="M64" s="461" t="s">
        <v>904</v>
      </c>
      <c r="N64" s="461"/>
      <c r="O64" s="461"/>
      <c r="P64" s="21"/>
      <c r="Q64" s="461" t="s">
        <v>905</v>
      </c>
      <c r="R64" s="461"/>
      <c r="S64" s="461"/>
      <c r="T64" s="16"/>
      <c r="U64" s="461" t="s">
        <v>906</v>
      </c>
      <c r="V64" s="461"/>
      <c r="W64" s="461"/>
      <c r="X64" s="21"/>
      <c r="Y64" s="461" t="s">
        <v>907</v>
      </c>
      <c r="Z64" s="461"/>
      <c r="AA64" s="461"/>
      <c r="AB64" s="1"/>
      <c r="AC64" s="461" t="s">
        <v>868</v>
      </c>
      <c r="AD64" s="461"/>
      <c r="AE64" s="461"/>
      <c r="AF64" s="22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4"/>
    </row>
    <row r="65" spans="1:62" ht="3" customHeight="1" x14ac:dyDescent="0.25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431"/>
      <c r="V65" s="431"/>
      <c r="W65" s="431"/>
      <c r="X65" s="21"/>
      <c r="Y65" s="21"/>
      <c r="Z65" s="21"/>
      <c r="AA65" s="21"/>
      <c r="AB65" s="21"/>
      <c r="AC65" s="22"/>
      <c r="AD65" s="22"/>
      <c r="AE65" s="22"/>
      <c r="AF65" s="22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4"/>
    </row>
    <row r="66" spans="1:62" ht="14.25" customHeight="1" x14ac:dyDescent="0.25">
      <c r="A66" s="417" t="s">
        <v>908</v>
      </c>
      <c r="B66" s="417"/>
      <c r="C66" s="417"/>
      <c r="D66" s="73"/>
      <c r="E66" s="462" t="str">
        <f>IF(E$31=0,"",E$31)</f>
        <v>CP4I07</v>
      </c>
      <c r="F66" s="462"/>
      <c r="G66" s="462"/>
      <c r="H66" s="1"/>
      <c r="I66" s="462" t="str">
        <f>IF(I$31=0,"",I$31)</f>
        <v>CP4F08</v>
      </c>
      <c r="J66" s="462"/>
      <c r="K66" s="462"/>
      <c r="L66" s="1"/>
      <c r="M66" s="462" t="str">
        <f>IF(M$31=0,"",M$31)</f>
        <v/>
      </c>
      <c r="N66" s="462"/>
      <c r="O66" s="462"/>
      <c r="P66" s="1"/>
      <c r="Q66" s="462" t="str">
        <f>IF(Q$31=0,"",Q$31)</f>
        <v/>
      </c>
      <c r="R66" s="462"/>
      <c r="S66" s="462"/>
      <c r="T66" s="1"/>
      <c r="U66" s="462" t="str">
        <f>IF(U$31=0,"",U$31)</f>
        <v/>
      </c>
      <c r="V66" s="462"/>
      <c r="W66" s="462"/>
      <c r="X66" s="1"/>
      <c r="Y66" s="462" t="str">
        <f>IF(Y$31=0,"",Y$31)</f>
        <v/>
      </c>
      <c r="Z66" s="462"/>
      <c r="AA66" s="462"/>
      <c r="AB66" s="21"/>
      <c r="AC66" s="22"/>
      <c r="AD66" s="22"/>
      <c r="AE66" s="22"/>
      <c r="AF66" s="22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4"/>
    </row>
    <row r="67" spans="1:62" ht="14.25" customHeight="1" x14ac:dyDescent="0.25">
      <c r="A67" s="417" t="s">
        <v>909</v>
      </c>
      <c r="B67" s="417"/>
      <c r="C67" s="417"/>
      <c r="D67" s="5"/>
      <c r="E67" s="484" t="str">
        <f>IF(E$32=0,"","("&amp;E$32&amp;") "&amp;E$33)</f>
        <v>(1) 0</v>
      </c>
      <c r="F67" s="484"/>
      <c r="G67" s="484"/>
      <c r="H67" s="75"/>
      <c r="I67" s="484" t="str">
        <f>IF(I$32=0,"","("&amp;I$32&amp;") "&amp;I$33)</f>
        <v xml:space="preserve">(1) </v>
      </c>
      <c r="J67" s="484"/>
      <c r="K67" s="484"/>
      <c r="L67" s="74"/>
      <c r="M67" s="484" t="str">
        <f>IF(M$32=0,"","("&amp;M$32&amp;") "&amp;M$33)</f>
        <v xml:space="preserve">() </v>
      </c>
      <c r="N67" s="484"/>
      <c r="O67" s="484"/>
      <c r="P67" s="74"/>
      <c r="Q67" s="484" t="str">
        <f>IF(Q$32=0,"","("&amp;Q$32&amp;") "&amp;Q$33)</f>
        <v xml:space="preserve">() </v>
      </c>
      <c r="R67" s="484"/>
      <c r="S67" s="484"/>
      <c r="T67" s="76"/>
      <c r="U67" s="484" t="str">
        <f>IF(U$32=0,"","("&amp;U$32&amp;") "&amp;U$33)</f>
        <v xml:space="preserve">() </v>
      </c>
      <c r="V67" s="484"/>
      <c r="W67" s="484"/>
      <c r="X67" s="77"/>
      <c r="Y67" s="484" t="str">
        <f>IF(Y$32=0,"","("&amp;Y$32&amp;") "&amp;Y$33)</f>
        <v xml:space="preserve">() </v>
      </c>
      <c r="Z67" s="484"/>
      <c r="AA67" s="484"/>
      <c r="AB67" s="1"/>
      <c r="AC67" s="431"/>
      <c r="AD67" s="431"/>
      <c r="AE67" s="431"/>
      <c r="AF67" s="22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4"/>
    </row>
    <row r="68" spans="1:62" ht="14.25" customHeight="1" x14ac:dyDescent="0.25">
      <c r="A68" s="417" t="s">
        <v>910</v>
      </c>
      <c r="B68" s="417"/>
      <c r="C68" s="417"/>
      <c r="D68" s="5"/>
      <c r="E68" s="484" t="str">
        <f>IF(E$34=0,"","("&amp;E$34&amp;") "&amp;E$35)</f>
        <v xml:space="preserve">() </v>
      </c>
      <c r="F68" s="484"/>
      <c r="G68" s="484"/>
      <c r="H68" s="73"/>
      <c r="I68" s="484" t="str">
        <f>IF(I$34="","","("&amp;I$34&amp;") "&amp;I$35)</f>
        <v/>
      </c>
      <c r="J68" s="484"/>
      <c r="K68" s="484"/>
      <c r="L68" s="78"/>
      <c r="M68" s="484" t="str">
        <f>IF(M$34="","","("&amp;M$34&amp;") "&amp;M$35)</f>
        <v/>
      </c>
      <c r="N68" s="484"/>
      <c r="O68" s="484"/>
      <c r="P68" s="78"/>
      <c r="Q68" s="484" t="str">
        <f>IF(Q$34="","","("&amp;Q$34&amp;") "&amp;Q$35)</f>
        <v/>
      </c>
      <c r="R68" s="484"/>
      <c r="S68" s="484"/>
      <c r="T68" s="79"/>
      <c r="U68" s="484" t="str">
        <f>IF(U$34="","","("&amp;U$34&amp;") "&amp;U$35)</f>
        <v/>
      </c>
      <c r="V68" s="484"/>
      <c r="W68" s="484"/>
      <c r="X68" s="77"/>
      <c r="Y68" s="484" t="str">
        <f>IF(Y$34="","","("&amp;Y$34&amp;") "&amp;Y$35)</f>
        <v/>
      </c>
      <c r="Z68" s="484"/>
      <c r="AA68" s="484"/>
      <c r="AB68" s="1"/>
      <c r="AC68" s="5"/>
      <c r="AD68" s="5"/>
      <c r="AE68" s="5"/>
      <c r="AF68" s="22"/>
      <c r="AG68" s="23"/>
      <c r="AH68" s="23"/>
      <c r="AI68" s="23" t="s">
        <v>911</v>
      </c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4"/>
    </row>
    <row r="69" spans="1:62" ht="14.25" customHeight="1" x14ac:dyDescent="0.25">
      <c r="A69" s="417" t="s">
        <v>912</v>
      </c>
      <c r="B69" s="417"/>
      <c r="C69" s="417"/>
      <c r="D69" s="73"/>
      <c r="E69" s="485" t="e">
        <v>#N/A</v>
      </c>
      <c r="F69" s="485"/>
      <c r="G69" s="80" t="s">
        <v>849</v>
      </c>
      <c r="H69" s="21"/>
      <c r="I69" s="485" t="s">
        <v>913</v>
      </c>
      <c r="J69" s="485"/>
      <c r="K69" s="80" t="s">
        <v>849</v>
      </c>
      <c r="L69" s="56"/>
      <c r="M69" s="485" t="s">
        <v>849</v>
      </c>
      <c r="N69" s="485"/>
      <c r="O69" s="80" t="s">
        <v>849</v>
      </c>
      <c r="P69" s="56"/>
      <c r="Q69" s="485" t="s">
        <v>849</v>
      </c>
      <c r="R69" s="485"/>
      <c r="S69" s="80" t="s">
        <v>849</v>
      </c>
      <c r="T69" s="81"/>
      <c r="U69" s="485" t="s">
        <v>849</v>
      </c>
      <c r="V69" s="485"/>
      <c r="W69" s="80" t="s">
        <v>849</v>
      </c>
      <c r="X69" s="42"/>
      <c r="Y69" s="485" t="s">
        <v>849</v>
      </c>
      <c r="Z69" s="485"/>
      <c r="AA69" s="80" t="s">
        <v>849</v>
      </c>
      <c r="AB69" s="81"/>
      <c r="AC69" s="486"/>
      <c r="AD69" s="486"/>
      <c r="AE69" s="486"/>
      <c r="AF69" s="22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4"/>
    </row>
    <row r="70" spans="1:62" ht="14.25" customHeight="1" thickBot="1" x14ac:dyDescent="0.3">
      <c r="A70" s="417" t="s">
        <v>914</v>
      </c>
      <c r="B70" s="417"/>
      <c r="C70" s="417"/>
      <c r="D70" s="50"/>
      <c r="E70" s="484" t="str">
        <f>IF(E$38=0,"","("&amp;E$38&amp;") "&amp;LEFT(E$39,16))</f>
        <v>(1) SW1948-16T</v>
      </c>
      <c r="F70" s="484"/>
      <c r="G70" s="484"/>
      <c r="H70" s="21"/>
      <c r="I70" s="484" t="str">
        <f>IF(I$38=0,"","("&amp;I$38&amp;") "&amp;LEFT(I$39,16))</f>
        <v>(1) SW1948-16T</v>
      </c>
      <c r="J70" s="484"/>
      <c r="K70" s="484"/>
      <c r="L70" s="35"/>
      <c r="M70" s="484" t="str">
        <f>IF(M$38=0,"","("&amp;M$38&amp;") "&amp;LEFT(M$39,16))</f>
        <v xml:space="preserve">() </v>
      </c>
      <c r="N70" s="484"/>
      <c r="O70" s="484"/>
      <c r="P70" s="35"/>
      <c r="Q70" s="484" t="str">
        <f>IF(Q$38=0,"","("&amp;Q$38&amp;") "&amp;LEFT(Q$39,16))</f>
        <v xml:space="preserve">() </v>
      </c>
      <c r="R70" s="484"/>
      <c r="S70" s="484"/>
      <c r="T70" s="1"/>
      <c r="U70" s="484" t="str">
        <f>IF(U$38=0,"","("&amp;U$38&amp;") "&amp;LEFT(U$39,16))</f>
        <v xml:space="preserve">() </v>
      </c>
      <c r="V70" s="484"/>
      <c r="W70" s="484"/>
      <c r="X70" s="42"/>
      <c r="Y70" s="484" t="str">
        <f>IF(Y$38=0,"","("&amp;Y$38&amp;") "&amp;LEFT(Y$39,16))</f>
        <v xml:space="preserve">() </v>
      </c>
      <c r="Z70" s="484"/>
      <c r="AA70" s="484"/>
      <c r="AB70" s="1"/>
      <c r="AC70" s="431"/>
      <c r="AD70" s="431"/>
      <c r="AE70" s="431"/>
      <c r="AF70" s="5"/>
      <c r="AG70" s="24"/>
      <c r="AH70" s="24"/>
      <c r="AI70" s="24"/>
      <c r="AJ70" s="24"/>
      <c r="AK70" s="24"/>
      <c r="AL70" s="24"/>
      <c r="AM70" s="24"/>
      <c r="AN70" s="83"/>
      <c r="AO70" s="83"/>
      <c r="AP70" s="83"/>
      <c r="AQ70" s="83"/>
      <c r="AR70" s="83"/>
      <c r="AS70" s="84"/>
      <c r="AT70" s="83"/>
      <c r="AU70" s="83"/>
      <c r="AV70" s="83"/>
      <c r="AW70" s="83"/>
      <c r="AX70" s="83"/>
      <c r="AY70" s="83"/>
      <c r="AZ70" s="83"/>
      <c r="BA70" s="83"/>
      <c r="BB70" s="84"/>
      <c r="BC70" s="83"/>
      <c r="BD70" s="83"/>
      <c r="BE70" s="83"/>
      <c r="BF70" s="83"/>
      <c r="BG70" s="83"/>
      <c r="BH70" s="83"/>
      <c r="BI70" s="83"/>
      <c r="BJ70" s="83"/>
    </row>
    <row r="71" spans="1:62" ht="14.25" customHeight="1" thickTop="1" x14ac:dyDescent="0.25">
      <c r="A71" s="417" t="s">
        <v>915</v>
      </c>
      <c r="B71" s="417"/>
      <c r="C71" s="417"/>
      <c r="D71" s="50"/>
      <c r="E71" s="484" t="str">
        <f>IF(E$41=0,"","("&amp;E$41&amp;") "&amp;LEFT(E$42,18))</f>
        <v>(1) ZN071-ZIL.GL.V7P4</v>
      </c>
      <c r="F71" s="484"/>
      <c r="G71" s="484"/>
      <c r="H71" s="21"/>
      <c r="I71" s="484" t="str">
        <f>IF(I$41=0,"","("&amp;I$41&amp;") "&amp;LEFT(I$42,18))</f>
        <v>(1) ZN071-ZIL.GL.V7P4</v>
      </c>
      <c r="J71" s="484"/>
      <c r="K71" s="484"/>
      <c r="L71" s="35"/>
      <c r="M71" s="484" t="str">
        <f>IF(M$41=0,"","("&amp;M$41&amp;") "&amp;LEFT(M$42,18))</f>
        <v xml:space="preserve">() </v>
      </c>
      <c r="N71" s="484"/>
      <c r="O71" s="484"/>
      <c r="P71" s="35"/>
      <c r="Q71" s="484" t="str">
        <f>IF(Q$41=0,"","("&amp;Q$41&amp;") "&amp;LEFT(Q$42,18))</f>
        <v xml:space="preserve">() </v>
      </c>
      <c r="R71" s="484"/>
      <c r="S71" s="484"/>
      <c r="T71" s="1"/>
      <c r="U71" s="484" t="str">
        <f>IF(U$41=0,"","("&amp;U$41&amp;") "&amp;LEFT(U$42,18))</f>
        <v xml:space="preserve">() </v>
      </c>
      <c r="V71" s="484"/>
      <c r="W71" s="484"/>
      <c r="X71" s="42"/>
      <c r="Y71" s="484" t="str">
        <f>IF(Y$41=0,"","("&amp;Y$41&amp;") "&amp;LEFT(Y$42,18))</f>
        <v xml:space="preserve">() </v>
      </c>
      <c r="Z71" s="484"/>
      <c r="AA71" s="484"/>
      <c r="AB71" s="1"/>
      <c r="AC71" s="487" t="str">
        <f>"("&amp;SUM(E41:AA41)&amp;") "&amp;LEFT($E$42,18)</f>
        <v>(2) ZN071-ZIL.GL.V7P4</v>
      </c>
      <c r="AD71" s="487"/>
      <c r="AE71" s="487"/>
      <c r="AF71" s="5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85"/>
      <c r="AT71" s="24"/>
      <c r="AU71" s="24"/>
      <c r="AV71" s="24"/>
      <c r="AW71" s="24"/>
      <c r="AX71" s="24"/>
      <c r="AY71" s="24"/>
      <c r="AZ71" s="24"/>
      <c r="BA71" s="24"/>
      <c r="BB71" s="85"/>
      <c r="BC71" s="24"/>
      <c r="BD71" s="24"/>
      <c r="BE71" s="24"/>
      <c r="BF71" s="24"/>
      <c r="BG71" s="24"/>
      <c r="BH71" s="24"/>
      <c r="BI71" s="24"/>
      <c r="BJ71" s="24"/>
    </row>
    <row r="72" spans="1:62" ht="14.25" customHeight="1" x14ac:dyDescent="0.25">
      <c r="A72" s="417" t="s">
        <v>916</v>
      </c>
      <c r="B72" s="417"/>
      <c r="C72" s="417"/>
      <c r="D72" s="50"/>
      <c r="E72" s="488">
        <f>IF(E$40=0,"",E$40)</f>
        <v>11000</v>
      </c>
      <c r="F72" s="488"/>
      <c r="G72" s="488"/>
      <c r="H72" s="21"/>
      <c r="I72" s="488">
        <f>IF(I$40=0,"",I$40)</f>
        <v>11000</v>
      </c>
      <c r="J72" s="488"/>
      <c r="K72" s="488"/>
      <c r="L72" s="35"/>
      <c r="M72" s="488" t="str">
        <f>IF(M$40=0,"",M$40)</f>
        <v/>
      </c>
      <c r="N72" s="488"/>
      <c r="O72" s="488"/>
      <c r="P72" s="35"/>
      <c r="Q72" s="488" t="str">
        <f>IF(Q$40=0,"",Q$40)</f>
        <v/>
      </c>
      <c r="R72" s="488"/>
      <c r="S72" s="488"/>
      <c r="T72" s="1"/>
      <c r="U72" s="488" t="str">
        <f>IF(U$40=0,"",U$40)</f>
        <v/>
      </c>
      <c r="V72" s="488"/>
      <c r="W72" s="488"/>
      <c r="X72" s="42"/>
      <c r="Y72" s="488" t="str">
        <f>IF(Y$40=0,"",Y$40)</f>
        <v/>
      </c>
      <c r="Z72" s="488"/>
      <c r="AA72" s="488"/>
      <c r="AB72" s="1"/>
      <c r="AC72" s="431"/>
      <c r="AD72" s="431"/>
      <c r="AE72" s="431"/>
      <c r="AF72" s="86"/>
      <c r="AJ72" s="23"/>
      <c r="AK72" s="87"/>
      <c r="AL72" s="87"/>
      <c r="AM72" s="87"/>
      <c r="AN72" s="87"/>
      <c r="AO72" s="87"/>
      <c r="AP72" s="87"/>
      <c r="AQ72" s="87"/>
      <c r="AR72" s="87"/>
      <c r="AS72" s="88"/>
      <c r="AT72" s="87"/>
      <c r="AU72" s="87"/>
      <c r="AV72" s="87"/>
      <c r="AW72" s="87"/>
      <c r="AX72" s="87"/>
      <c r="AY72" s="87"/>
      <c r="AZ72" s="87"/>
      <c r="BA72" s="87"/>
      <c r="BB72" s="88"/>
      <c r="BC72" s="87"/>
      <c r="BD72" s="87"/>
      <c r="BE72" s="87"/>
      <c r="BF72" s="87"/>
      <c r="BG72" s="87"/>
      <c r="BH72" s="87"/>
      <c r="BI72" s="87"/>
      <c r="BJ72" s="87"/>
    </row>
    <row r="73" spans="1:62" ht="14.25" customHeight="1" x14ac:dyDescent="0.25">
      <c r="A73" s="417" t="s">
        <v>917</v>
      </c>
      <c r="B73" s="417"/>
      <c r="C73" s="417"/>
      <c r="D73" s="50"/>
      <c r="E73" s="489"/>
      <c r="F73" s="489"/>
      <c r="G73" s="489"/>
      <c r="H73" s="55"/>
      <c r="I73" s="489"/>
      <c r="J73" s="489"/>
      <c r="K73" s="489"/>
      <c r="L73" s="56"/>
      <c r="M73" s="489"/>
      <c r="N73" s="489"/>
      <c r="O73" s="489"/>
      <c r="P73" s="56"/>
      <c r="Q73" s="489"/>
      <c r="R73" s="489"/>
      <c r="S73" s="489"/>
      <c r="T73" s="81"/>
      <c r="U73" s="489"/>
      <c r="V73" s="489"/>
      <c r="W73" s="489"/>
      <c r="X73" s="89"/>
      <c r="Y73" s="489"/>
      <c r="Z73" s="489"/>
      <c r="AA73" s="489"/>
      <c r="AB73" s="1"/>
      <c r="AC73" s="486"/>
      <c r="AD73" s="486"/>
      <c r="AE73" s="486"/>
      <c r="AF73" s="86"/>
      <c r="AG73" s="87"/>
      <c r="AH73" s="87"/>
      <c r="AI73" s="87"/>
      <c r="AJ73" s="23"/>
      <c r="AK73" s="87" t="e" cm="1">
        <f t="array" aca="1" ref="AK73" ca="1">REFV("YAV0961E-7E9",6000,45,120,20)</f>
        <v>#NAME?</v>
      </c>
      <c r="AL73" s="87"/>
      <c r="AM73" s="87"/>
      <c r="AN73" s="87"/>
      <c r="AO73" s="87"/>
      <c r="AP73" s="87"/>
      <c r="AQ73" s="87"/>
      <c r="AR73" s="87"/>
      <c r="AS73" s="88"/>
      <c r="AT73" s="87"/>
      <c r="AU73" s="87"/>
      <c r="AV73" s="87"/>
      <c r="AW73" s="87"/>
      <c r="AX73" s="87"/>
      <c r="AY73" s="87"/>
      <c r="AZ73" s="87"/>
      <c r="BA73" s="87"/>
      <c r="BB73" s="88"/>
      <c r="BC73" s="87"/>
      <c r="BD73" s="87"/>
      <c r="BE73" s="87"/>
      <c r="BF73" s="87"/>
      <c r="BG73" s="87"/>
      <c r="BH73" s="87"/>
      <c r="BI73" s="87"/>
      <c r="BJ73" s="87"/>
    </row>
    <row r="74" spans="1:62" ht="14.25" customHeight="1" x14ac:dyDescent="0.25">
      <c r="A74" s="417" t="s">
        <v>918</v>
      </c>
      <c r="B74" s="417"/>
      <c r="C74" s="417"/>
      <c r="D74" s="490" t="e">
        <v>#N/A</v>
      </c>
      <c r="E74" s="490"/>
      <c r="F74" s="490"/>
      <c r="G74" s="490"/>
      <c r="H74" s="490"/>
      <c r="I74" s="490"/>
      <c r="J74" s="490"/>
      <c r="K74" s="490"/>
      <c r="L74" s="490"/>
      <c r="M74" s="490"/>
      <c r="N74" s="490"/>
      <c r="O74" s="490"/>
      <c r="P74" s="490"/>
      <c r="Q74" s="490"/>
      <c r="R74" s="490"/>
      <c r="S74" s="490"/>
      <c r="T74" s="490"/>
      <c r="U74" s="490"/>
      <c r="V74" s="490"/>
      <c r="W74" s="490"/>
      <c r="X74" s="490"/>
      <c r="Y74" s="490"/>
      <c r="Z74" s="490"/>
      <c r="AA74" s="490"/>
      <c r="AB74" s="490"/>
      <c r="AC74" s="490"/>
      <c r="AD74" s="490"/>
      <c r="AE74" s="490"/>
      <c r="AF74" s="86"/>
      <c r="AG74" s="87"/>
      <c r="AH74" s="87"/>
      <c r="AI74" s="87"/>
      <c r="AJ74" s="23"/>
      <c r="AK74" s="87"/>
      <c r="AL74" s="87"/>
      <c r="AM74" s="87"/>
      <c r="AN74" s="87"/>
      <c r="AO74" s="87"/>
      <c r="AP74" s="87"/>
      <c r="AQ74" s="87"/>
      <c r="AR74" s="87"/>
      <c r="AS74" s="88"/>
      <c r="AT74" s="87"/>
      <c r="AU74" s="87"/>
      <c r="AV74" s="87"/>
      <c r="AW74" s="87"/>
      <c r="AX74" s="87"/>
      <c r="AY74" s="87"/>
      <c r="AZ74" s="87"/>
      <c r="BA74" s="87"/>
      <c r="BB74" s="88"/>
      <c r="BC74" s="87"/>
      <c r="BD74" s="87"/>
      <c r="BE74" s="87"/>
      <c r="BF74" s="87"/>
      <c r="BG74" s="87"/>
      <c r="BH74" s="87"/>
      <c r="BI74" s="87"/>
      <c r="BJ74" s="87"/>
    </row>
    <row r="75" spans="1:62" ht="14.25" customHeight="1" x14ac:dyDescent="0.25">
      <c r="A75" s="417" t="s">
        <v>919</v>
      </c>
      <c r="B75" s="417"/>
      <c r="C75" s="417"/>
      <c r="D75" s="490" t="e">
        <v>#N/A</v>
      </c>
      <c r="E75" s="490"/>
      <c r="F75" s="490"/>
      <c r="G75" s="490"/>
      <c r="H75" s="490"/>
      <c r="I75" s="490"/>
      <c r="J75" s="490"/>
      <c r="K75" s="490"/>
      <c r="L75" s="490"/>
      <c r="M75" s="490"/>
      <c r="N75" s="490"/>
      <c r="O75" s="490"/>
      <c r="P75" s="490"/>
      <c r="Q75" s="490"/>
      <c r="R75" s="490"/>
      <c r="S75" s="490"/>
      <c r="T75" s="490"/>
      <c r="U75" s="490"/>
      <c r="V75" s="490"/>
      <c r="W75" s="490"/>
      <c r="X75" s="490"/>
      <c r="Y75" s="490"/>
      <c r="Z75" s="490"/>
      <c r="AA75" s="490"/>
      <c r="AB75" s="490"/>
      <c r="AC75" s="490"/>
      <c r="AD75" s="490"/>
      <c r="AE75" s="490"/>
      <c r="AF75" s="90"/>
      <c r="AG75" s="87"/>
      <c r="AH75" s="87"/>
      <c r="AI75" s="87"/>
      <c r="AJ75" s="23"/>
      <c r="AK75" s="87" t="e" cm="1">
        <f t="array" aca="1" ref="AK75" ca="1">CAPV("YAV`0961E-7E9",6000,45,120,20,15)</f>
        <v>#NAME?</v>
      </c>
      <c r="AL75" s="87"/>
      <c r="AM75" s="87"/>
      <c r="AN75" s="87"/>
      <c r="AO75" s="87"/>
      <c r="AP75" s="87"/>
      <c r="AQ75" s="87"/>
      <c r="AR75" s="87"/>
      <c r="AS75" s="88"/>
      <c r="AT75" s="87"/>
      <c r="AU75" s="87"/>
      <c r="AV75" s="87"/>
      <c r="AW75" s="87"/>
      <c r="AX75" s="87"/>
      <c r="AY75" s="87"/>
      <c r="AZ75" s="87"/>
      <c r="BA75" s="87"/>
      <c r="BB75" s="88"/>
      <c r="BC75" s="87"/>
      <c r="BD75" s="87"/>
      <c r="BE75" s="87"/>
      <c r="BF75" s="87"/>
      <c r="BG75" s="87"/>
      <c r="BH75" s="87"/>
      <c r="BI75" s="87"/>
      <c r="BJ75" s="87"/>
    </row>
    <row r="76" spans="1:62" ht="14.25" customHeight="1" x14ac:dyDescent="0.25">
      <c r="A76" s="417" t="str">
        <f>C8&amp;" MCA"</f>
        <v>RTU MCA</v>
      </c>
      <c r="B76" s="417"/>
      <c r="C76" s="417"/>
      <c r="AG76" s="87"/>
      <c r="AH76" s="87"/>
      <c r="AI76" s="87"/>
      <c r="AJ76" s="23"/>
      <c r="AK76" s="87"/>
      <c r="AL76" s="87"/>
      <c r="AM76" s="87"/>
      <c r="AN76" s="87"/>
      <c r="AO76" s="87"/>
      <c r="AP76" s="87"/>
      <c r="AQ76" s="87"/>
      <c r="AR76" s="87"/>
      <c r="AS76" s="88"/>
      <c r="AT76" s="87"/>
      <c r="AU76" s="87"/>
      <c r="AV76" s="87"/>
      <c r="AW76" s="87"/>
      <c r="AX76" s="87"/>
      <c r="AY76" s="87"/>
      <c r="AZ76" s="87"/>
      <c r="BA76" s="87"/>
      <c r="BB76" s="88"/>
      <c r="BC76" s="87"/>
      <c r="BD76" s="87"/>
      <c r="BE76" s="87"/>
      <c r="BF76" s="87"/>
      <c r="BG76" s="87"/>
      <c r="BH76" s="87"/>
      <c r="BI76" s="87"/>
      <c r="BJ76" s="87"/>
    </row>
    <row r="77" spans="1:62" ht="14.25" customHeight="1" x14ac:dyDescent="0.25">
      <c r="A77" s="417" t="str">
        <f>C8&amp;" MOP"</f>
        <v>RTU MOP</v>
      </c>
      <c r="B77" s="417"/>
      <c r="C77" s="417"/>
      <c r="AG77" s="87"/>
      <c r="AH77" s="87"/>
      <c r="AI77" s="87"/>
      <c r="AJ77" s="23"/>
      <c r="AK77" s="87"/>
      <c r="AL77" s="87"/>
      <c r="AM77" s="87"/>
      <c r="AN77" s="87"/>
      <c r="AO77" s="87"/>
      <c r="AP77" s="87"/>
      <c r="AQ77" s="87"/>
      <c r="AR77" s="87"/>
      <c r="AS77" s="88"/>
      <c r="AT77" s="87"/>
      <c r="AU77" s="87"/>
      <c r="AV77" s="87"/>
      <c r="AW77" s="87"/>
      <c r="AX77" s="87"/>
      <c r="AY77" s="87"/>
      <c r="AZ77" s="87"/>
      <c r="BA77" s="87"/>
      <c r="BB77" s="88"/>
      <c r="BC77" s="87"/>
      <c r="BD77" s="87"/>
      <c r="BE77" s="87"/>
      <c r="BF77" s="87"/>
      <c r="BG77" s="87"/>
      <c r="BH77" s="87"/>
      <c r="BI77" s="87"/>
      <c r="BJ77" s="87"/>
    </row>
    <row r="78" spans="1:62" ht="3" customHeight="1" x14ac:dyDescent="0.25">
      <c r="A78" s="1"/>
      <c r="B78" s="1"/>
      <c r="C78" s="1"/>
      <c r="D78" s="50"/>
      <c r="E78" s="86"/>
      <c r="F78" s="86"/>
      <c r="G78" s="86"/>
      <c r="H78" s="21"/>
      <c r="I78" s="21"/>
      <c r="J78" s="21"/>
      <c r="K78" s="21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42"/>
      <c r="Y78" s="86"/>
      <c r="Z78" s="86"/>
      <c r="AA78" s="86"/>
      <c r="AB78" s="86"/>
      <c r="AC78" s="86"/>
      <c r="AD78" s="86"/>
      <c r="AE78" s="86"/>
      <c r="AF78" s="86"/>
      <c r="AG78" s="87"/>
      <c r="AH78" s="87"/>
      <c r="AI78" s="87"/>
      <c r="AJ78" s="23"/>
      <c r="AK78" s="87"/>
      <c r="AL78" s="87"/>
      <c r="AM78" s="87"/>
      <c r="AN78" s="87"/>
      <c r="AO78" s="87"/>
      <c r="AP78" s="87"/>
      <c r="AQ78" s="87"/>
      <c r="AR78" s="87"/>
      <c r="AS78" s="88"/>
      <c r="AT78" s="87"/>
      <c r="AU78" s="87"/>
      <c r="AV78" s="87"/>
      <c r="AW78" s="87"/>
      <c r="AX78" s="87"/>
      <c r="AY78" s="87"/>
      <c r="AZ78" s="87"/>
      <c r="BA78" s="87"/>
      <c r="BB78" s="88"/>
      <c r="BC78" s="87"/>
      <c r="BD78" s="87"/>
      <c r="BE78" s="87"/>
      <c r="BF78" s="87"/>
      <c r="BG78" s="87"/>
      <c r="BH78" s="87"/>
      <c r="BI78" s="87"/>
      <c r="BJ78" s="87"/>
    </row>
    <row r="79" spans="1:62" ht="14.25" customHeight="1" x14ac:dyDescent="0.25">
      <c r="A79" s="417" t="s">
        <v>920</v>
      </c>
      <c r="B79" s="417"/>
      <c r="C79" s="417"/>
      <c r="D79" s="50"/>
      <c r="E79" s="429">
        <v>7200</v>
      </c>
      <c r="F79" s="439"/>
      <c r="G79" s="430"/>
      <c r="H79" s="21"/>
      <c r="I79" s="429">
        <v>7200</v>
      </c>
      <c r="J79" s="439"/>
      <c r="K79" s="430"/>
      <c r="L79" s="86"/>
      <c r="M79" s="429">
        <v>7200</v>
      </c>
      <c r="N79" s="439"/>
      <c r="O79" s="430"/>
      <c r="P79" s="86"/>
      <c r="Q79" s="429">
        <v>7200</v>
      </c>
      <c r="R79" s="439"/>
      <c r="S79" s="430"/>
      <c r="T79" s="86"/>
      <c r="U79" s="429">
        <v>7200</v>
      </c>
      <c r="V79" s="439"/>
      <c r="W79" s="430"/>
      <c r="X79" s="42"/>
      <c r="Y79" s="429">
        <v>7200</v>
      </c>
      <c r="Z79" s="439"/>
      <c r="AA79" s="430"/>
      <c r="AB79" s="86"/>
      <c r="AC79" s="431"/>
      <c r="AD79" s="431"/>
      <c r="AE79" s="431"/>
      <c r="AF79" s="86"/>
      <c r="AG79" s="87"/>
      <c r="AH79" s="87"/>
      <c r="AI79" s="87"/>
      <c r="AJ79" s="23"/>
      <c r="AK79" s="87"/>
      <c r="AL79" s="87"/>
      <c r="AM79" s="87"/>
      <c r="AN79" s="87"/>
      <c r="AO79" s="87"/>
      <c r="AP79" s="87"/>
      <c r="AQ79" s="87"/>
      <c r="AR79" s="87"/>
      <c r="AS79" s="88"/>
      <c r="AT79" s="87"/>
      <c r="AU79" s="87"/>
      <c r="AV79" s="87"/>
      <c r="AW79" s="87"/>
      <c r="AX79" s="87"/>
      <c r="AY79" s="87"/>
      <c r="AZ79" s="87"/>
      <c r="BA79" s="87"/>
      <c r="BB79" s="88"/>
      <c r="BC79" s="87"/>
      <c r="BD79" s="87"/>
      <c r="BE79" s="87"/>
      <c r="BF79" s="87"/>
      <c r="BG79" s="87"/>
      <c r="BH79" s="87"/>
      <c r="BI79" s="87"/>
      <c r="BJ79" s="87"/>
    </row>
    <row r="80" spans="1:62" ht="3" customHeight="1" x14ac:dyDescent="0.25">
      <c r="A80" s="1"/>
      <c r="B80" s="1"/>
      <c r="C80" s="1"/>
      <c r="D80" s="50"/>
      <c r="E80" s="86"/>
      <c r="F80" s="86"/>
      <c r="G80" s="86"/>
      <c r="H80" s="21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42"/>
      <c r="Y80" s="86"/>
      <c r="Z80" s="86"/>
      <c r="AA80" s="86"/>
      <c r="AB80" s="86"/>
      <c r="AC80" s="86"/>
      <c r="AD80" s="86"/>
      <c r="AE80" s="86"/>
      <c r="AF80" s="86"/>
      <c r="AG80" s="87"/>
      <c r="AH80" s="87"/>
      <c r="AI80" s="87"/>
      <c r="AJ80" s="23"/>
      <c r="AK80" s="87"/>
      <c r="AL80" s="87"/>
      <c r="AM80" s="87"/>
      <c r="AN80" s="87"/>
      <c r="AO80" s="87"/>
      <c r="AP80" s="87"/>
      <c r="AQ80" s="87"/>
      <c r="AR80" s="87"/>
      <c r="AS80" s="88"/>
      <c r="AT80" s="87"/>
      <c r="AU80" s="87"/>
      <c r="AV80" s="87"/>
      <c r="AW80" s="87"/>
      <c r="AX80" s="87"/>
      <c r="AY80" s="87"/>
      <c r="AZ80" s="87"/>
      <c r="BA80" s="87"/>
      <c r="BB80" s="88"/>
      <c r="BC80" s="87"/>
      <c r="BD80" s="87"/>
      <c r="BE80" s="87"/>
      <c r="BF80" s="87"/>
      <c r="BG80" s="87"/>
      <c r="BH80" s="87"/>
      <c r="BI80" s="87"/>
      <c r="BJ80" s="87"/>
    </row>
    <row r="81" spans="1:62" ht="14.25" customHeight="1" x14ac:dyDescent="0.25">
      <c r="A81" s="417" t="s">
        <v>63</v>
      </c>
      <c r="B81" s="417"/>
      <c r="C81" s="417"/>
      <c r="D81" s="50"/>
      <c r="E81" s="491">
        <v>48</v>
      </c>
      <c r="F81" s="492"/>
      <c r="G81" s="493"/>
      <c r="H81" s="21"/>
      <c r="I81" s="494">
        <f>$E$81</f>
        <v>48</v>
      </c>
      <c r="J81" s="494"/>
      <c r="K81" s="494"/>
      <c r="L81" s="91"/>
      <c r="M81" s="494">
        <f>$E$81</f>
        <v>48</v>
      </c>
      <c r="N81" s="494"/>
      <c r="O81" s="494"/>
      <c r="P81" s="91"/>
      <c r="Q81" s="494">
        <f>$E$81</f>
        <v>48</v>
      </c>
      <c r="R81" s="494"/>
      <c r="S81" s="494"/>
      <c r="T81" s="86"/>
      <c r="U81" s="494">
        <f>$E$81</f>
        <v>48</v>
      </c>
      <c r="V81" s="494"/>
      <c r="W81" s="494"/>
      <c r="X81" s="42"/>
      <c r="Y81" s="494">
        <f>$E$81</f>
        <v>48</v>
      </c>
      <c r="Z81" s="494"/>
      <c r="AA81" s="494"/>
      <c r="AB81" s="86"/>
      <c r="AC81" s="431"/>
      <c r="AD81" s="431"/>
      <c r="AE81" s="431"/>
      <c r="AF81" s="86"/>
      <c r="AG81" s="87"/>
      <c r="AH81" s="87"/>
      <c r="AI81" s="87"/>
      <c r="AJ81" s="23"/>
      <c r="AK81" s="87"/>
      <c r="AL81" s="87"/>
      <c r="AM81" s="87" t="s">
        <v>921</v>
      </c>
      <c r="AN81" s="87"/>
      <c r="AO81" s="87"/>
      <c r="AP81" s="87"/>
      <c r="AQ81" s="87"/>
      <c r="AR81" s="87"/>
      <c r="AS81" s="88"/>
      <c r="AT81" s="87"/>
      <c r="AU81" s="87"/>
      <c r="AV81" s="87"/>
      <c r="AW81" s="87"/>
      <c r="AX81" s="87"/>
      <c r="AY81" s="87"/>
      <c r="AZ81" s="87"/>
      <c r="BA81" s="87"/>
      <c r="BB81" s="88"/>
      <c r="BC81" s="87"/>
      <c r="BD81" s="87"/>
      <c r="BE81" s="87"/>
      <c r="BF81" s="87"/>
      <c r="BG81" s="87"/>
      <c r="BH81" s="87"/>
      <c r="BI81" s="87"/>
      <c r="BJ81" s="87"/>
    </row>
    <row r="82" spans="1:62" ht="3" customHeight="1" x14ac:dyDescent="0.25">
      <c r="A82" s="1"/>
      <c r="B82" s="1"/>
      <c r="C82" s="1"/>
      <c r="D82" s="50"/>
      <c r="E82" s="86"/>
      <c r="F82" s="86"/>
      <c r="G82" s="86"/>
      <c r="H82" s="21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42"/>
      <c r="Y82" s="86"/>
      <c r="Z82" s="86"/>
      <c r="AA82" s="86"/>
      <c r="AB82" s="86"/>
      <c r="AC82" s="86"/>
      <c r="AD82" s="86"/>
      <c r="AE82" s="86"/>
      <c r="AF82" s="86"/>
      <c r="AG82" s="87"/>
      <c r="AH82" s="87"/>
      <c r="AI82" s="87"/>
      <c r="AJ82" s="23"/>
      <c r="AK82" s="87"/>
      <c r="AL82" s="87"/>
      <c r="AM82" s="87"/>
      <c r="AN82" s="87"/>
      <c r="AO82" s="87"/>
      <c r="AP82" s="87"/>
      <c r="AQ82" s="87"/>
      <c r="AR82" s="87"/>
      <c r="AS82" s="88"/>
      <c r="AT82" s="87"/>
      <c r="AU82" s="87"/>
      <c r="AV82" s="87"/>
      <c r="AW82" s="87"/>
      <c r="AX82" s="87"/>
      <c r="AY82" s="87"/>
      <c r="AZ82" s="87"/>
      <c r="BA82" s="87"/>
      <c r="BB82" s="88"/>
      <c r="BC82" s="87"/>
      <c r="BD82" s="87"/>
      <c r="BE82" s="87"/>
      <c r="BF82" s="87"/>
      <c r="BG82" s="87"/>
      <c r="BH82" s="87"/>
      <c r="BI82" s="87"/>
      <c r="BJ82" s="87"/>
    </row>
    <row r="83" spans="1:62" ht="14.25" customHeight="1" x14ac:dyDescent="0.25">
      <c r="A83" s="92"/>
      <c r="B83" s="5"/>
      <c r="C83" s="4" t="s">
        <v>66</v>
      </c>
      <c r="D83" s="50"/>
      <c r="E83" s="495" cm="1">
        <f t="array" aca="1" ref="E83" ca="1">IF($A$83="",IFERROR(CONDT(E$39,E$98/E$38,E$89,G$91/E$38,170,E$87),122),$A$83)</f>
        <v>122</v>
      </c>
      <c r="F83" s="495"/>
      <c r="G83" s="495"/>
      <c r="H83" s="21"/>
      <c r="I83" s="495" cm="1">
        <f t="array" aca="1" ref="I83" ca="1">IF($A$83="",IFERROR(CONDT(I$39,I$98/I$38,I$89,K$91/I$38,170,I$87),122),$A$83)</f>
        <v>122</v>
      </c>
      <c r="J83" s="495"/>
      <c r="K83" s="495"/>
      <c r="L83" s="91"/>
      <c r="M83" s="429" cm="1">
        <f t="array" aca="1" ref="M83" ca="1">IF($A$83="",IFERROR(CONDT(M$39,M$98/M$38,M$89,O$91/M$38,170,M$87),122),$A$83)</f>
        <v>122</v>
      </c>
      <c r="N83" s="439"/>
      <c r="O83" s="430"/>
      <c r="P83" s="91"/>
      <c r="Q83" s="429" cm="1">
        <f t="array" aca="1" ref="Q83" ca="1">IF($A$83="",IFERROR(CONDT(Q$39,Q$98/Q$38,Q$89,S$91/Q$38,170,Q$87),122),$A$83)</f>
        <v>122</v>
      </c>
      <c r="R83" s="439"/>
      <c r="S83" s="430"/>
      <c r="T83" s="86"/>
      <c r="U83" s="429" cm="1">
        <f t="array" aca="1" ref="U83" ca="1">IF($A$83="",IFERROR(CONDT(U$39,U$98/U$38,U$89,W$91/U$38,170,U$87),122),$A$83)</f>
        <v>122</v>
      </c>
      <c r="V83" s="439"/>
      <c r="W83" s="430"/>
      <c r="X83" s="42"/>
      <c r="Y83" s="429" cm="1">
        <f t="array" aca="1" ref="Y83" ca="1">IF($A$83="",IFERROR(CONDT(Y$39,Y$98/Y$38,Y$89,AA$91/Y$38,170,Y$87),122),$A$83)</f>
        <v>122</v>
      </c>
      <c r="Z83" s="439"/>
      <c r="AA83" s="430"/>
      <c r="AB83" s="86"/>
      <c r="AC83" s="431"/>
      <c r="AD83" s="431"/>
      <c r="AE83" s="431"/>
      <c r="AF83" s="86"/>
      <c r="AG83" s="87"/>
      <c r="AH83" s="87"/>
      <c r="AI83" s="87" t="e" cm="1">
        <f t="array" aca="1" ref="AI83" ca="1">CONDT(E71,E98/E70,E89,G91,170,E87)</f>
        <v>#NAME?</v>
      </c>
      <c r="AJ83" s="23"/>
      <c r="AK83" s="87"/>
      <c r="AL83" s="87"/>
      <c r="AM83" s="87" t="e" cm="1">
        <f t="array" aca="1" ref="AM83" ca="1">CAPF(AM81,50,120,10,15)</f>
        <v>#NAME?</v>
      </c>
      <c r="AN83" s="87"/>
      <c r="AO83" s="87" t="e">
        <f ca="1">AM83/12000</f>
        <v>#NAME?</v>
      </c>
      <c r="AP83" s="87"/>
      <c r="AQ83" s="87"/>
      <c r="AR83" s="87"/>
      <c r="AS83" s="88"/>
      <c r="AT83" s="87"/>
      <c r="AU83" s="87"/>
      <c r="AV83" s="87"/>
      <c r="AW83" s="87"/>
      <c r="AX83" s="87"/>
      <c r="AY83" s="87"/>
      <c r="AZ83" s="87"/>
      <c r="BA83" s="87"/>
      <c r="BB83" s="88"/>
      <c r="BC83" s="87"/>
      <c r="BD83" s="87"/>
      <c r="BE83" s="87"/>
      <c r="BF83" s="87"/>
      <c r="BG83" s="87"/>
      <c r="BH83" s="87"/>
      <c r="BI83" s="87"/>
      <c r="BJ83" s="87"/>
    </row>
    <row r="84" spans="1:62" ht="3" customHeight="1" x14ac:dyDescent="0.25">
      <c r="A84" s="1"/>
      <c r="B84" s="1"/>
      <c r="C84" s="1"/>
      <c r="D84" s="50"/>
      <c r="E84" s="86"/>
      <c r="F84" s="86"/>
      <c r="G84" s="86"/>
      <c r="H84" s="21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42"/>
      <c r="Y84" s="86"/>
      <c r="Z84" s="86"/>
      <c r="AA84" s="86"/>
      <c r="AB84" s="86"/>
      <c r="AC84" s="86"/>
      <c r="AD84" s="86"/>
      <c r="AE84" s="86"/>
      <c r="AF84" s="86"/>
      <c r="AG84" s="87"/>
      <c r="AH84" s="87"/>
      <c r="AI84" s="87"/>
      <c r="AJ84" s="23"/>
      <c r="AK84" s="87"/>
      <c r="AL84" s="87"/>
      <c r="AM84" s="87"/>
      <c r="AN84" s="87"/>
      <c r="AO84" s="87"/>
      <c r="AP84" s="87"/>
      <c r="AQ84" s="87"/>
      <c r="AR84" s="87"/>
      <c r="AS84" s="88"/>
      <c r="AT84" s="87"/>
      <c r="AU84" s="87"/>
      <c r="AV84" s="87"/>
      <c r="AW84" s="87"/>
      <c r="AX84" s="87"/>
      <c r="AY84" s="87"/>
      <c r="AZ84" s="87"/>
      <c r="BA84" s="87"/>
      <c r="BB84" s="88"/>
      <c r="BC84" s="87"/>
      <c r="BD84" s="87"/>
      <c r="BE84" s="87"/>
      <c r="BF84" s="87"/>
      <c r="BG84" s="87"/>
      <c r="BH84" s="87"/>
      <c r="BI84" s="87"/>
      <c r="BJ84" s="87"/>
    </row>
    <row r="85" spans="1:62" ht="14.25" customHeight="1" x14ac:dyDescent="0.25">
      <c r="A85" s="417" t="s">
        <v>440</v>
      </c>
      <c r="B85" s="417"/>
      <c r="C85" s="417"/>
      <c r="D85" s="5"/>
      <c r="E85" s="491">
        <v>10</v>
      </c>
      <c r="F85" s="492"/>
      <c r="G85" s="493"/>
      <c r="H85" s="21"/>
      <c r="I85" s="495">
        <f>$E$85</f>
        <v>10</v>
      </c>
      <c r="J85" s="495"/>
      <c r="K85" s="495"/>
      <c r="L85" s="91"/>
      <c r="M85" s="495">
        <f>$E$85</f>
        <v>10</v>
      </c>
      <c r="N85" s="495"/>
      <c r="O85" s="495"/>
      <c r="P85" s="91"/>
      <c r="Q85" s="429">
        <f>$E$85</f>
        <v>10</v>
      </c>
      <c r="R85" s="439"/>
      <c r="S85" s="430"/>
      <c r="T85" s="86"/>
      <c r="U85" s="495">
        <f>$E$85</f>
        <v>10</v>
      </c>
      <c r="V85" s="495"/>
      <c r="W85" s="495"/>
      <c r="X85" s="42"/>
      <c r="Y85" s="495">
        <f>$E$85</f>
        <v>10</v>
      </c>
      <c r="Z85" s="495"/>
      <c r="AA85" s="495"/>
      <c r="AB85" s="86"/>
      <c r="AC85" s="431"/>
      <c r="AD85" s="431"/>
      <c r="AE85" s="431"/>
      <c r="AF85" s="86"/>
      <c r="AG85" s="87"/>
      <c r="AH85" s="87"/>
      <c r="AI85" s="87"/>
      <c r="AJ85" s="23"/>
      <c r="AK85" s="87"/>
      <c r="AL85" s="87"/>
      <c r="AM85" s="87"/>
      <c r="AN85" s="87"/>
      <c r="AO85" s="87"/>
      <c r="AP85" s="87"/>
      <c r="AQ85" s="87"/>
      <c r="AR85" s="87"/>
      <c r="AS85" s="88"/>
      <c r="AT85" s="87"/>
      <c r="AU85" s="87"/>
      <c r="AV85" s="87"/>
      <c r="AW85" s="87"/>
      <c r="AX85" s="87"/>
      <c r="AY85" s="87"/>
      <c r="AZ85" s="87"/>
      <c r="BA85" s="87"/>
      <c r="BB85" s="88"/>
      <c r="BC85" s="87"/>
      <c r="BD85" s="87"/>
      <c r="BE85" s="87"/>
      <c r="BF85" s="87"/>
      <c r="BG85" s="87"/>
      <c r="BH85" s="87"/>
      <c r="BI85" s="87"/>
      <c r="BJ85" s="87"/>
    </row>
    <row r="86" spans="1:62" ht="3" customHeight="1" x14ac:dyDescent="0.25">
      <c r="A86" s="4"/>
      <c r="B86" s="4"/>
      <c r="C86" s="4"/>
      <c r="D86" s="50"/>
      <c r="E86" s="86"/>
      <c r="F86" s="86"/>
      <c r="G86" s="86"/>
      <c r="H86" s="21"/>
      <c r="I86" s="86"/>
      <c r="J86" s="86"/>
      <c r="K86" s="86"/>
      <c r="L86" s="86"/>
      <c r="M86" s="86"/>
      <c r="N86" s="86"/>
      <c r="O86" s="86"/>
      <c r="P86" s="86"/>
      <c r="Q86" s="429"/>
      <c r="R86" s="439"/>
      <c r="S86" s="430"/>
      <c r="T86" s="86"/>
      <c r="U86" s="86"/>
      <c r="V86" s="86"/>
      <c r="W86" s="86"/>
      <c r="X86" s="42"/>
      <c r="Y86" s="86"/>
      <c r="Z86" s="86"/>
      <c r="AA86" s="86"/>
      <c r="AB86" s="86"/>
      <c r="AC86" s="86"/>
      <c r="AD86" s="86"/>
      <c r="AE86" s="86"/>
      <c r="AF86" s="86"/>
      <c r="AG86" s="87"/>
      <c r="AH86" s="87"/>
      <c r="AI86" s="87"/>
      <c r="AJ86" s="23"/>
      <c r="AK86" s="87"/>
      <c r="AL86" s="87"/>
      <c r="AM86" s="87"/>
      <c r="AN86" s="87"/>
      <c r="AO86" s="87"/>
      <c r="AP86" s="87"/>
      <c r="AQ86" s="87"/>
      <c r="AR86" s="87"/>
      <c r="AS86" s="88"/>
      <c r="AT86" s="87"/>
      <c r="AU86" s="87"/>
      <c r="AV86" s="87"/>
      <c r="AW86" s="87"/>
      <c r="AX86" s="87"/>
      <c r="AY86" s="87"/>
      <c r="AZ86" s="87"/>
      <c r="BA86" s="87"/>
      <c r="BB86" s="88"/>
      <c r="BC86" s="87"/>
      <c r="BD86" s="87"/>
      <c r="BE86" s="87"/>
      <c r="BF86" s="87"/>
      <c r="BG86" s="87"/>
      <c r="BH86" s="87"/>
      <c r="BI86" s="87"/>
      <c r="BJ86" s="87"/>
    </row>
    <row r="87" spans="1:62" ht="14.25" customHeight="1" x14ac:dyDescent="0.25">
      <c r="A87" s="417" t="s">
        <v>442</v>
      </c>
      <c r="B87" s="417"/>
      <c r="C87" s="417"/>
      <c r="D87" s="50"/>
      <c r="E87" s="491">
        <v>15</v>
      </c>
      <c r="F87" s="492"/>
      <c r="G87" s="493"/>
      <c r="H87" s="21"/>
      <c r="I87" s="495">
        <f>$E$87</f>
        <v>15</v>
      </c>
      <c r="J87" s="495"/>
      <c r="K87" s="495"/>
      <c r="L87" s="91"/>
      <c r="M87" s="495">
        <f>$E$87</f>
        <v>15</v>
      </c>
      <c r="N87" s="495"/>
      <c r="O87" s="495"/>
      <c r="P87" s="91"/>
      <c r="Q87" s="429">
        <f>$E$87</f>
        <v>15</v>
      </c>
      <c r="R87" s="439"/>
      <c r="S87" s="430"/>
      <c r="T87" s="86"/>
      <c r="U87" s="495">
        <f>$E$87</f>
        <v>15</v>
      </c>
      <c r="V87" s="495"/>
      <c r="W87" s="495"/>
      <c r="X87" s="42"/>
      <c r="Y87" s="495">
        <f>$E$87</f>
        <v>15</v>
      </c>
      <c r="Z87" s="495"/>
      <c r="AA87" s="495"/>
      <c r="AB87" s="86"/>
      <c r="AC87" s="431"/>
      <c r="AD87" s="431"/>
      <c r="AE87" s="431"/>
      <c r="AF87" s="86"/>
      <c r="AG87" s="87"/>
      <c r="AH87" s="87"/>
      <c r="AI87" s="87"/>
      <c r="AJ87" s="23"/>
      <c r="AK87" s="87"/>
      <c r="AL87" s="87"/>
      <c r="AM87" s="87">
        <f>16*12000</f>
        <v>192000</v>
      </c>
      <c r="AN87" s="87"/>
      <c r="AO87" s="87"/>
      <c r="AP87" s="87"/>
      <c r="AQ87" s="87">
        <f>AM87/1.08/64000</f>
        <v>2.7777777777777772</v>
      </c>
      <c r="AR87" s="87"/>
      <c r="AS87" s="88"/>
      <c r="AT87" s="87"/>
      <c r="AU87" s="87"/>
      <c r="AV87" s="87"/>
      <c r="AW87" s="87"/>
      <c r="AX87" s="87"/>
      <c r="AY87" s="87"/>
      <c r="AZ87" s="87"/>
      <c r="BA87" s="87"/>
      <c r="BB87" s="88"/>
      <c r="BC87" s="87"/>
      <c r="BD87" s="87"/>
      <c r="BE87" s="87"/>
      <c r="BF87" s="87"/>
      <c r="BG87" s="87"/>
      <c r="BH87" s="87"/>
      <c r="BI87" s="87"/>
      <c r="BJ87" s="87"/>
    </row>
    <row r="88" spans="1:62" ht="3" customHeight="1" x14ac:dyDescent="0.25">
      <c r="A88" s="4"/>
      <c r="B88" s="4"/>
      <c r="C88" s="4"/>
      <c r="D88" s="50"/>
      <c r="E88" s="35"/>
      <c r="F88" s="35"/>
      <c r="G88" s="35"/>
      <c r="H88" s="21"/>
      <c r="I88" s="35"/>
      <c r="J88" s="35"/>
      <c r="K88" s="35"/>
      <c r="L88" s="35"/>
      <c r="M88" s="35"/>
      <c r="N88" s="35"/>
      <c r="O88" s="35"/>
      <c r="P88" s="35"/>
      <c r="Q88" s="429"/>
      <c r="R88" s="439"/>
      <c r="S88" s="430"/>
      <c r="T88" s="86"/>
      <c r="U88" s="35"/>
      <c r="V88" s="35"/>
      <c r="W88" s="35"/>
      <c r="X88" s="42"/>
      <c r="Y88" s="35"/>
      <c r="Z88" s="35"/>
      <c r="AA88" s="35"/>
      <c r="AB88" s="86"/>
      <c r="AC88" s="9"/>
      <c r="AD88" s="9"/>
      <c r="AE88" s="9"/>
      <c r="AF88" s="86"/>
      <c r="AG88" s="87"/>
      <c r="AH88" s="87"/>
      <c r="AI88" s="87"/>
      <c r="AJ88" s="23"/>
      <c r="AK88" s="87"/>
      <c r="AL88" s="87"/>
      <c r="AM88" s="87"/>
      <c r="AN88" s="87"/>
      <c r="AO88" s="87"/>
      <c r="AP88" s="87"/>
      <c r="AQ88" s="87"/>
      <c r="AR88" s="87"/>
      <c r="AS88" s="88"/>
      <c r="AT88" s="87"/>
      <c r="AU88" s="87"/>
      <c r="AV88" s="87"/>
      <c r="AW88" s="87"/>
      <c r="AX88" s="87"/>
      <c r="AY88" s="87"/>
      <c r="AZ88" s="87"/>
      <c r="BA88" s="87"/>
      <c r="BB88" s="88"/>
      <c r="BC88" s="87"/>
      <c r="BD88" s="87"/>
      <c r="BE88" s="87"/>
      <c r="BF88" s="87"/>
      <c r="BG88" s="87"/>
      <c r="BH88" s="87"/>
      <c r="BI88" s="87"/>
      <c r="BJ88" s="87"/>
    </row>
    <row r="89" spans="1:62" ht="14.25" customHeight="1" x14ac:dyDescent="0.25">
      <c r="A89" s="4"/>
      <c r="B89" s="4"/>
      <c r="C89" s="4" t="s">
        <v>827</v>
      </c>
      <c r="D89" s="50"/>
      <c r="E89" s="495">
        <f>IF(CondOAT="Ref. City",$AA$10,CondOAT)</f>
        <v>104</v>
      </c>
      <c r="F89" s="495"/>
      <c r="G89" s="495"/>
      <c r="H89" s="21"/>
      <c r="I89" s="495">
        <f>IF(CondOAT="Ref. City",$AA$10,CondOAT)</f>
        <v>104</v>
      </c>
      <c r="J89" s="495"/>
      <c r="K89" s="495"/>
      <c r="L89" s="91"/>
      <c r="M89" s="429">
        <f>IF(CondOAT="Ref. City",$AA$10,CondOAT)</f>
        <v>104</v>
      </c>
      <c r="N89" s="439"/>
      <c r="O89" s="430"/>
      <c r="P89" s="91"/>
      <c r="Q89" s="429">
        <f>IF(CondOAT="Ref. City",$AA$10,CondOAT)</f>
        <v>104</v>
      </c>
      <c r="R89" s="439"/>
      <c r="S89" s="430"/>
      <c r="T89" s="86"/>
      <c r="U89" s="429">
        <f>IF(CondOAT="Ref. City",$AA$10,CondOAT)</f>
        <v>104</v>
      </c>
      <c r="V89" s="439"/>
      <c r="W89" s="430"/>
      <c r="X89" s="42"/>
      <c r="Y89" s="429">
        <f>IF(CondOAT="Ref. City",$AA$10,CondOAT)</f>
        <v>104</v>
      </c>
      <c r="Z89" s="439"/>
      <c r="AA89" s="430"/>
      <c r="AB89" s="86"/>
      <c r="AC89" s="9"/>
      <c r="AD89" s="9"/>
      <c r="AE89" s="9"/>
      <c r="AF89" s="86"/>
      <c r="AG89" s="87"/>
      <c r="AH89" s="87"/>
      <c r="AI89" s="87"/>
      <c r="AJ89" s="23"/>
      <c r="AK89" s="87"/>
      <c r="AL89" s="87"/>
      <c r="AR89" s="87"/>
      <c r="AS89" s="88"/>
      <c r="AT89" s="87"/>
      <c r="AU89" s="87"/>
      <c r="AV89" s="87"/>
      <c r="AW89" s="87"/>
      <c r="AX89" s="87"/>
      <c r="AY89" s="87"/>
      <c r="AZ89" s="87"/>
      <c r="BA89" s="87"/>
      <c r="BB89" s="88"/>
      <c r="BC89" s="87"/>
      <c r="BD89" s="87"/>
      <c r="BE89" s="87"/>
      <c r="BF89" s="87"/>
      <c r="BG89" s="87"/>
      <c r="BH89" s="87"/>
      <c r="BI89" s="87"/>
      <c r="BJ89" s="87"/>
    </row>
    <row r="90" spans="1:62" ht="3" customHeight="1" x14ac:dyDescent="0.25">
      <c r="A90" s="4"/>
      <c r="B90" s="4"/>
      <c r="C90" s="4"/>
      <c r="D90" s="50"/>
      <c r="E90" s="35"/>
      <c r="F90" s="35"/>
      <c r="G90" s="35"/>
      <c r="H90" s="21"/>
      <c r="I90" s="35"/>
      <c r="J90" s="35"/>
      <c r="K90" s="35"/>
      <c r="L90" s="35"/>
      <c r="M90" s="429"/>
      <c r="N90" s="439"/>
      <c r="O90" s="430"/>
      <c r="P90" s="35"/>
      <c r="Q90" s="429"/>
      <c r="R90" s="439"/>
      <c r="S90" s="430"/>
      <c r="T90" s="86"/>
      <c r="U90" s="429"/>
      <c r="V90" s="439"/>
      <c r="W90" s="430"/>
      <c r="X90" s="42"/>
      <c r="Y90" s="429"/>
      <c r="Z90" s="439"/>
      <c r="AA90" s="430"/>
      <c r="AB90" s="86"/>
      <c r="AC90" s="9"/>
      <c r="AD90" s="9"/>
      <c r="AE90" s="9"/>
      <c r="AF90" s="86"/>
      <c r="AG90" s="87"/>
      <c r="AH90" s="87"/>
      <c r="AI90" s="87"/>
      <c r="AJ90" s="23"/>
      <c r="AK90" s="87"/>
      <c r="AL90" s="87"/>
      <c r="AM90" s="87"/>
      <c r="AN90" s="87"/>
      <c r="AO90" s="87"/>
      <c r="AP90" s="87"/>
      <c r="AQ90" s="87"/>
      <c r="AR90" s="87"/>
      <c r="AS90" s="88"/>
      <c r="AT90" s="87"/>
      <c r="AU90" s="87"/>
      <c r="AV90" s="87"/>
      <c r="AW90" s="87"/>
      <c r="AX90" s="87"/>
      <c r="AY90" s="87"/>
      <c r="AZ90" s="87"/>
      <c r="BA90" s="87"/>
      <c r="BB90" s="88"/>
      <c r="BC90" s="87"/>
      <c r="BD90" s="87"/>
      <c r="BE90" s="87"/>
      <c r="BF90" s="87"/>
      <c r="BG90" s="87"/>
      <c r="BH90" s="87"/>
      <c r="BI90" s="87"/>
      <c r="BJ90" s="87"/>
    </row>
    <row r="91" spans="1:62" ht="14.25" customHeight="1" x14ac:dyDescent="0.25">
      <c r="A91" s="417" t="s">
        <v>922</v>
      </c>
      <c r="B91" s="417"/>
      <c r="C91" s="417"/>
      <c r="D91" s="50"/>
      <c r="E91" s="93"/>
      <c r="F91" s="94"/>
      <c r="G91" s="94">
        <f>IF(E91="",E$40,E91)</f>
        <v>11000</v>
      </c>
      <c r="H91" s="94"/>
      <c r="I91" s="93"/>
      <c r="J91" s="94"/>
      <c r="K91" s="94">
        <f>IF(I91="",I$40,I91)</f>
        <v>11000</v>
      </c>
      <c r="L91" s="94"/>
      <c r="M91" s="429"/>
      <c r="N91" s="439"/>
      <c r="O91" s="430" t="str">
        <f>IF(M91="",M$40,M91)</f>
        <v/>
      </c>
      <c r="P91" s="94"/>
      <c r="Q91" s="429"/>
      <c r="R91" s="439"/>
      <c r="S91" s="430" t="str">
        <f>IF(Q91="",Q$40,Q91)</f>
        <v/>
      </c>
      <c r="T91" s="94"/>
      <c r="U91" s="429"/>
      <c r="V91" s="439"/>
      <c r="W91" s="430" t="str">
        <f>IF(U91="",U$40,U91)</f>
        <v/>
      </c>
      <c r="X91" s="95"/>
      <c r="Y91" s="429"/>
      <c r="Z91" s="439"/>
      <c r="AA91" s="430" t="str">
        <f>IF(Y91="",Y$40,Y91)</f>
        <v/>
      </c>
      <c r="AB91" s="94" t="e">
        <v>#REF!</v>
      </c>
      <c r="AC91" s="496"/>
      <c r="AD91" s="496"/>
      <c r="AE91" s="496"/>
      <c r="AF91" s="86"/>
      <c r="AG91" s="87"/>
      <c r="AH91" s="87"/>
      <c r="AI91" s="87"/>
      <c r="AJ91" s="23"/>
      <c r="AK91" s="87"/>
      <c r="AL91" s="87"/>
      <c r="AM91" s="87" t="e">
        <f ca="1">AC93/52.4</f>
        <v>#VALUE!</v>
      </c>
      <c r="AN91" s="87"/>
      <c r="AO91" s="87"/>
      <c r="AP91" s="87"/>
      <c r="AQ91" s="87"/>
      <c r="AR91" s="87"/>
      <c r="AS91" s="88"/>
      <c r="AT91" s="87"/>
      <c r="AU91" s="87"/>
      <c r="AV91" s="87"/>
      <c r="AW91" s="87"/>
      <c r="AX91" s="87"/>
      <c r="AY91" s="87"/>
      <c r="AZ91" s="87"/>
      <c r="BA91" s="87"/>
      <c r="BB91" s="88"/>
      <c r="BC91" s="87"/>
      <c r="BD91" s="87"/>
      <c r="BE91" s="87"/>
      <c r="BF91" s="87"/>
      <c r="BG91" s="87"/>
      <c r="BH91" s="87"/>
      <c r="BI91" s="87"/>
      <c r="BJ91" s="87"/>
    </row>
    <row r="92" spans="1:62" ht="3" customHeight="1" x14ac:dyDescent="0.25">
      <c r="A92" s="4"/>
      <c r="B92" s="4"/>
      <c r="C92" s="4"/>
      <c r="D92" s="96"/>
      <c r="E92" s="96"/>
      <c r="F92" s="97"/>
      <c r="G92" s="97"/>
      <c r="H92" s="21"/>
      <c r="I92" s="21"/>
      <c r="J92" s="21"/>
      <c r="K92" s="21"/>
      <c r="L92" s="97"/>
      <c r="M92" s="429"/>
      <c r="N92" s="439"/>
      <c r="O92" s="430"/>
      <c r="P92" s="97"/>
      <c r="Q92" s="429"/>
      <c r="R92" s="439"/>
      <c r="S92" s="430"/>
      <c r="T92" s="97"/>
      <c r="U92" s="429"/>
      <c r="V92" s="439"/>
      <c r="W92" s="430"/>
      <c r="X92" s="42"/>
      <c r="Y92" s="429"/>
      <c r="Z92" s="439"/>
      <c r="AA92" s="430"/>
      <c r="AB92" s="35"/>
      <c r="AC92" s="35"/>
      <c r="AD92" s="35"/>
      <c r="AE92" s="86"/>
      <c r="AF92" s="86"/>
      <c r="AG92" s="87"/>
      <c r="AH92" s="87"/>
      <c r="AI92" s="87"/>
      <c r="AJ92" s="87"/>
      <c r="AK92" s="87"/>
      <c r="AL92" s="87"/>
      <c r="AM92" s="98"/>
      <c r="AN92" s="98"/>
      <c r="AO92" s="98"/>
      <c r="AP92" s="98"/>
      <c r="AQ92" s="98"/>
      <c r="AR92" s="98"/>
      <c r="AS92" s="99"/>
      <c r="AT92" s="98"/>
      <c r="AU92" s="98"/>
      <c r="AV92" s="98"/>
      <c r="AW92" s="98"/>
      <c r="AX92" s="98"/>
      <c r="AY92" s="98"/>
      <c r="AZ92" s="98"/>
      <c r="BA92" s="98"/>
      <c r="BB92" s="99"/>
      <c r="BC92" s="98"/>
      <c r="BD92" s="98"/>
      <c r="BE92" s="98"/>
      <c r="BF92" s="98"/>
      <c r="BG92" s="98"/>
      <c r="BH92" s="98"/>
      <c r="BI92" s="98"/>
      <c r="BJ92" s="98"/>
    </row>
    <row r="93" spans="1:62" ht="14.25" customHeight="1" x14ac:dyDescent="0.25">
      <c r="A93" s="417" t="s">
        <v>923</v>
      </c>
      <c r="B93" s="417"/>
      <c r="C93" s="417"/>
      <c r="D93" s="50"/>
      <c r="E93" s="497" cm="1">
        <f t="array" aca="1" ref="E93" ca="1">IFERROR(E$32*IF(MID(E$33,3,1)="V",CAPV(454,E$33,E$79,E$81,E$83,E$85,E$87),CAPF(E$33,E$81,E$83,E$85,E$87))+IFERROR(E$34*CAPF(E$35,E$81,E$83,E$85,E$87),1),0)</f>
        <v>0</v>
      </c>
      <c r="F93" s="497"/>
      <c r="G93" s="497"/>
      <c r="H93" s="21"/>
      <c r="I93" s="497" cm="1">
        <f t="array" aca="1" ref="I93" ca="1">IFERROR(I$32*IF(MID(I$33,3,1)="V",CAPV(I$33,I$79,I$81,I$83,I$85,I$87),CAPF(I$33,I$81,I$83,I$85,I$87))+IFERROR(I$34*CAPF(I$35,I$81,I$83,I$85,I$87),1),0)</f>
        <v>0</v>
      </c>
      <c r="J93" s="497"/>
      <c r="K93" s="497"/>
      <c r="L93" s="100"/>
      <c r="M93" s="429" cm="1">
        <f t="array" aca="1" ref="M93" ca="1">IFERROR(M$32*IF(MID(M$33,3,1)="V",CAPV(M$33,M$79,M$81,M$83,M$85,M$87),CAPF(M$33,M$81,M$83,M$85,M$87))+IFERROR(M$34*CAPF(M$35,M$81,M$83,M$85,M$87),1),0)</f>
        <v>0</v>
      </c>
      <c r="N93" s="439"/>
      <c r="O93" s="430"/>
      <c r="P93" s="100"/>
      <c r="Q93" s="429" cm="1">
        <f t="array" aca="1" ref="Q93" ca="1">IFERROR(Q$32*IF(MID(Q$33,3,1)="V",CAPV(Q$33,Q$79,Q$81,Q$83,Q$85,Q$87),CAPF(Q$33,Q$81,Q$83,Q$85,Q$87))+IFERROR(Q$34*CAPF(Q$35,Q$81,Q$83,Q$85,Q$87),1),0)</f>
        <v>0</v>
      </c>
      <c r="R93" s="439"/>
      <c r="S93" s="430"/>
      <c r="T93" s="86"/>
      <c r="U93" s="429" cm="1">
        <f t="array" aca="1" ref="U93" ca="1">IFERROR(U$32*IF(MID(U$33,3,1)="V",CAPV(U$33,U$79,U$81,U$83,U$85,U$87),CAPF(U$33,U$81,U$83,U$85,U$87))+IFERROR(U$34*CAPF(U$35,U$81,U$83,U$85,U$87),1),0)</f>
        <v>0</v>
      </c>
      <c r="V93" s="439"/>
      <c r="W93" s="430"/>
      <c r="X93" s="42"/>
      <c r="Y93" s="429" cm="1">
        <f t="array" aca="1" ref="Y93" ca="1">IFERROR(Y$32*IF(MID(Y$33,3,1)="V",CAPV(Y$33,Y$79,Y$81,Y$83,Y$85,Y$87),CAPF(Y$33,Y$81,Y$83,Y$85,Y$87))+IFERROR(Y$34*CAPF(Y$35,Y$81,Y$83,Y$85,Y$87),1),0)</f>
        <v>0</v>
      </c>
      <c r="Z93" s="439"/>
      <c r="AA93" s="430"/>
      <c r="AB93" s="86"/>
      <c r="AC93" s="498" t="str">
        <f ca="1">ROUND((E93+I93+M93+Q93+U93+Y93)/1000,0)&amp;"MBH ("&amp;ROUND((E93+I93+M93+Q93+U93+Y93)/12000,0)&amp;"TR)"</f>
        <v>0MBH (0TR)</v>
      </c>
      <c r="AD93" s="498"/>
      <c r="AE93" s="498"/>
      <c r="AF93" s="86"/>
      <c r="AG93" s="101">
        <f ca="1">E93+I93+U93+Y93</f>
        <v>0</v>
      </c>
      <c r="AH93" s="87"/>
      <c r="AI93" s="87"/>
      <c r="AJ93" s="87"/>
      <c r="AK93" s="87" t="e" cm="1">
        <f t="array" aca="1" ref="AK93" ca="1">CAPF("ZP137kce",45,120,20,15)</f>
        <v>#NAME?</v>
      </c>
      <c r="AL93" s="87"/>
      <c r="AM93" s="98"/>
      <c r="AN93" s="98"/>
      <c r="AO93" s="98"/>
      <c r="AP93" s="98"/>
      <c r="AQ93" s="98"/>
      <c r="AR93" s="98"/>
      <c r="AS93" s="99"/>
      <c r="AT93" s="98"/>
      <c r="AU93" s="98"/>
      <c r="AV93" s="98"/>
      <c r="AW93" s="98"/>
      <c r="AX93" s="98"/>
      <c r="AY93" s="98"/>
      <c r="AZ93" s="98"/>
      <c r="BA93" s="98"/>
      <c r="BB93" s="99"/>
      <c r="BC93" s="98"/>
      <c r="BD93" s="98"/>
      <c r="BE93" s="98"/>
      <c r="BF93" s="98"/>
      <c r="BG93" s="98"/>
      <c r="BH93" s="98"/>
      <c r="BI93" s="98"/>
      <c r="BJ93" s="98"/>
    </row>
    <row r="94" spans="1:62" ht="14.1" customHeight="1" x14ac:dyDescent="0.25">
      <c r="A94" s="417" t="s">
        <v>924</v>
      </c>
      <c r="B94" s="417"/>
      <c r="C94" s="417"/>
      <c r="D94" s="50"/>
      <c r="E94" s="499" t="e">
        <f ca="1">E$93/($E$93+$I$93+$M$93+$Q$93+$U$93+$Y$93)</f>
        <v>#DIV/0!</v>
      </c>
      <c r="F94" s="499"/>
      <c r="G94" s="499"/>
      <c r="H94" s="103"/>
      <c r="I94" s="499" t="e">
        <f ca="1">I$93/($E$93+$I$93+$M$93+$Q$93+$U$93+$Y$93)</f>
        <v>#DIV/0!</v>
      </c>
      <c r="J94" s="499"/>
      <c r="K94" s="499"/>
      <c r="L94" s="102"/>
      <c r="M94" s="429" t="e">
        <f ca="1">M$93/($E$93+$I$93+$M$93+$Q$93+$U$93+$Y$93)</f>
        <v>#DIV/0!</v>
      </c>
      <c r="N94" s="439"/>
      <c r="O94" s="430"/>
      <c r="P94" s="102"/>
      <c r="Q94" s="429" t="e">
        <f ca="1">Q$93/($E$93+$I$93+$M$93+$Q$93+$U$93+$Y$93)</f>
        <v>#DIV/0!</v>
      </c>
      <c r="R94" s="439"/>
      <c r="S94" s="430"/>
      <c r="T94" s="104"/>
      <c r="U94" s="429" t="e">
        <f ca="1">U$93/($E$93+$I$93+$M$93+$Q$93+$U$93+$Y$93)</f>
        <v>#DIV/0!</v>
      </c>
      <c r="V94" s="439"/>
      <c r="W94" s="430"/>
      <c r="X94" s="104"/>
      <c r="Y94" s="429" t="e">
        <f ca="1">Y$93/($E$93+$I$93+$M$93+$Q$93+$U$93+$Y$93)</f>
        <v>#DIV/0!</v>
      </c>
      <c r="Z94" s="439"/>
      <c r="AA94" s="430"/>
      <c r="AB94" s="86"/>
      <c r="AC94" s="500" t="e">
        <f ca="1">E94+I94+M94+Q94+U94+Y94</f>
        <v>#DIV/0!</v>
      </c>
      <c r="AD94" s="500"/>
      <c r="AE94" s="500"/>
      <c r="AF94" s="86"/>
      <c r="AG94" s="101"/>
      <c r="AH94" s="87"/>
      <c r="AI94" s="87"/>
      <c r="AJ94" s="87"/>
      <c r="AK94" s="87" t="e" cm="1">
        <f t="array" aca="1" ref="AK94" ca="1">PWRF(I68,45,120)</f>
        <v>#NAME?</v>
      </c>
      <c r="AL94" s="87"/>
      <c r="AM94" s="98"/>
      <c r="AN94" s="98"/>
      <c r="AO94" s="98"/>
      <c r="AP94" s="98"/>
      <c r="AQ94" s="98"/>
      <c r="AR94" s="98"/>
      <c r="AS94" s="99"/>
      <c r="AT94" s="98"/>
      <c r="AU94" s="98"/>
      <c r="AV94" s="98"/>
      <c r="AW94" s="98"/>
      <c r="AX94" s="98"/>
      <c r="AY94" s="98"/>
      <c r="AZ94" s="98"/>
      <c r="BA94" s="98"/>
      <c r="BB94" s="99"/>
      <c r="BC94" s="98"/>
      <c r="BD94" s="98"/>
      <c r="BE94" s="98"/>
      <c r="BF94" s="98"/>
      <c r="BG94" s="98"/>
      <c r="BH94" s="98"/>
      <c r="BI94" s="98"/>
      <c r="BJ94" s="98"/>
    </row>
    <row r="95" spans="1:62" ht="14.25" customHeight="1" x14ac:dyDescent="0.25">
      <c r="A95" s="417" t="str">
        <f>"Compressor Power"</f>
        <v>Compressor Power</v>
      </c>
      <c r="B95" s="417"/>
      <c r="C95" s="417"/>
      <c r="D95" s="73"/>
      <c r="E95" s="470" cm="1">
        <f t="array" aca="1" ref="E95" ca="1">IFERROR(E$32*IF(MID(E$33,3,1)="V",PWRV(E$33,E$79,E$81,E$83),PWRF(E$33,E$81,E$83))+IFERROR(E$34*PWRF(E$35,E$81,E$83),1),0)</f>
        <v>0</v>
      </c>
      <c r="F95" s="470"/>
      <c r="G95" s="470"/>
      <c r="H95" s="21"/>
      <c r="I95" s="470" cm="1">
        <f t="array" aca="1" ref="I95" ca="1">IFERROR(I$32*IF(MID(I$33,3,1)="V",PWRV(I$33,I$79,I$81,I$83),PWRF(I$33,I$81,I$83))+IFERROR(I$34*PWRF(I$35,I$81,I$83),1),0)</f>
        <v>0</v>
      </c>
      <c r="J95" s="470"/>
      <c r="K95" s="470"/>
      <c r="L95" s="51"/>
      <c r="M95" s="429" cm="1">
        <f t="array" aca="1" ref="M95" ca="1">IFERROR(M$32*IF(MID(M$33,3,1)="V",PWRV(M$33,M$79,M$81,M$83),PWRF(M$33,M$81,M$83))+IFERROR(M$34*PWRF(M$35,M$81,M$83),1),0)</f>
        <v>0</v>
      </c>
      <c r="N95" s="439"/>
      <c r="O95" s="430"/>
      <c r="P95" s="51"/>
      <c r="Q95" s="429" cm="1">
        <f t="array" aca="1" ref="Q95" ca="1">IFERROR(Q$32*IF(MID(Q$33,3,1)="V",PWRV(Q$33,Q$79,Q$81,Q$83),PWRF(Q$33,Q$81,Q$83))+IFERROR(Q$34*PWRF(Q$35,Q$81,Q$83),1),0)</f>
        <v>0</v>
      </c>
      <c r="R95" s="439"/>
      <c r="S95" s="430"/>
      <c r="T95" s="53"/>
      <c r="U95" s="429" cm="1">
        <f t="array" aca="1" ref="U95" ca="1">IFERROR(U$32*IF(MID(U$33,3,1)="V",PWRV(U$33,U$79,U$81,U$83),PWRF(U$33,U$81,U$83))+IFERROR(U$34*PWRF(U$35,U$81,U$83),1),0)</f>
        <v>0</v>
      </c>
      <c r="V95" s="439"/>
      <c r="W95" s="430"/>
      <c r="X95" s="42"/>
      <c r="Y95" s="429" cm="1">
        <f t="array" aca="1" ref="Y95" ca="1">IFERROR(Y$32*IF(MID(Y$33,3,1)="V",PWRV(Y$33,Y$79,Y$81,Y$83),PWRF(Y$33,Y$81,Y$83))+IFERROR(Y$34*PWRF(Y$35,Y$81,Y$83),1),0)</f>
        <v>0</v>
      </c>
      <c r="Z95" s="439"/>
      <c r="AA95" s="430"/>
      <c r="AB95" s="53"/>
      <c r="AC95" s="501">
        <f ca="1">SUM(E95:AA95)</f>
        <v>0</v>
      </c>
      <c r="AD95" s="501"/>
      <c r="AE95" s="501"/>
      <c r="AF95" s="86"/>
      <c r="AG95" s="87"/>
      <c r="AH95" s="87"/>
      <c r="AI95" s="87">
        <f ca="1">1190000/(AC95+AC96)</f>
        <v>528.41918294849017</v>
      </c>
      <c r="AJ95" s="23"/>
      <c r="AK95" s="87"/>
      <c r="AL95" s="87"/>
      <c r="AM95" s="87"/>
      <c r="AN95" s="87"/>
      <c r="AO95" s="87"/>
      <c r="AP95" s="87"/>
      <c r="AQ95" s="87"/>
      <c r="AR95" s="87"/>
      <c r="AS95" s="88"/>
      <c r="AT95" s="87"/>
      <c r="AU95" s="87"/>
      <c r="AV95" s="87"/>
      <c r="AW95" s="87"/>
      <c r="AX95" s="87"/>
      <c r="AY95" s="87"/>
      <c r="AZ95" s="87"/>
      <c r="BA95" s="87"/>
      <c r="BB95" s="88"/>
      <c r="BC95" s="87"/>
      <c r="BD95" s="87"/>
      <c r="BE95" s="87"/>
      <c r="BF95" s="87"/>
      <c r="BG95" s="87"/>
      <c r="BH95" s="87"/>
      <c r="BI95" s="87"/>
      <c r="BJ95" s="87"/>
    </row>
    <row r="96" spans="1:62" ht="14.25" customHeight="1" x14ac:dyDescent="0.25">
      <c r="A96" s="417" t="s">
        <v>884</v>
      </c>
      <c r="B96" s="417"/>
      <c r="C96" s="417"/>
      <c r="D96" s="73"/>
      <c r="E96" s="470">
        <f>IFERROR(E44*E41,"")</f>
        <v>1126</v>
      </c>
      <c r="F96" s="470"/>
      <c r="G96" s="470"/>
      <c r="H96" s="21"/>
      <c r="I96" s="470">
        <f>IFERROR(I44*I41,"")</f>
        <v>1126</v>
      </c>
      <c r="J96" s="470"/>
      <c r="K96" s="470"/>
      <c r="L96" s="35"/>
      <c r="M96" s="429" t="str">
        <f>IFERROR(M44*M41,"")</f>
        <v/>
      </c>
      <c r="N96" s="439"/>
      <c r="O96" s="430"/>
      <c r="P96" s="35"/>
      <c r="Q96" s="429" t="str">
        <f>IFERROR(Q44*Q41,"")</f>
        <v/>
      </c>
      <c r="R96" s="439"/>
      <c r="S96" s="430"/>
      <c r="T96" s="1"/>
      <c r="U96" s="429" t="str">
        <f>IFERROR(U44*U41,"")</f>
        <v/>
      </c>
      <c r="V96" s="439"/>
      <c r="W96" s="430"/>
      <c r="X96" s="42"/>
      <c r="Y96" s="429" t="str">
        <f>IFERROR(Y44*Y41,"")</f>
        <v/>
      </c>
      <c r="Z96" s="439"/>
      <c r="AA96" s="430"/>
      <c r="AB96" s="1"/>
      <c r="AC96" s="501">
        <f>SUM(E96:AA96)</f>
        <v>2252</v>
      </c>
      <c r="AD96" s="501"/>
      <c r="AE96" s="501"/>
      <c r="AF96" s="86"/>
      <c r="AG96" s="87"/>
      <c r="AH96" s="87"/>
      <c r="AI96" s="87"/>
      <c r="AJ96" s="23"/>
      <c r="AK96" s="87"/>
      <c r="AL96" s="87"/>
      <c r="AM96" s="87"/>
      <c r="AN96" s="87"/>
      <c r="AO96" s="87"/>
      <c r="AP96" s="87"/>
      <c r="AQ96" s="87"/>
      <c r="AR96" s="87"/>
      <c r="AS96" s="88"/>
      <c r="AT96" s="87"/>
      <c r="AU96" s="87"/>
      <c r="AV96" s="87"/>
      <c r="AW96" s="87"/>
      <c r="AX96" s="87"/>
      <c r="AY96" s="87"/>
      <c r="AZ96" s="87"/>
      <c r="BA96" s="87"/>
      <c r="BB96" s="88"/>
      <c r="BC96" s="87"/>
      <c r="BD96" s="87"/>
      <c r="BE96" s="87"/>
      <c r="BF96" s="87"/>
      <c r="BG96" s="87"/>
      <c r="BH96" s="87"/>
      <c r="BI96" s="87"/>
      <c r="BJ96" s="87"/>
    </row>
    <row r="97" spans="1:62" ht="14.25" customHeight="1" x14ac:dyDescent="0.25">
      <c r="A97" s="417" t="s">
        <v>925</v>
      </c>
      <c r="B97" s="417"/>
      <c r="C97" s="417"/>
      <c r="D97" s="50"/>
      <c r="E97" s="502" cm="1">
        <f t="array" aca="1" ref="E97" ca="1">IFERROR(E$32*IF(MID(E$33,3,1)="V",REFV(E$33,E$79,E$81,E$83,E$85),refF(E$33,E$81,E$83,E$85))+IFERROR(E$34*refF(E$35,E$81,E$83,E$85),1),0)</f>
        <v>0</v>
      </c>
      <c r="F97" s="502"/>
      <c r="G97" s="502"/>
      <c r="H97" s="21"/>
      <c r="I97" s="502" cm="1">
        <f t="array" aca="1" ref="I97" ca="1">IFERROR(I$32*IF(MID(I$33,3,1)="V",REFV(I$33,I$79,I$81,I$83,I$85),refF(I$33,I$81,I$83,I$85))+IFERROR(I$34*refF(I$35,I$81,I$83,I$85),1),0)</f>
        <v>0</v>
      </c>
      <c r="J97" s="502"/>
      <c r="K97" s="502"/>
      <c r="L97" s="105"/>
      <c r="M97" s="429" cm="1">
        <f t="array" aca="1" ref="M97" ca="1">IFERROR(M$32*IF(MID(M$33,3,1)="V",REFV(M$33,M$79,M$81,M$83,M$85),refF(M$33,M$81,M$83,M$85))+IFERROR(M$34*refF(M$35,M$81,M$83,M$85),1),0)</f>
        <v>0</v>
      </c>
      <c r="N97" s="439"/>
      <c r="O97" s="430"/>
      <c r="P97" s="105"/>
      <c r="Q97" s="429" cm="1">
        <f t="array" aca="1" ref="Q97" ca="1">IFERROR(Q$32*IF(MID(Q$33,3,1)="V",REFV(Q$33,Q$79,Q$81,Q$83,Q$85),refF(Q$33,Q$81,Q$83,Q$85))+IFERROR(Q$34*refF(Q$35,Q$81,Q$83,Q$85),1),0)</f>
        <v>0</v>
      </c>
      <c r="R97" s="439"/>
      <c r="S97" s="430"/>
      <c r="T97" s="86"/>
      <c r="U97" s="429" cm="1">
        <f t="array" aca="1" ref="U97" ca="1">IFERROR(U$32*IF(MID(U$33,3,1)="V",REFV(U$33,U$79,U$81,U$83,U$85),refF(U$33,U$81,U$83,U$85))+IFERROR(U$34*refF(U$35,U$81,U$83,U$85),1),0)</f>
        <v>0</v>
      </c>
      <c r="V97" s="439"/>
      <c r="W97" s="430"/>
      <c r="X97" s="42"/>
      <c r="Y97" s="429" cm="1">
        <f t="array" aca="1" ref="Y97" ca="1">IFERROR(Y$32*IF(MID(Y$33,3,1)="V",REFV(Y$33,Y$79,Y$81,Y$83,Y$85),refF(Y$33,Y$81,Y$83,Y$85))+IFERROR(Y$34*refF(Y$35,Y$81,Y$83,Y$85),1),0)</f>
        <v>0</v>
      </c>
      <c r="Z97" s="439"/>
      <c r="AA97" s="430"/>
      <c r="AB97" s="86"/>
      <c r="AC97" s="503">
        <f ca="1">SUM(E97:AA97)</f>
        <v>0</v>
      </c>
      <c r="AD97" s="431"/>
      <c r="AE97" s="431"/>
      <c r="AF97" s="86"/>
      <c r="AG97" s="87"/>
      <c r="AH97" s="87"/>
      <c r="AI97" s="87"/>
      <c r="AJ97" s="23"/>
      <c r="AK97" s="87"/>
      <c r="AL97" s="87"/>
      <c r="AM97" s="106"/>
      <c r="AN97" s="87"/>
      <c r="AO97" s="87"/>
      <c r="AP97" s="87"/>
      <c r="AQ97" s="87"/>
      <c r="AR97" s="87"/>
      <c r="AS97" s="88"/>
      <c r="AT97" s="87"/>
      <c r="AU97" s="87"/>
      <c r="AV97" s="87"/>
      <c r="AW97" s="87"/>
      <c r="AX97" s="87"/>
      <c r="AY97" s="87"/>
      <c r="AZ97" s="87"/>
      <c r="BA97" s="87"/>
      <c r="BB97" s="88"/>
      <c r="BC97" s="87"/>
      <c r="BD97" s="87"/>
      <c r="BE97" s="87"/>
      <c r="BF97" s="87"/>
      <c r="BG97" s="87"/>
      <c r="BH97" s="87"/>
      <c r="BI97" s="87"/>
      <c r="BJ97" s="87"/>
    </row>
    <row r="98" spans="1:62" ht="14.25" customHeight="1" x14ac:dyDescent="0.25">
      <c r="A98" s="417" t="s">
        <v>926</v>
      </c>
      <c r="B98" s="417"/>
      <c r="C98" s="417"/>
      <c r="D98" s="50"/>
      <c r="E98" s="497">
        <f ca="1">IFERROR(E93+E95*3.413,0)</f>
        <v>0</v>
      </c>
      <c r="F98" s="497"/>
      <c r="G98" s="497"/>
      <c r="H98" s="21"/>
      <c r="I98" s="497">
        <f ca="1">IFERROR(I93+I95*3.413,0)</f>
        <v>0</v>
      </c>
      <c r="J98" s="497"/>
      <c r="K98" s="497"/>
      <c r="L98" s="100"/>
      <c r="M98" s="429">
        <f ca="1">IFERROR(M93+M95*3.413,0)</f>
        <v>0</v>
      </c>
      <c r="N98" s="439"/>
      <c r="O98" s="430"/>
      <c r="P98" s="100"/>
      <c r="Q98" s="429">
        <f ca="1">IFERROR(Q93+Q95*3.413,0)</f>
        <v>0</v>
      </c>
      <c r="R98" s="439"/>
      <c r="S98" s="430"/>
      <c r="T98" s="75"/>
      <c r="U98" s="429">
        <f ca="1">IFERROR(U93+U95*3.413,0)</f>
        <v>0</v>
      </c>
      <c r="V98" s="439"/>
      <c r="W98" s="430"/>
      <c r="X98" s="42"/>
      <c r="Y98" s="429">
        <f ca="1">IFERROR(Y93+Y95*3.413,0)</f>
        <v>0</v>
      </c>
      <c r="Z98" s="439"/>
      <c r="AA98" s="430"/>
      <c r="AB98" s="86"/>
      <c r="AC98" s="506">
        <f ca="1">SUM(E98:AA98)</f>
        <v>0</v>
      </c>
      <c r="AD98" s="506"/>
      <c r="AE98" s="506"/>
      <c r="AF98" s="86"/>
      <c r="AG98" s="87"/>
      <c r="AH98" s="87"/>
      <c r="AI98" s="87"/>
      <c r="AJ98" s="23"/>
      <c r="AK98" s="87"/>
      <c r="AL98" s="87"/>
      <c r="AM98" s="87"/>
      <c r="AN98" s="87"/>
      <c r="AO98" s="87"/>
      <c r="AP98" s="87"/>
      <c r="AQ98" s="87"/>
      <c r="AR98" s="87"/>
      <c r="AS98" s="88"/>
      <c r="AT98" s="87"/>
      <c r="AU98" s="87"/>
      <c r="AV98" s="87"/>
      <c r="AW98" s="87"/>
      <c r="AX98" s="87"/>
      <c r="AY98" s="87"/>
      <c r="AZ98" s="87"/>
      <c r="BA98" s="87"/>
      <c r="BB98" s="88"/>
      <c r="BC98" s="87"/>
      <c r="BD98" s="87"/>
      <c r="BE98" s="87"/>
      <c r="BF98" s="87"/>
      <c r="BG98" s="87"/>
      <c r="BH98" s="87"/>
      <c r="BI98" s="87"/>
      <c r="BJ98" s="87"/>
    </row>
    <row r="99" spans="1:62" ht="14.25" customHeight="1" x14ac:dyDescent="0.25">
      <c r="A99" s="417" t="s">
        <v>927</v>
      </c>
      <c r="B99" s="417"/>
      <c r="C99" s="417"/>
      <c r="D99" s="50"/>
      <c r="E99" s="504">
        <v>0</v>
      </c>
      <c r="F99" s="504"/>
      <c r="G99" s="504"/>
      <c r="H99" s="21"/>
      <c r="I99" s="504">
        <v>0</v>
      </c>
      <c r="J99" s="504"/>
      <c r="K99" s="504"/>
      <c r="L99" s="107"/>
      <c r="M99" s="504" t="s">
        <v>849</v>
      </c>
      <c r="N99" s="504"/>
      <c r="O99" s="504"/>
      <c r="P99" s="107"/>
      <c r="Q99" s="504" t="s">
        <v>849</v>
      </c>
      <c r="R99" s="504"/>
      <c r="S99" s="504"/>
      <c r="T99" s="1"/>
      <c r="U99" s="429" t="s">
        <v>849</v>
      </c>
      <c r="V99" s="439"/>
      <c r="W99" s="430"/>
      <c r="X99" s="42"/>
      <c r="Y99" s="429" t="s">
        <v>849</v>
      </c>
      <c r="Z99" s="439"/>
      <c r="AA99" s="430"/>
      <c r="AB99" s="1"/>
      <c r="AC99" s="82"/>
      <c r="AD99" s="82"/>
      <c r="AE99" s="82"/>
      <c r="AF99" s="86"/>
      <c r="AG99" s="87"/>
      <c r="AH99" s="87"/>
      <c r="AI99" s="87"/>
      <c r="AJ99" s="23"/>
      <c r="AK99" s="87"/>
      <c r="AL99" s="87"/>
      <c r="AM99" s="87"/>
      <c r="AN99" s="87"/>
      <c r="AO99" s="87"/>
      <c r="AP99" s="87"/>
      <c r="AQ99" s="87"/>
      <c r="AR99" s="87"/>
      <c r="AS99" s="88"/>
      <c r="AT99" s="87"/>
      <c r="AU99" s="87"/>
      <c r="AV99" s="87"/>
      <c r="AW99" s="87"/>
      <c r="AX99" s="87"/>
      <c r="AY99" s="87"/>
      <c r="AZ99" s="87"/>
      <c r="BA99" s="87"/>
      <c r="BB99" s="88"/>
      <c r="BC99" s="87"/>
      <c r="BD99" s="87"/>
      <c r="BE99" s="87"/>
      <c r="BF99" s="87"/>
      <c r="BG99" s="87"/>
      <c r="BH99" s="87"/>
      <c r="BI99" s="87"/>
      <c r="BJ99" s="87"/>
    </row>
    <row r="100" spans="1:62" ht="14.25" customHeight="1" x14ac:dyDescent="0.25">
      <c r="A100" s="417" t="s">
        <v>928</v>
      </c>
      <c r="B100" s="417"/>
      <c r="C100" s="417"/>
      <c r="D100" s="50"/>
      <c r="E100" s="504">
        <v>0</v>
      </c>
      <c r="F100" s="504"/>
      <c r="G100" s="504"/>
      <c r="H100" s="21"/>
      <c r="I100" s="504">
        <v>0</v>
      </c>
      <c r="J100" s="504"/>
      <c r="K100" s="504"/>
      <c r="L100" s="107"/>
      <c r="M100" s="107"/>
      <c r="N100" s="107"/>
      <c r="O100" s="107"/>
      <c r="P100" s="107"/>
      <c r="Q100" s="107"/>
      <c r="R100" s="107"/>
      <c r="S100" s="107"/>
      <c r="T100" s="75"/>
      <c r="U100" s="107"/>
      <c r="V100" s="107"/>
      <c r="W100" s="107"/>
      <c r="X100" s="42"/>
      <c r="Y100" s="429"/>
      <c r="Z100" s="439"/>
      <c r="AA100" s="430"/>
      <c r="AB100" s="86"/>
      <c r="AC100" s="86"/>
      <c r="AD100" s="86"/>
      <c r="AE100" s="86"/>
      <c r="AF100" s="86"/>
      <c r="AG100" s="87"/>
      <c r="AH100" s="87"/>
      <c r="AI100" s="87"/>
      <c r="AJ100" s="23"/>
      <c r="AK100" s="87"/>
      <c r="AL100" s="87"/>
      <c r="AM100" s="87"/>
      <c r="AN100" s="87"/>
      <c r="AO100" s="87"/>
      <c r="AP100" s="87"/>
      <c r="AQ100" s="87"/>
      <c r="AR100" s="87"/>
      <c r="AS100" s="88"/>
      <c r="AT100" s="87"/>
      <c r="AU100" s="87"/>
      <c r="AV100" s="87"/>
      <c r="AW100" s="87"/>
      <c r="AX100" s="87"/>
      <c r="AY100" s="87"/>
      <c r="AZ100" s="87"/>
      <c r="BA100" s="87"/>
      <c r="BB100" s="88"/>
      <c r="BC100" s="87"/>
      <c r="BD100" s="87"/>
      <c r="BE100" s="87"/>
      <c r="BF100" s="87"/>
      <c r="BG100" s="87"/>
      <c r="BH100" s="87"/>
      <c r="BI100" s="87"/>
      <c r="BJ100" s="87"/>
    </row>
    <row r="101" spans="1:62" ht="14.25" customHeight="1" x14ac:dyDescent="0.25">
      <c r="A101" s="417" t="s">
        <v>929</v>
      </c>
      <c r="B101" s="417"/>
      <c r="C101" s="417"/>
      <c r="D101" s="50"/>
      <c r="E101" s="505" t="e">
        <f ca="1">(E93+I93+M93+Q93+U93+Y93)/(E95+I95+M95+Q95+U95+Y95)</f>
        <v>#DIV/0!</v>
      </c>
      <c r="F101" s="505"/>
      <c r="G101" s="505"/>
      <c r="H101" s="505"/>
      <c r="I101" s="505"/>
      <c r="J101" s="505"/>
      <c r="K101" s="505"/>
      <c r="L101" s="505"/>
      <c r="M101" s="505"/>
      <c r="N101" s="505"/>
      <c r="O101" s="505"/>
      <c r="P101" s="505"/>
      <c r="Q101" s="505"/>
      <c r="R101" s="505"/>
      <c r="S101" s="505"/>
      <c r="T101" s="505"/>
      <c r="U101" s="505"/>
      <c r="V101" s="505"/>
      <c r="W101" s="505"/>
      <c r="X101" s="505"/>
      <c r="Y101" s="505"/>
      <c r="Z101" s="505"/>
      <c r="AA101" s="505"/>
      <c r="AB101" s="505"/>
      <c r="AC101" s="505"/>
      <c r="AD101" s="505"/>
      <c r="AE101" s="505"/>
      <c r="AF101" s="86"/>
      <c r="AG101" s="87"/>
      <c r="AH101" s="87"/>
      <c r="AI101" s="87"/>
      <c r="AJ101" s="23"/>
      <c r="AK101" s="87"/>
      <c r="AL101" s="87"/>
      <c r="AM101" s="87"/>
      <c r="AN101" s="87"/>
      <c r="AO101" s="87"/>
      <c r="AP101" s="87"/>
      <c r="AQ101" s="87"/>
      <c r="AR101" s="87"/>
      <c r="AS101" s="88"/>
      <c r="AT101" s="87"/>
      <c r="AU101" s="87"/>
      <c r="AV101" s="87"/>
      <c r="AW101" s="87"/>
      <c r="AX101" s="87"/>
      <c r="AY101" s="87"/>
      <c r="AZ101" s="87"/>
      <c r="BA101" s="87"/>
      <c r="BB101" s="88"/>
      <c r="BC101" s="87"/>
      <c r="BD101" s="87"/>
      <c r="BE101" s="87"/>
      <c r="BF101" s="87"/>
      <c r="BG101" s="87"/>
      <c r="BH101" s="87"/>
      <c r="BI101" s="87"/>
      <c r="BJ101" s="87"/>
    </row>
    <row r="102" spans="1:62" ht="14.25" customHeight="1" x14ac:dyDescent="0.25">
      <c r="A102" s="417" t="s">
        <v>930</v>
      </c>
      <c r="B102" s="417"/>
      <c r="C102" s="417"/>
      <c r="D102" s="50"/>
      <c r="E102" s="505">
        <f ca="1">(E93+I93+M93+Q93+U93+Y93)/(AC95+AC96)</f>
        <v>0</v>
      </c>
      <c r="F102" s="505"/>
      <c r="G102" s="505"/>
      <c r="H102" s="505"/>
      <c r="I102" s="505"/>
      <c r="J102" s="505"/>
      <c r="K102" s="505"/>
      <c r="L102" s="505"/>
      <c r="M102" s="505"/>
      <c r="N102" s="505"/>
      <c r="O102" s="505"/>
      <c r="P102" s="505"/>
      <c r="Q102" s="505"/>
      <c r="R102" s="505"/>
      <c r="S102" s="505"/>
      <c r="T102" s="505"/>
      <c r="U102" s="505"/>
      <c r="V102" s="505"/>
      <c r="W102" s="505"/>
      <c r="X102" s="505"/>
      <c r="Y102" s="505"/>
      <c r="Z102" s="505"/>
      <c r="AA102" s="505"/>
      <c r="AB102" s="505"/>
      <c r="AC102" s="505"/>
      <c r="AD102" s="505"/>
      <c r="AE102" s="505"/>
      <c r="AF102" s="86"/>
      <c r="AG102" s="87"/>
      <c r="AH102" s="87"/>
      <c r="AI102" s="87"/>
      <c r="AJ102" s="23"/>
      <c r="AK102" s="87"/>
      <c r="AL102" s="87"/>
      <c r="AM102" s="87"/>
      <c r="AN102" s="87"/>
      <c r="AO102" s="87"/>
      <c r="AP102" s="87"/>
      <c r="AQ102" s="87"/>
      <c r="AR102" s="87"/>
      <c r="AS102" s="88"/>
      <c r="AT102" s="87"/>
      <c r="AU102" s="87"/>
      <c r="AV102" s="87"/>
      <c r="AW102" s="87"/>
      <c r="AX102" s="87"/>
      <c r="AY102" s="87"/>
      <c r="AZ102" s="87"/>
      <c r="BA102" s="87"/>
      <c r="BB102" s="88"/>
      <c r="BC102" s="87"/>
      <c r="BD102" s="87"/>
      <c r="BE102" s="87"/>
      <c r="BF102" s="87"/>
      <c r="BG102" s="87"/>
      <c r="BH102" s="87"/>
      <c r="BI102" s="87"/>
      <c r="BJ102" s="87"/>
    </row>
    <row r="103" spans="1:62" ht="14.25" customHeight="1" x14ac:dyDescent="0.25">
      <c r="A103" s="417" t="s">
        <v>929</v>
      </c>
      <c r="B103" s="417"/>
      <c r="C103" s="417"/>
      <c r="D103" s="50"/>
      <c r="E103" s="507" t="e">
        <f ca="1">E93/E95</f>
        <v>#DIV/0!</v>
      </c>
      <c r="F103" s="507"/>
      <c r="G103" s="507"/>
      <c r="H103" s="108"/>
      <c r="I103" s="507" t="e">
        <f ca="1">I93/I95</f>
        <v>#DIV/0!</v>
      </c>
      <c r="J103" s="507"/>
      <c r="K103" s="507"/>
      <c r="L103" s="109"/>
      <c r="M103" s="507" t="e">
        <f ca="1">M93/M95</f>
        <v>#DIV/0!</v>
      </c>
      <c r="N103" s="507"/>
      <c r="O103" s="507"/>
      <c r="P103" s="109"/>
      <c r="Q103" s="507" t="e">
        <f ca="1">Q93/Q95</f>
        <v>#DIV/0!</v>
      </c>
      <c r="R103" s="507"/>
      <c r="S103" s="507"/>
      <c r="T103" s="97"/>
      <c r="U103" s="507" t="e">
        <f ca="1">U93/U95</f>
        <v>#DIV/0!</v>
      </c>
      <c r="V103" s="507"/>
      <c r="W103" s="507"/>
      <c r="X103" s="110"/>
      <c r="Y103" s="508" t="e">
        <f ca="1">Y93/Y95</f>
        <v>#DIV/0!</v>
      </c>
      <c r="Z103" s="509"/>
      <c r="AA103" s="510"/>
      <c r="AB103" s="97"/>
      <c r="AC103" s="505" t="e">
        <f ca="1">(E93+I93+M93+Q93+U93+Y93)/(E95+I95+M95+Q95+U95+Y95)</f>
        <v>#DIV/0!</v>
      </c>
      <c r="AD103" s="505"/>
      <c r="AE103" s="505"/>
      <c r="AF103" s="86"/>
      <c r="AG103" s="87"/>
      <c r="AH103" s="87"/>
      <c r="AI103" s="87"/>
      <c r="AJ103" s="23"/>
      <c r="AK103" s="87"/>
      <c r="AL103" s="87"/>
      <c r="AM103" s="87"/>
      <c r="AN103" s="87"/>
      <c r="AO103" s="87"/>
      <c r="AP103" s="87"/>
      <c r="AQ103" s="87"/>
      <c r="AR103" s="87"/>
      <c r="AS103" s="88"/>
      <c r="AT103" s="87"/>
      <c r="AU103" s="87"/>
      <c r="AV103" s="87"/>
      <c r="AW103" s="87"/>
      <c r="AX103" s="87"/>
      <c r="AY103" s="87"/>
      <c r="AZ103" s="87"/>
      <c r="BA103" s="87"/>
      <c r="BB103" s="88"/>
      <c r="BC103" s="87"/>
      <c r="BD103" s="87"/>
      <c r="BE103" s="87"/>
      <c r="BF103" s="87"/>
      <c r="BG103" s="87"/>
      <c r="BH103" s="87"/>
      <c r="BI103" s="87"/>
      <c r="BJ103" s="87"/>
    </row>
    <row r="104" spans="1:62" ht="14.25" customHeight="1" x14ac:dyDescent="0.25">
      <c r="A104" s="417" t="s">
        <v>930</v>
      </c>
      <c r="B104" s="417"/>
      <c r="C104" s="417"/>
      <c r="D104" s="50"/>
      <c r="E104" s="507">
        <f ca="1">IFERROR(E93/(E95+E96),"")</f>
        <v>0</v>
      </c>
      <c r="F104" s="507"/>
      <c r="G104" s="507"/>
      <c r="H104" s="108"/>
      <c r="I104" s="507">
        <f ca="1">IFERROR(I93/(I95+I96),"")</f>
        <v>0</v>
      </c>
      <c r="J104" s="507"/>
      <c r="K104" s="507"/>
      <c r="L104" s="109"/>
      <c r="M104" s="507" t="str">
        <f ca="1">IFERROR(M93/(M95+M96),"")</f>
        <v/>
      </c>
      <c r="N104" s="507"/>
      <c r="O104" s="507"/>
      <c r="P104" s="109"/>
      <c r="Q104" s="507" t="str">
        <f ca="1">IFERROR(Q93/(Q95+Q96),"")</f>
        <v/>
      </c>
      <c r="R104" s="507"/>
      <c r="S104" s="507"/>
      <c r="T104" s="97"/>
      <c r="U104" s="507" t="str">
        <f ca="1">IFERROR(U93/(U95+U96),"")</f>
        <v/>
      </c>
      <c r="V104" s="507"/>
      <c r="W104" s="507"/>
      <c r="X104" s="110"/>
      <c r="Y104" s="507" t="str">
        <f ca="1">IFERROR(Y93/(Y95+Y96),"")</f>
        <v/>
      </c>
      <c r="Z104" s="507"/>
      <c r="AA104" s="507"/>
      <c r="AB104" s="97"/>
      <c r="AC104" s="505">
        <f ca="1">(E93+I93+M93+Q93+U93+Y93)/(AC95+AC96)</f>
        <v>0</v>
      </c>
      <c r="AD104" s="505"/>
      <c r="AE104" s="505"/>
      <c r="AF104" s="86"/>
      <c r="AG104" s="87"/>
      <c r="AH104" s="87"/>
      <c r="AI104" s="87"/>
      <c r="AJ104" s="23"/>
      <c r="AK104" s="87"/>
      <c r="AL104" s="87"/>
      <c r="AM104" s="87"/>
      <c r="AN104" s="87"/>
      <c r="AO104" s="87"/>
      <c r="AP104" s="87"/>
      <c r="AQ104" s="87"/>
      <c r="AR104" s="87"/>
      <c r="AS104" s="88"/>
      <c r="AT104" s="87"/>
      <c r="AU104" s="87"/>
      <c r="AV104" s="87"/>
      <c r="AW104" s="87"/>
      <c r="AX104" s="87"/>
      <c r="AY104" s="87"/>
      <c r="AZ104" s="87"/>
      <c r="BA104" s="87"/>
      <c r="BB104" s="88"/>
      <c r="BC104" s="87"/>
      <c r="BD104" s="87"/>
      <c r="BE104" s="87"/>
      <c r="BF104" s="87"/>
      <c r="BG104" s="87"/>
      <c r="BH104" s="87"/>
      <c r="BI104" s="87"/>
      <c r="BJ104" s="87"/>
    </row>
    <row r="105" spans="1:62" ht="14.25" customHeight="1" x14ac:dyDescent="0.25">
      <c r="A105" s="417" t="str">
        <f>C8&amp;" EER @ AHRI"</f>
        <v>RTU EER @ AHRI</v>
      </c>
      <c r="B105" s="417"/>
      <c r="C105" s="417"/>
      <c r="D105" s="50"/>
      <c r="E105" s="505">
        <f ca="1">(E93+I93+M93+Q93+U93+Y93)/(AC95+AC96+$C$23+$J$23+$AD$21)</f>
        <v>0</v>
      </c>
      <c r="F105" s="505"/>
      <c r="G105" s="505"/>
      <c r="H105" s="505"/>
      <c r="I105" s="505"/>
      <c r="J105" s="505"/>
      <c r="K105" s="505"/>
      <c r="L105" s="505"/>
      <c r="M105" s="505"/>
      <c r="N105" s="505"/>
      <c r="O105" s="505"/>
      <c r="P105" s="505"/>
      <c r="Q105" s="505"/>
      <c r="R105" s="505"/>
      <c r="S105" s="505"/>
      <c r="T105" s="505"/>
      <c r="U105" s="505"/>
      <c r="V105" s="505"/>
      <c r="W105" s="505"/>
      <c r="X105" s="505"/>
      <c r="Y105" s="505"/>
      <c r="Z105" s="505"/>
      <c r="AA105" s="505"/>
      <c r="AB105" s="505"/>
      <c r="AC105" s="505"/>
      <c r="AD105" s="505"/>
      <c r="AE105" s="505"/>
      <c r="AF105" s="86"/>
      <c r="AG105" s="87"/>
      <c r="AH105" s="87"/>
      <c r="AI105" s="87"/>
      <c r="AJ105" s="23"/>
      <c r="AK105" s="87"/>
      <c r="AL105" s="87"/>
      <c r="AM105" s="87"/>
      <c r="AN105" s="87"/>
      <c r="AO105" s="87"/>
      <c r="AP105" s="87"/>
      <c r="AQ105" s="87"/>
      <c r="AR105" s="87"/>
      <c r="AS105" s="88"/>
      <c r="AT105" s="87"/>
      <c r="AU105" s="87"/>
      <c r="AV105" s="87"/>
      <c r="AW105" s="87"/>
      <c r="AX105" s="87"/>
      <c r="AY105" s="87"/>
      <c r="AZ105" s="87"/>
      <c r="BA105" s="87"/>
      <c r="BB105" s="88"/>
      <c r="BC105" s="87"/>
      <c r="BD105" s="87"/>
      <c r="BE105" s="87"/>
      <c r="BF105" s="87"/>
      <c r="BG105" s="87"/>
      <c r="BH105" s="87"/>
      <c r="BI105" s="87"/>
      <c r="BJ105" s="87"/>
    </row>
    <row r="106" spans="1:62" ht="14.25" customHeight="1" x14ac:dyDescent="0.25">
      <c r="A106" s="4"/>
      <c r="B106" s="4"/>
      <c r="C106" s="4"/>
      <c r="D106" s="50"/>
      <c r="E106" s="107"/>
      <c r="F106" s="107"/>
      <c r="G106" s="107"/>
      <c r="H106" s="21"/>
      <c r="I106" s="107"/>
      <c r="J106" s="107"/>
      <c r="K106" s="107"/>
      <c r="L106" s="111"/>
      <c r="M106" s="107"/>
      <c r="N106" s="107"/>
      <c r="O106" s="107"/>
      <c r="P106" s="111"/>
      <c r="Q106" s="107"/>
      <c r="R106" s="107"/>
      <c r="S106" s="107"/>
      <c r="T106" s="86"/>
      <c r="U106" s="107"/>
      <c r="V106" s="107"/>
      <c r="W106" s="107"/>
      <c r="X106" s="42"/>
      <c r="Y106" s="107"/>
      <c r="Z106" s="107"/>
      <c r="AA106" s="107"/>
      <c r="AB106" s="86"/>
      <c r="AC106" s="112"/>
      <c r="AD106" s="112"/>
      <c r="AE106" s="112"/>
      <c r="AF106" s="86"/>
      <c r="AG106" s="87"/>
      <c r="AH106" s="87"/>
      <c r="AI106" s="87"/>
      <c r="AJ106" s="23"/>
      <c r="AK106" s="87"/>
      <c r="AL106" s="87"/>
      <c r="AM106" s="87"/>
      <c r="AN106" s="87"/>
      <c r="AO106" s="87"/>
      <c r="AP106" s="87"/>
      <c r="AQ106" s="87"/>
      <c r="AR106" s="87"/>
      <c r="AS106" s="88"/>
      <c r="AT106" s="87"/>
      <c r="AU106" s="87"/>
      <c r="AV106" s="87"/>
      <c r="AW106" s="87"/>
      <c r="AX106" s="87"/>
      <c r="AY106" s="87"/>
      <c r="AZ106" s="87"/>
      <c r="BA106" s="87"/>
      <c r="BB106" s="88"/>
      <c r="BC106" s="87"/>
      <c r="BD106" s="87"/>
      <c r="BE106" s="87"/>
      <c r="BF106" s="87"/>
      <c r="BG106" s="87"/>
      <c r="BH106" s="87"/>
      <c r="BI106" s="87"/>
      <c r="BJ106" s="87"/>
    </row>
    <row r="107" spans="1:62" ht="14.25" customHeight="1" x14ac:dyDescent="0.25">
      <c r="A107" s="4"/>
      <c r="B107" s="4"/>
      <c r="C107" s="4"/>
      <c r="D107" s="50"/>
      <c r="E107" s="107"/>
      <c r="F107" s="107"/>
      <c r="G107" s="107"/>
      <c r="H107" s="21"/>
      <c r="I107" s="107"/>
      <c r="J107" s="107"/>
      <c r="K107" s="107"/>
      <c r="L107" s="111"/>
      <c r="M107" s="107"/>
      <c r="N107" s="107"/>
      <c r="O107" s="107"/>
      <c r="P107" s="111"/>
      <c r="Q107" s="107"/>
      <c r="R107" s="107"/>
      <c r="S107" s="107"/>
      <c r="T107" s="86"/>
      <c r="U107" s="107"/>
      <c r="V107" s="107"/>
      <c r="W107" s="107"/>
      <c r="X107" s="42"/>
      <c r="Y107" s="107"/>
      <c r="Z107" s="107"/>
      <c r="AA107" s="107"/>
      <c r="AB107" s="86"/>
      <c r="AC107" s="112"/>
      <c r="AD107" s="112"/>
      <c r="AE107" s="112"/>
      <c r="AF107" s="86"/>
      <c r="AG107" s="87"/>
      <c r="AH107" s="87"/>
      <c r="AI107" s="87"/>
      <c r="AJ107" s="23"/>
      <c r="AK107" s="87"/>
      <c r="AL107" s="87"/>
      <c r="AM107" s="87"/>
      <c r="AN107" s="87"/>
      <c r="AO107" s="87"/>
      <c r="AP107" s="87"/>
      <c r="AQ107" s="87"/>
      <c r="AR107" s="87"/>
      <c r="AS107" s="88"/>
      <c r="AT107" s="87"/>
      <c r="AU107" s="87"/>
      <c r="AV107" s="87"/>
      <c r="AW107" s="87"/>
      <c r="AX107" s="87"/>
      <c r="AY107" s="87"/>
      <c r="AZ107" s="87"/>
      <c r="BA107" s="87"/>
      <c r="BB107" s="88"/>
      <c r="BC107" s="87"/>
      <c r="BD107" s="87"/>
      <c r="BE107" s="87"/>
      <c r="BF107" s="87"/>
      <c r="BG107" s="87"/>
      <c r="BH107" s="87"/>
      <c r="BI107" s="87"/>
      <c r="BJ107" s="87"/>
    </row>
    <row r="108" spans="1:62" ht="14.25" customHeight="1" x14ac:dyDescent="0.25">
      <c r="A108" s="4"/>
      <c r="B108" s="4"/>
      <c r="C108" s="4"/>
      <c r="D108" s="50"/>
      <c r="E108" s="107"/>
      <c r="F108" s="107"/>
      <c r="G108" s="107"/>
      <c r="H108" s="21"/>
      <c r="I108" s="107"/>
      <c r="J108" s="107"/>
      <c r="K108" s="107"/>
      <c r="L108" s="111"/>
      <c r="M108" s="107"/>
      <c r="N108" s="107"/>
      <c r="O108" s="107"/>
      <c r="P108" s="111"/>
      <c r="Q108" s="107"/>
      <c r="R108" s="107"/>
      <c r="S108" s="107"/>
      <c r="T108" s="86"/>
      <c r="U108" s="107"/>
      <c r="V108" s="107"/>
      <c r="W108" s="107"/>
      <c r="X108" s="42"/>
      <c r="Y108" s="107"/>
      <c r="Z108" s="107"/>
      <c r="AA108" s="107"/>
      <c r="AB108" s="86"/>
      <c r="AC108" s="112"/>
      <c r="AD108" s="112"/>
      <c r="AE108" s="112"/>
      <c r="AF108" s="86"/>
      <c r="AG108" s="87"/>
      <c r="AH108" s="87"/>
      <c r="AI108" s="87"/>
      <c r="AJ108" s="23"/>
      <c r="AK108" s="87"/>
      <c r="AL108" s="87"/>
      <c r="AM108" s="87"/>
      <c r="AN108" s="87"/>
      <c r="AO108" s="87"/>
      <c r="AP108" s="87"/>
      <c r="AQ108" s="87"/>
      <c r="AR108" s="87"/>
      <c r="AS108" s="88"/>
      <c r="AT108" s="87"/>
      <c r="AU108" s="87"/>
      <c r="AV108" s="87"/>
      <c r="AW108" s="87"/>
      <c r="AX108" s="87"/>
      <c r="AY108" s="87"/>
      <c r="AZ108" s="87"/>
      <c r="BA108" s="87"/>
      <c r="BB108" s="88"/>
      <c r="BC108" s="87"/>
      <c r="BD108" s="87"/>
      <c r="BE108" s="87"/>
      <c r="BF108" s="87"/>
      <c r="BG108" s="87"/>
      <c r="BH108" s="87"/>
      <c r="BI108" s="87"/>
      <c r="BJ108" s="87"/>
    </row>
    <row r="109" spans="1:62" ht="14.25" customHeight="1" x14ac:dyDescent="0.25">
      <c r="A109" s="4"/>
      <c r="B109" s="4"/>
      <c r="C109" s="4"/>
      <c r="D109" s="50"/>
      <c r="E109" s="107"/>
      <c r="F109" s="107"/>
      <c r="G109" s="107"/>
      <c r="H109" s="21"/>
      <c r="I109" s="107"/>
      <c r="J109" s="107"/>
      <c r="K109" s="107"/>
      <c r="L109" s="111"/>
      <c r="M109" s="107"/>
      <c r="N109" s="107"/>
      <c r="O109" s="107"/>
      <c r="P109" s="111"/>
      <c r="Q109" s="107"/>
      <c r="R109" s="107"/>
      <c r="S109" s="107"/>
      <c r="T109" s="86"/>
      <c r="U109" s="107"/>
      <c r="V109" s="107"/>
      <c r="W109" s="107"/>
      <c r="X109" s="42"/>
      <c r="Y109" s="107"/>
      <c r="Z109" s="107"/>
      <c r="AA109" s="107"/>
      <c r="AB109" s="86"/>
      <c r="AC109" s="112"/>
      <c r="AD109" s="112"/>
      <c r="AE109" s="112"/>
      <c r="AF109" s="86"/>
      <c r="AG109" s="87"/>
      <c r="AH109" s="87"/>
      <c r="AI109" s="87"/>
      <c r="AJ109" s="23"/>
      <c r="AK109" s="87"/>
      <c r="AL109" s="87"/>
      <c r="AM109" s="87"/>
      <c r="AN109" s="87"/>
      <c r="AO109" s="87"/>
      <c r="AP109" s="87"/>
      <c r="AQ109" s="87"/>
      <c r="AR109" s="87"/>
      <c r="AS109" s="88"/>
      <c r="AT109" s="87"/>
      <c r="AU109" s="87"/>
      <c r="AV109" s="87"/>
      <c r="AW109" s="87"/>
      <c r="AX109" s="87"/>
      <c r="AY109" s="87"/>
      <c r="AZ109" s="87"/>
      <c r="BA109" s="87"/>
      <c r="BB109" s="88"/>
      <c r="BC109" s="87"/>
      <c r="BD109" s="87"/>
      <c r="BE109" s="87"/>
      <c r="BF109" s="87"/>
      <c r="BG109" s="87"/>
      <c r="BH109" s="87"/>
      <c r="BI109" s="87"/>
      <c r="BJ109" s="87"/>
    </row>
    <row r="110" spans="1:62" ht="14.25" customHeight="1" x14ac:dyDescent="0.25">
      <c r="A110" s="4"/>
      <c r="B110" s="4"/>
      <c r="C110" s="4"/>
      <c r="D110" s="50"/>
      <c r="E110" s="107"/>
      <c r="F110" s="107"/>
      <c r="G110" s="107"/>
      <c r="H110" s="21"/>
      <c r="I110" s="107"/>
      <c r="J110" s="107"/>
      <c r="K110" s="107"/>
      <c r="L110" s="111"/>
      <c r="M110" s="107"/>
      <c r="N110" s="107"/>
      <c r="O110" s="107"/>
      <c r="P110" s="111"/>
      <c r="Q110" s="107"/>
      <c r="R110" s="107"/>
      <c r="S110" s="107"/>
      <c r="T110" s="86"/>
      <c r="U110" s="107"/>
      <c r="V110" s="107"/>
      <c r="W110" s="107"/>
      <c r="X110" s="42"/>
      <c r="Y110" s="107"/>
      <c r="Z110" s="107"/>
      <c r="AA110" s="107"/>
      <c r="AB110" s="86"/>
      <c r="AC110" s="112"/>
      <c r="AD110" s="112"/>
      <c r="AE110" s="112"/>
      <c r="AF110" s="86"/>
      <c r="AG110" s="87"/>
      <c r="AH110" s="87"/>
      <c r="AI110" s="87"/>
      <c r="AJ110" s="23"/>
      <c r="AK110" s="87"/>
      <c r="AL110" s="87"/>
      <c r="AM110" s="87"/>
      <c r="AN110" s="87"/>
      <c r="AO110" s="87"/>
      <c r="AP110" s="87"/>
      <c r="AQ110" s="87"/>
      <c r="AR110" s="87"/>
      <c r="AS110" s="88"/>
      <c r="AT110" s="87"/>
      <c r="AU110" s="87"/>
      <c r="AV110" s="87"/>
      <c r="AW110" s="87"/>
      <c r="AX110" s="87"/>
      <c r="AY110" s="87"/>
      <c r="AZ110" s="87"/>
      <c r="BA110" s="87"/>
      <c r="BB110" s="88"/>
      <c r="BC110" s="87"/>
      <c r="BD110" s="87"/>
      <c r="BE110" s="87"/>
      <c r="BF110" s="87"/>
      <c r="BG110" s="87"/>
      <c r="BH110" s="87"/>
      <c r="BI110" s="87"/>
      <c r="BJ110" s="87"/>
    </row>
    <row r="111" spans="1:62" ht="14.25" customHeight="1" x14ac:dyDescent="0.25">
      <c r="A111" s="4"/>
      <c r="B111" s="4"/>
      <c r="C111" s="4"/>
      <c r="D111" s="50"/>
      <c r="E111" s="107"/>
      <c r="F111" s="107"/>
      <c r="G111" s="107"/>
      <c r="H111" s="21"/>
      <c r="I111" s="107"/>
      <c r="J111" s="107"/>
      <c r="K111" s="107"/>
      <c r="L111" s="111"/>
      <c r="M111" s="107"/>
      <c r="N111" s="107"/>
      <c r="O111" s="107"/>
      <c r="P111" s="111"/>
      <c r="Q111" s="107"/>
      <c r="R111" s="107"/>
      <c r="S111" s="107"/>
      <c r="T111" s="86"/>
      <c r="U111" s="107"/>
      <c r="V111" s="107"/>
      <c r="W111" s="107"/>
      <c r="X111" s="42"/>
      <c r="Y111" s="107"/>
      <c r="Z111" s="107"/>
      <c r="AA111" s="107"/>
      <c r="AB111" s="86"/>
      <c r="AC111" s="112"/>
      <c r="AD111" s="112"/>
      <c r="AE111" s="112"/>
      <c r="AF111" s="86"/>
      <c r="AG111" s="87"/>
      <c r="AH111" s="87"/>
      <c r="AI111" s="87"/>
      <c r="AJ111" s="23"/>
      <c r="AK111" s="87"/>
      <c r="AL111" s="87"/>
      <c r="AM111" s="87"/>
      <c r="AN111" s="87"/>
      <c r="AO111" s="87"/>
      <c r="AP111" s="87"/>
      <c r="AQ111" s="87"/>
      <c r="AR111" s="87"/>
      <c r="AS111" s="88"/>
      <c r="AT111" s="87"/>
      <c r="AU111" s="87"/>
      <c r="AV111" s="87"/>
      <c r="AW111" s="87"/>
      <c r="AX111" s="87"/>
      <c r="AY111" s="87"/>
      <c r="AZ111" s="87"/>
      <c r="BA111" s="87"/>
      <c r="BB111" s="88"/>
      <c r="BC111" s="87"/>
      <c r="BD111" s="87"/>
      <c r="BE111" s="87"/>
      <c r="BF111" s="87"/>
      <c r="BG111" s="87"/>
      <c r="BH111" s="87"/>
      <c r="BI111" s="87"/>
      <c r="BJ111" s="87"/>
    </row>
    <row r="112" spans="1:62" ht="14.25" customHeight="1" x14ac:dyDescent="0.25">
      <c r="A112" s="425" t="s">
        <v>931</v>
      </c>
      <c r="B112" s="417"/>
      <c r="C112" s="417"/>
      <c r="D112" s="50"/>
      <c r="E112" s="462" t="s">
        <v>849</v>
      </c>
      <c r="F112" s="462"/>
      <c r="G112" s="462"/>
      <c r="H112" s="21"/>
      <c r="I112" s="462" t="s">
        <v>849</v>
      </c>
      <c r="J112" s="462"/>
      <c r="K112" s="462"/>
      <c r="L112" s="35"/>
      <c r="M112" s="462" t="s">
        <v>849</v>
      </c>
      <c r="N112" s="462"/>
      <c r="O112" s="462"/>
      <c r="P112" s="35"/>
      <c r="Q112" s="462" t="s">
        <v>849</v>
      </c>
      <c r="R112" s="462"/>
      <c r="S112" s="462"/>
      <c r="T112" s="1"/>
      <c r="U112" s="462" t="s">
        <v>849</v>
      </c>
      <c r="V112" s="462"/>
      <c r="W112" s="462"/>
      <c r="X112" s="42"/>
      <c r="Y112" s="462" t="s">
        <v>849</v>
      </c>
      <c r="Z112" s="462"/>
      <c r="AA112" s="462"/>
      <c r="AB112" s="1"/>
      <c r="AC112" s="431" t="s">
        <v>849</v>
      </c>
      <c r="AD112" s="431"/>
      <c r="AE112" s="431"/>
      <c r="AF112" s="86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113"/>
      <c r="AS112" s="88"/>
      <c r="AT112" s="23"/>
      <c r="AU112" s="23"/>
      <c r="AV112" s="23"/>
      <c r="AW112" s="23"/>
      <c r="AX112" s="23"/>
      <c r="AY112" s="23"/>
      <c r="AZ112" s="23"/>
      <c r="BA112" s="113"/>
      <c r="BB112" s="88"/>
      <c r="BC112" s="23"/>
      <c r="BD112" s="23"/>
      <c r="BE112" s="23"/>
      <c r="BF112" s="23"/>
      <c r="BG112" s="23"/>
      <c r="BH112" s="23"/>
      <c r="BI112" s="23"/>
      <c r="BJ112" s="23"/>
    </row>
    <row r="113" spans="1:62" ht="3.75" customHeight="1" x14ac:dyDescent="0.25">
      <c r="A113" s="425"/>
      <c r="B113" s="417"/>
      <c r="C113" s="417"/>
      <c r="D113" s="114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431"/>
      <c r="V113" s="431"/>
      <c r="W113" s="431"/>
      <c r="X113" s="114"/>
      <c r="Y113" s="431"/>
      <c r="Z113" s="431"/>
      <c r="AA113" s="431"/>
      <c r="AB113" s="114"/>
      <c r="AC113" s="114"/>
      <c r="AD113" s="114"/>
      <c r="AE113" s="114"/>
      <c r="AF113" s="114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  <c r="AR113" s="115"/>
      <c r="AS113" s="115"/>
      <c r="AT113" s="115"/>
      <c r="AU113" s="115"/>
      <c r="AV113" s="115"/>
      <c r="AW113" s="115"/>
      <c r="AX113" s="115"/>
      <c r="AY113" s="115"/>
      <c r="AZ113" s="115"/>
      <c r="BA113" s="115"/>
      <c r="BB113" s="115"/>
      <c r="BC113" s="115"/>
      <c r="BD113" s="115"/>
      <c r="BE113" s="115"/>
      <c r="BF113" s="115"/>
      <c r="BG113" s="115"/>
      <c r="BH113" s="115"/>
      <c r="BI113" s="115"/>
      <c r="BJ113" s="115"/>
    </row>
    <row r="114" spans="1:62" x14ac:dyDescent="0.25">
      <c r="A114" s="1"/>
      <c r="B114" s="1"/>
      <c r="C114" s="1"/>
      <c r="D114" s="1"/>
      <c r="E114" s="1"/>
      <c r="F114" s="86"/>
      <c r="G114" s="86"/>
      <c r="H114" s="86"/>
      <c r="I114" s="8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431"/>
      <c r="V114" s="431"/>
      <c r="W114" s="431"/>
      <c r="X114" s="116"/>
      <c r="Y114" s="431"/>
      <c r="Z114" s="431"/>
      <c r="AA114" s="431"/>
      <c r="AB114" s="116"/>
      <c r="AC114" s="117"/>
      <c r="AD114" s="117"/>
      <c r="AE114" s="117"/>
      <c r="AF114" s="117"/>
      <c r="AG114" s="115" t="e">
        <v>#N/A</v>
      </c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  <c r="AR114" s="115"/>
      <c r="AS114" s="115"/>
      <c r="AT114" s="115"/>
      <c r="AU114" s="115"/>
      <c r="AV114" s="115"/>
      <c r="AW114" s="115"/>
      <c r="AX114" s="115"/>
      <c r="AY114" s="115"/>
      <c r="AZ114" s="115"/>
      <c r="BA114" s="115"/>
      <c r="BB114" s="115"/>
      <c r="BC114" s="115"/>
      <c r="BD114" s="115"/>
      <c r="BE114" s="115"/>
      <c r="BF114" s="115"/>
      <c r="BG114" s="115"/>
      <c r="BH114" s="115"/>
      <c r="BI114" s="115"/>
      <c r="BJ114" s="115"/>
    </row>
    <row r="115" spans="1:62" x14ac:dyDescent="0.25">
      <c r="A115" s="425"/>
      <c r="B115" s="417"/>
      <c r="C115" s="417"/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431"/>
      <c r="V115" s="431"/>
      <c r="W115" s="431"/>
      <c r="X115" s="117"/>
      <c r="Y115" s="462"/>
      <c r="Z115" s="462"/>
      <c r="AA115" s="462"/>
      <c r="AB115" s="117"/>
      <c r="AC115" s="117"/>
      <c r="AD115" s="117"/>
      <c r="AE115" s="117"/>
      <c r="AF115" s="117"/>
      <c r="AG115" s="115"/>
      <c r="AH115" s="115"/>
      <c r="AI115" s="115"/>
      <c r="AJ115" s="115"/>
      <c r="AK115" s="115"/>
      <c r="AL115" s="115"/>
      <c r="AM115" s="115"/>
      <c r="AN115" s="115"/>
      <c r="AO115" s="115"/>
      <c r="AP115" s="115"/>
      <c r="AQ115" s="115"/>
      <c r="AR115" s="115"/>
      <c r="AS115" s="115"/>
      <c r="AT115" s="115"/>
      <c r="AU115" s="115"/>
      <c r="AV115" s="115"/>
      <c r="AW115" s="115"/>
      <c r="AX115" s="115"/>
      <c r="AY115" s="115"/>
      <c r="AZ115" s="115"/>
      <c r="BA115" s="115"/>
      <c r="BB115" s="115"/>
      <c r="BC115" s="115"/>
      <c r="BD115" s="115"/>
      <c r="BE115" s="115"/>
      <c r="BF115" s="115"/>
      <c r="BG115" s="115"/>
      <c r="BH115" s="115"/>
      <c r="BI115" s="115"/>
      <c r="BJ115" s="115"/>
    </row>
    <row r="116" spans="1:62" ht="3" customHeight="1" x14ac:dyDescent="0.25">
      <c r="A116" s="425"/>
      <c r="B116" s="417"/>
      <c r="C116" s="417"/>
      <c r="D116" s="117"/>
      <c r="E116" s="117"/>
      <c r="F116" s="117"/>
      <c r="G116" s="117"/>
      <c r="H116" s="117"/>
      <c r="I116" s="117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431"/>
      <c r="V116" s="431"/>
      <c r="W116" s="431"/>
      <c r="X116" s="116"/>
      <c r="Y116" s="462"/>
      <c r="Z116" s="462"/>
      <c r="AA116" s="462"/>
      <c r="AB116" s="116"/>
      <c r="AC116" s="116"/>
      <c r="AD116" s="117"/>
      <c r="AE116" s="117"/>
      <c r="AF116" s="117"/>
      <c r="AG116" s="115"/>
      <c r="AH116" s="115"/>
      <c r="AI116" s="115"/>
      <c r="AJ116" s="115"/>
      <c r="AK116" s="115"/>
      <c r="AL116" s="115"/>
      <c r="AM116" s="115"/>
      <c r="AN116" s="115"/>
      <c r="AO116" s="115"/>
      <c r="AP116" s="115"/>
      <c r="AQ116" s="115"/>
      <c r="AR116" s="115"/>
      <c r="AS116" s="115"/>
      <c r="AT116" s="115"/>
      <c r="AU116" s="115"/>
      <c r="AV116" s="115"/>
      <c r="AW116" s="115"/>
      <c r="AX116" s="115"/>
      <c r="AY116" s="115"/>
      <c r="AZ116" s="115"/>
      <c r="BA116" s="115"/>
      <c r="BB116" s="115"/>
      <c r="BC116" s="115"/>
      <c r="BD116" s="115"/>
      <c r="BE116" s="115"/>
      <c r="BF116" s="115"/>
      <c r="BG116" s="115"/>
      <c r="BH116" s="115"/>
      <c r="BI116" s="115"/>
      <c r="BJ116" s="115"/>
    </row>
    <row r="117" spans="1:62" x14ac:dyDescent="0.25">
      <c r="A117" s="425"/>
      <c r="B117" s="417"/>
      <c r="C117" s="417"/>
      <c r="D117" s="5"/>
      <c r="E117" s="5"/>
      <c r="F117" s="5"/>
      <c r="G117" s="5"/>
      <c r="H117" s="5"/>
      <c r="I117" s="22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431"/>
      <c r="V117" s="431"/>
      <c r="W117" s="431"/>
      <c r="X117" s="86"/>
      <c r="Y117" s="21"/>
      <c r="Z117" s="21"/>
      <c r="AA117" s="21"/>
      <c r="AB117" s="86"/>
      <c r="AC117" s="86"/>
      <c r="AD117" s="117"/>
      <c r="AE117" s="117"/>
      <c r="AF117" s="117"/>
      <c r="AG117" s="115"/>
      <c r="AH117" s="115"/>
      <c r="AI117" s="115"/>
      <c r="AJ117" s="115"/>
      <c r="AK117" s="115"/>
      <c r="AL117" s="115"/>
      <c r="AM117" s="115"/>
      <c r="AN117" s="115"/>
      <c r="AO117" s="115"/>
      <c r="AP117" s="115"/>
      <c r="AQ117" s="115"/>
      <c r="AR117" s="115"/>
      <c r="AS117" s="115"/>
      <c r="AT117" s="115"/>
      <c r="AU117" s="115"/>
      <c r="AV117" s="115"/>
      <c r="AW117" s="115"/>
      <c r="AX117" s="115"/>
      <c r="AY117" s="115"/>
      <c r="AZ117" s="115"/>
      <c r="BA117" s="115"/>
      <c r="BB117" s="115"/>
      <c r="BC117" s="115"/>
      <c r="BD117" s="115"/>
      <c r="BE117" s="115"/>
      <c r="BF117" s="115"/>
      <c r="BG117" s="115"/>
      <c r="BH117" s="115"/>
      <c r="BI117" s="115"/>
      <c r="BJ117" s="115"/>
    </row>
    <row r="118" spans="1:62" ht="3" customHeight="1" x14ac:dyDescent="0.25">
      <c r="A118" s="425"/>
      <c r="B118" s="417"/>
      <c r="C118" s="417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431"/>
      <c r="V118" s="431"/>
      <c r="W118" s="431"/>
      <c r="X118" s="22"/>
      <c r="Y118" s="21"/>
      <c r="Z118" s="21"/>
      <c r="AA118" s="21"/>
      <c r="AB118" s="22"/>
      <c r="AC118" s="22"/>
      <c r="AD118" s="117"/>
      <c r="AE118" s="117"/>
      <c r="AF118" s="117"/>
      <c r="AG118" s="115"/>
      <c r="AH118" s="115"/>
      <c r="AI118" s="115"/>
      <c r="AJ118" s="115"/>
      <c r="AK118" s="115"/>
      <c r="AL118" s="115"/>
      <c r="AM118" s="115"/>
      <c r="AN118" s="115"/>
      <c r="AO118" s="115"/>
      <c r="AP118" s="115"/>
      <c r="AQ118" s="115"/>
      <c r="AR118" s="115"/>
      <c r="AS118" s="115"/>
      <c r="AT118" s="115"/>
      <c r="AU118" s="115"/>
      <c r="AV118" s="115"/>
      <c r="AW118" s="115"/>
      <c r="AX118" s="115"/>
      <c r="AY118" s="115"/>
      <c r="AZ118" s="115"/>
      <c r="BA118" s="115"/>
      <c r="BB118" s="115"/>
      <c r="BC118" s="115"/>
      <c r="BD118" s="115"/>
      <c r="BE118" s="115"/>
      <c r="BF118" s="115"/>
      <c r="BG118" s="115"/>
      <c r="BH118" s="115"/>
      <c r="BI118" s="115"/>
      <c r="BJ118" s="115"/>
    </row>
    <row r="119" spans="1:62" ht="14.25" customHeight="1" x14ac:dyDescent="0.25">
      <c r="A119" s="425"/>
      <c r="B119" s="417"/>
      <c r="C119" s="417"/>
      <c r="D119" s="5"/>
      <c r="E119" s="5"/>
      <c r="F119" s="5"/>
      <c r="G119" s="5"/>
      <c r="H119" s="5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431"/>
      <c r="V119" s="431"/>
      <c r="W119" s="431"/>
      <c r="X119" s="16"/>
      <c r="Y119" s="21"/>
      <c r="Z119" s="21"/>
      <c r="AA119" s="21"/>
      <c r="AB119" s="22"/>
      <c r="AC119" s="22"/>
      <c r="AD119" s="117"/>
      <c r="AE119" s="117"/>
      <c r="AF119" s="117"/>
      <c r="AG119" s="115"/>
      <c r="AH119" s="115"/>
      <c r="AI119" s="115"/>
      <c r="AJ119" s="115"/>
      <c r="AK119" s="115"/>
      <c r="AL119" s="115"/>
      <c r="AM119" s="115"/>
      <c r="AN119" s="115"/>
      <c r="AO119" s="115"/>
      <c r="AP119" s="115"/>
      <c r="AQ119" s="115"/>
      <c r="AR119" s="115"/>
      <c r="AS119" s="115"/>
      <c r="AT119" s="115"/>
      <c r="AU119" s="115"/>
      <c r="AV119" s="115"/>
      <c r="AW119" s="115"/>
      <c r="AX119" s="115"/>
      <c r="AY119" s="115"/>
      <c r="AZ119" s="115"/>
      <c r="BA119" s="115"/>
      <c r="BB119" s="115"/>
      <c r="BC119" s="115"/>
      <c r="BD119" s="115"/>
      <c r="BE119" s="115"/>
      <c r="BF119" s="115"/>
      <c r="BG119" s="115"/>
      <c r="BH119" s="115"/>
      <c r="BI119" s="115"/>
      <c r="BJ119" s="115"/>
    </row>
    <row r="120" spans="1:62" ht="3" customHeight="1" x14ac:dyDescent="0.25">
      <c r="A120" s="512"/>
      <c r="B120" s="512"/>
      <c r="C120" s="51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462"/>
      <c r="V120" s="462"/>
      <c r="W120" s="462"/>
      <c r="X120" s="22"/>
      <c r="Y120" s="21"/>
      <c r="Z120" s="21"/>
      <c r="AA120" s="21"/>
      <c r="AB120" s="22"/>
      <c r="AC120" s="22"/>
      <c r="AD120" s="116"/>
      <c r="AE120" s="116"/>
      <c r="AF120" s="117"/>
      <c r="AG120" s="115"/>
      <c r="AH120" s="115"/>
      <c r="AI120" s="115"/>
      <c r="AJ120" s="115"/>
      <c r="AK120" s="115"/>
      <c r="AL120" s="115"/>
      <c r="AM120" s="115"/>
      <c r="AN120" s="115"/>
      <c r="AO120" s="115"/>
      <c r="AP120" s="115"/>
      <c r="AQ120" s="115"/>
      <c r="AR120" s="115"/>
      <c r="AS120" s="115"/>
      <c r="AT120" s="115"/>
      <c r="AU120" s="115"/>
      <c r="AV120" s="115"/>
      <c r="AW120" s="115"/>
      <c r="AX120" s="115"/>
      <c r="AY120" s="115"/>
      <c r="AZ120" s="115"/>
      <c r="BA120" s="115"/>
      <c r="BB120" s="115"/>
      <c r="BC120" s="115"/>
      <c r="BD120" s="115"/>
      <c r="BE120" s="115"/>
      <c r="BF120" s="115"/>
      <c r="BG120" s="115"/>
      <c r="BH120" s="115"/>
      <c r="BI120" s="115"/>
      <c r="BJ120" s="115"/>
    </row>
    <row r="121" spans="1:62" x14ac:dyDescent="0.25">
      <c r="A121" s="118"/>
      <c r="B121" s="118"/>
      <c r="C121" s="118"/>
      <c r="D121" s="86"/>
      <c r="E121" s="86"/>
      <c r="F121" s="86"/>
      <c r="G121" s="86"/>
      <c r="H121" s="8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462"/>
      <c r="V121" s="462"/>
      <c r="W121" s="462"/>
      <c r="X121" s="16"/>
      <c r="Y121" s="21"/>
      <c r="Z121" s="21"/>
      <c r="AA121" s="21"/>
      <c r="AB121" s="22"/>
      <c r="AC121" s="22"/>
      <c r="AD121" s="116"/>
      <c r="AE121" s="116"/>
      <c r="AF121" s="117"/>
      <c r="AG121" s="115"/>
      <c r="AH121" s="115"/>
      <c r="AI121" s="115"/>
      <c r="AJ121" s="115"/>
      <c r="AK121" s="115"/>
      <c r="AL121" s="115"/>
      <c r="AM121" s="115"/>
      <c r="AN121" s="115"/>
      <c r="AO121" s="115"/>
      <c r="AP121" s="115"/>
      <c r="AQ121" s="115"/>
      <c r="AR121" s="115"/>
      <c r="AS121" s="115"/>
      <c r="AT121" s="115"/>
      <c r="AU121" s="115"/>
      <c r="AV121" s="115"/>
      <c r="AW121" s="115"/>
      <c r="AX121" s="115"/>
      <c r="AY121" s="115"/>
      <c r="AZ121" s="115"/>
      <c r="BA121" s="115"/>
      <c r="BB121" s="115"/>
      <c r="BC121" s="115"/>
      <c r="BD121" s="115"/>
      <c r="BE121" s="115"/>
      <c r="BF121" s="115"/>
      <c r="BG121" s="115"/>
      <c r="BH121" s="115"/>
      <c r="BI121" s="115"/>
      <c r="BJ121" s="115"/>
    </row>
    <row r="122" spans="1:62" ht="3" customHeight="1" x14ac:dyDescent="0.25">
      <c r="A122" s="116"/>
      <c r="B122" s="116"/>
      <c r="C122" s="116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462"/>
      <c r="V122" s="462"/>
      <c r="W122" s="462"/>
      <c r="X122" s="22"/>
      <c r="Y122" s="513"/>
      <c r="Z122" s="513"/>
      <c r="AA122" s="513"/>
      <c r="AB122" s="22"/>
      <c r="AC122" s="22"/>
      <c r="AD122" s="116"/>
      <c r="AE122" s="116"/>
      <c r="AF122" s="117"/>
      <c r="AG122" s="115"/>
      <c r="AH122" s="115"/>
      <c r="AI122" s="115"/>
      <c r="AJ122" s="115"/>
      <c r="AK122" s="115"/>
      <c r="AL122" s="115"/>
      <c r="AM122" s="115"/>
      <c r="AN122" s="115"/>
      <c r="AO122" s="115"/>
      <c r="AP122" s="115"/>
      <c r="AQ122" s="115"/>
      <c r="AR122" s="115"/>
      <c r="AS122" s="115"/>
      <c r="AT122" s="115"/>
      <c r="AU122" s="115"/>
      <c r="AV122" s="115"/>
      <c r="AW122" s="115"/>
      <c r="AX122" s="115"/>
      <c r="AY122" s="115"/>
      <c r="AZ122" s="115"/>
      <c r="BA122" s="115"/>
      <c r="BB122" s="115"/>
      <c r="BC122" s="115"/>
      <c r="BD122" s="115"/>
      <c r="BE122" s="115"/>
      <c r="BF122" s="115"/>
      <c r="BG122" s="115"/>
      <c r="BH122" s="115"/>
      <c r="BI122" s="115"/>
      <c r="BJ122" s="115"/>
    </row>
    <row r="123" spans="1:62" x14ac:dyDescent="0.25">
      <c r="A123" s="116"/>
      <c r="B123" s="116"/>
      <c r="C123" s="116"/>
      <c r="D123" s="86"/>
      <c r="E123" s="86"/>
      <c r="F123" s="86"/>
      <c r="G123" s="86"/>
      <c r="H123" s="8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462"/>
      <c r="V123" s="462"/>
      <c r="W123" s="462"/>
      <c r="X123" s="16"/>
      <c r="Y123" s="21"/>
      <c r="Z123" s="21"/>
      <c r="AA123" s="21"/>
      <c r="AB123" s="22"/>
      <c r="AC123" s="22"/>
      <c r="AD123" s="116"/>
      <c r="AE123" s="116"/>
      <c r="AF123" s="117"/>
      <c r="AG123" s="115"/>
      <c r="AH123" s="115"/>
      <c r="AI123" s="115"/>
      <c r="AJ123" s="115"/>
      <c r="AK123" s="115"/>
      <c r="AL123" s="115"/>
      <c r="AM123" s="115"/>
      <c r="AN123" s="115"/>
      <c r="AO123" s="115"/>
      <c r="AP123" s="115"/>
      <c r="AQ123" s="115"/>
      <c r="AR123" s="115"/>
      <c r="AS123" s="115"/>
      <c r="AT123" s="115"/>
      <c r="AU123" s="115"/>
      <c r="AV123" s="115"/>
      <c r="AW123" s="115"/>
      <c r="AX123" s="115"/>
      <c r="AY123" s="115"/>
      <c r="AZ123" s="115"/>
      <c r="BA123" s="115"/>
      <c r="BB123" s="115"/>
      <c r="BC123" s="115"/>
      <c r="BD123" s="115"/>
      <c r="BE123" s="115"/>
      <c r="BF123" s="115"/>
      <c r="BG123" s="115"/>
      <c r="BH123" s="115"/>
      <c r="BI123" s="115"/>
      <c r="BJ123" s="115"/>
    </row>
    <row r="124" spans="1:62" ht="3" customHeight="1" x14ac:dyDescent="0.25">
      <c r="A124" s="116"/>
      <c r="B124" s="116"/>
      <c r="C124" s="116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462"/>
      <c r="V124" s="462"/>
      <c r="W124" s="462"/>
      <c r="X124" s="22"/>
      <c r="Y124" s="511"/>
      <c r="Z124" s="511"/>
      <c r="AA124" s="511"/>
      <c r="AB124" s="22"/>
      <c r="AC124" s="22"/>
      <c r="AD124" s="116"/>
      <c r="AE124" s="116"/>
      <c r="AF124" s="117"/>
      <c r="AG124" s="115"/>
      <c r="AH124" s="115"/>
      <c r="AI124" s="115"/>
      <c r="AJ124" s="115"/>
      <c r="AK124" s="115"/>
      <c r="AL124" s="115"/>
      <c r="AM124" s="115"/>
      <c r="AN124" s="115"/>
      <c r="AO124" s="115"/>
      <c r="AP124" s="115"/>
      <c r="AQ124" s="115"/>
      <c r="AR124" s="115"/>
      <c r="AS124" s="115"/>
      <c r="AT124" s="115"/>
      <c r="AU124" s="115"/>
      <c r="AV124" s="115"/>
      <c r="AW124" s="115"/>
      <c r="AX124" s="115"/>
      <c r="AY124" s="115"/>
      <c r="AZ124" s="115"/>
      <c r="BA124" s="115"/>
      <c r="BB124" s="115"/>
      <c r="BC124" s="115"/>
      <c r="BD124" s="115"/>
      <c r="BE124" s="115"/>
      <c r="BF124" s="115"/>
      <c r="BG124" s="115"/>
      <c r="BH124" s="115"/>
      <c r="BI124" s="115"/>
      <c r="BJ124" s="115"/>
    </row>
    <row r="125" spans="1:62" x14ac:dyDescent="0.2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6"/>
      <c r="U125" s="462"/>
      <c r="V125" s="462"/>
      <c r="W125" s="462"/>
      <c r="X125" s="119"/>
      <c r="Y125" s="511"/>
      <c r="Z125" s="511"/>
      <c r="AA125" s="511"/>
      <c r="AB125" s="119"/>
      <c r="AC125" s="119"/>
      <c r="AD125" s="116"/>
      <c r="AE125" s="116"/>
      <c r="AF125" s="117"/>
      <c r="AG125" s="115"/>
      <c r="AH125" s="115"/>
      <c r="AI125" s="115"/>
      <c r="AJ125" s="115"/>
      <c r="AK125" s="115"/>
      <c r="AL125" s="115"/>
      <c r="AM125" s="115"/>
      <c r="AN125" s="115"/>
      <c r="AO125" s="115"/>
      <c r="AP125" s="115"/>
      <c r="AQ125" s="115"/>
      <c r="AR125" s="115"/>
      <c r="AS125" s="115"/>
      <c r="AT125" s="115"/>
      <c r="AU125" s="115"/>
      <c r="AV125" s="115"/>
      <c r="AW125" s="115"/>
      <c r="AX125" s="115"/>
      <c r="AY125" s="115"/>
      <c r="AZ125" s="115"/>
      <c r="BA125" s="115"/>
      <c r="BB125" s="115"/>
      <c r="BC125" s="115"/>
      <c r="BD125" s="115"/>
      <c r="BE125" s="115"/>
      <c r="BF125" s="115"/>
      <c r="BG125" s="115"/>
      <c r="BH125" s="115"/>
      <c r="BI125" s="115"/>
      <c r="BJ125" s="115"/>
    </row>
    <row r="126" spans="1:62" ht="3" customHeight="1" x14ac:dyDescent="0.2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462"/>
      <c r="V126" s="462"/>
      <c r="W126" s="462"/>
      <c r="X126" s="22"/>
      <c r="Y126" s="511"/>
      <c r="Z126" s="511"/>
      <c r="AA126" s="511"/>
      <c r="AB126" s="22"/>
      <c r="AC126" s="22"/>
      <c r="AD126" s="116"/>
      <c r="AE126" s="116"/>
      <c r="AF126" s="117"/>
      <c r="AG126" s="115"/>
      <c r="AH126" s="115"/>
      <c r="AI126" s="115"/>
      <c r="AJ126" s="115"/>
      <c r="AK126" s="115"/>
      <c r="AL126" s="115"/>
      <c r="AM126" s="115"/>
      <c r="AN126" s="115"/>
      <c r="AO126" s="115"/>
      <c r="AP126" s="115"/>
      <c r="AQ126" s="115"/>
      <c r="AR126" s="115"/>
      <c r="AS126" s="115"/>
      <c r="AT126" s="115"/>
      <c r="AU126" s="115"/>
      <c r="AV126" s="115"/>
      <c r="AW126" s="115"/>
      <c r="AX126" s="115"/>
      <c r="AY126" s="115"/>
      <c r="AZ126" s="115"/>
      <c r="BA126" s="115"/>
      <c r="BB126" s="115"/>
      <c r="BC126" s="115"/>
      <c r="BD126" s="115"/>
      <c r="BE126" s="115"/>
      <c r="BF126" s="115"/>
      <c r="BG126" s="115"/>
      <c r="BH126" s="115"/>
      <c r="BI126" s="115"/>
      <c r="BJ126" s="115"/>
    </row>
    <row r="127" spans="1:62" x14ac:dyDescent="0.25">
      <c r="A127" s="86"/>
      <c r="B127" s="86"/>
      <c r="C127" s="86"/>
      <c r="D127" s="86"/>
      <c r="E127" s="86"/>
      <c r="F127" s="86"/>
      <c r="G127" s="86"/>
      <c r="H127" s="8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462"/>
      <c r="V127" s="462"/>
      <c r="W127" s="462"/>
      <c r="X127" s="16"/>
      <c r="Y127" s="511"/>
      <c r="Z127" s="511"/>
      <c r="AA127" s="511"/>
      <c r="AB127" s="16"/>
      <c r="AC127" s="86"/>
      <c r="AD127" s="116"/>
      <c r="AE127" s="116"/>
      <c r="AF127" s="117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5"/>
      <c r="AQ127" s="115"/>
      <c r="AR127" s="115"/>
      <c r="AS127" s="115"/>
      <c r="AT127" s="115"/>
      <c r="AU127" s="115"/>
      <c r="AV127" s="115"/>
      <c r="AW127" s="115"/>
      <c r="AX127" s="115"/>
      <c r="AY127" s="115"/>
      <c r="AZ127" s="115"/>
      <c r="BA127" s="115"/>
      <c r="BB127" s="115"/>
      <c r="BC127" s="115"/>
      <c r="BD127" s="115"/>
      <c r="BE127" s="115"/>
      <c r="BF127" s="115"/>
      <c r="BG127" s="115"/>
      <c r="BH127" s="115"/>
      <c r="BI127" s="115"/>
      <c r="BJ127" s="115"/>
    </row>
    <row r="128" spans="1:62" ht="3" customHeight="1" x14ac:dyDescent="0.2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462"/>
      <c r="V128" s="462"/>
      <c r="W128" s="462"/>
      <c r="X128" s="22"/>
      <c r="Y128" s="511"/>
      <c r="Z128" s="511"/>
      <c r="AA128" s="511"/>
      <c r="AB128" s="22"/>
      <c r="AC128" s="22"/>
      <c r="AD128" s="116"/>
      <c r="AE128" s="116"/>
      <c r="AF128" s="117"/>
      <c r="AG128" s="115"/>
      <c r="AH128" s="115"/>
      <c r="AI128" s="115"/>
      <c r="AJ128" s="115"/>
      <c r="AK128" s="115"/>
      <c r="AL128" s="115"/>
      <c r="AM128" s="115"/>
      <c r="AN128" s="115"/>
      <c r="AO128" s="115"/>
      <c r="AP128" s="115"/>
      <c r="AQ128" s="115"/>
      <c r="AR128" s="115"/>
      <c r="AS128" s="115"/>
      <c r="AT128" s="115"/>
      <c r="AU128" s="115"/>
      <c r="AV128" s="115"/>
      <c r="AW128" s="115"/>
      <c r="AX128" s="115"/>
      <c r="AY128" s="115"/>
      <c r="AZ128" s="115"/>
      <c r="BA128" s="115"/>
      <c r="BB128" s="115"/>
      <c r="BC128" s="115"/>
      <c r="BD128" s="115"/>
      <c r="BE128" s="115"/>
      <c r="BF128" s="115"/>
      <c r="BG128" s="115"/>
      <c r="BH128" s="115"/>
      <c r="BI128" s="115"/>
      <c r="BJ128" s="115"/>
    </row>
    <row r="129" spans="1:62" x14ac:dyDescent="0.25">
      <c r="A129" s="86"/>
      <c r="B129" s="86"/>
      <c r="C129" s="86"/>
      <c r="D129" s="86"/>
      <c r="E129" s="86"/>
      <c r="F129" s="86"/>
      <c r="G129" s="86"/>
      <c r="H129" s="86"/>
      <c r="I129" s="22"/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462"/>
      <c r="V129" s="462"/>
      <c r="W129" s="462"/>
      <c r="X129" s="86"/>
      <c r="Y129" s="516"/>
      <c r="Z129" s="516"/>
      <c r="AA129" s="516"/>
      <c r="AB129" s="86"/>
      <c r="AC129" s="86"/>
      <c r="AD129" s="116"/>
      <c r="AE129" s="116"/>
      <c r="AF129" s="117"/>
      <c r="AG129" s="115"/>
      <c r="AH129" s="115"/>
      <c r="AI129" s="115"/>
      <c r="AJ129" s="115"/>
      <c r="AK129" s="115"/>
      <c r="AL129" s="115"/>
      <c r="AM129" s="115"/>
      <c r="AN129" s="115"/>
      <c r="AO129" s="115"/>
      <c r="AP129" s="115"/>
      <c r="AQ129" s="115"/>
      <c r="AR129" s="115"/>
      <c r="AS129" s="115"/>
      <c r="AT129" s="115"/>
      <c r="AU129" s="115"/>
      <c r="AV129" s="115"/>
      <c r="AW129" s="115"/>
      <c r="AX129" s="115"/>
      <c r="AY129" s="115"/>
      <c r="AZ129" s="115"/>
      <c r="BA129" s="115"/>
      <c r="BB129" s="115"/>
      <c r="BC129" s="115"/>
      <c r="BD129" s="115"/>
      <c r="BE129" s="115"/>
      <c r="BF129" s="115"/>
      <c r="BG129" s="115"/>
      <c r="BH129" s="115"/>
      <c r="BI129" s="115"/>
      <c r="BJ129" s="115"/>
    </row>
    <row r="130" spans="1:62" ht="3" customHeight="1" x14ac:dyDescent="0.2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462"/>
      <c r="V130" s="462"/>
      <c r="W130" s="462"/>
      <c r="X130" s="22"/>
      <c r="Y130" s="514"/>
      <c r="Z130" s="514"/>
      <c r="AA130" s="514"/>
      <c r="AB130" s="22"/>
      <c r="AC130" s="22"/>
      <c r="AD130" s="116"/>
      <c r="AE130" s="116"/>
      <c r="AF130" s="117"/>
      <c r="AG130" s="115"/>
      <c r="AH130" s="115"/>
      <c r="AI130" s="115"/>
      <c r="AJ130" s="115"/>
      <c r="AK130" s="115"/>
      <c r="AL130" s="115"/>
      <c r="AM130" s="115"/>
      <c r="AN130" s="115"/>
      <c r="AO130" s="115"/>
      <c r="AP130" s="115"/>
      <c r="AQ130" s="115"/>
      <c r="AR130" s="115"/>
      <c r="AS130" s="115"/>
      <c r="AT130" s="115"/>
      <c r="AU130" s="115"/>
      <c r="AV130" s="115"/>
      <c r="AW130" s="115"/>
      <c r="AX130" s="115"/>
      <c r="AY130" s="115"/>
      <c r="AZ130" s="115"/>
      <c r="BA130" s="115"/>
      <c r="BB130" s="115"/>
      <c r="BC130" s="115"/>
      <c r="BD130" s="115"/>
      <c r="BE130" s="115"/>
      <c r="BF130" s="115"/>
      <c r="BG130" s="115"/>
      <c r="BH130" s="115"/>
      <c r="BI130" s="115"/>
      <c r="BJ130" s="115"/>
    </row>
    <row r="131" spans="1:62" x14ac:dyDescent="0.25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462"/>
      <c r="V131" s="462"/>
      <c r="W131" s="462"/>
      <c r="X131" s="86"/>
      <c r="Y131" s="515"/>
      <c r="Z131" s="515"/>
      <c r="AA131" s="515"/>
      <c r="AB131" s="22"/>
      <c r="AC131" s="22"/>
      <c r="AD131" s="116"/>
      <c r="AE131" s="116"/>
      <c r="AF131" s="117"/>
      <c r="AG131" s="115"/>
      <c r="AH131" s="115"/>
      <c r="AI131" s="115"/>
      <c r="AJ131" s="115"/>
      <c r="AK131" s="115"/>
      <c r="AL131" s="115"/>
      <c r="AM131" s="115"/>
      <c r="AN131" s="115"/>
      <c r="AO131" s="115"/>
      <c r="AP131" s="115"/>
      <c r="AQ131" s="115"/>
      <c r="AR131" s="115"/>
      <c r="AS131" s="115"/>
      <c r="AT131" s="115"/>
      <c r="AU131" s="115"/>
      <c r="AV131" s="115"/>
      <c r="AW131" s="115"/>
      <c r="AX131" s="115"/>
      <c r="AY131" s="115"/>
      <c r="AZ131" s="115"/>
      <c r="BA131" s="115"/>
      <c r="BB131" s="115"/>
      <c r="BC131" s="115"/>
      <c r="BD131" s="115"/>
      <c r="BE131" s="115"/>
      <c r="BF131" s="115"/>
      <c r="BG131" s="115"/>
      <c r="BH131" s="115"/>
      <c r="BI131" s="115"/>
      <c r="BJ131" s="115"/>
    </row>
    <row r="132" spans="1:62" ht="3" customHeight="1" x14ac:dyDescent="0.2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462"/>
      <c r="V132" s="462"/>
      <c r="W132" s="462"/>
      <c r="X132" s="22"/>
      <c r="Y132" s="512"/>
      <c r="Z132" s="512"/>
      <c r="AA132" s="512"/>
      <c r="AB132" s="22"/>
      <c r="AC132" s="22"/>
      <c r="AD132" s="116"/>
      <c r="AE132" s="116"/>
      <c r="AF132" s="117"/>
      <c r="AG132" s="115"/>
      <c r="AH132" s="115"/>
      <c r="AI132" s="115"/>
      <c r="AJ132" s="115"/>
      <c r="AK132" s="115"/>
      <c r="AL132" s="115"/>
      <c r="AM132" s="115"/>
      <c r="AN132" s="115"/>
      <c r="AO132" s="115"/>
      <c r="AP132" s="115"/>
      <c r="AQ132" s="115"/>
      <c r="AR132" s="115"/>
      <c r="AS132" s="115"/>
      <c r="AT132" s="115"/>
      <c r="AU132" s="115"/>
      <c r="AV132" s="115"/>
      <c r="AW132" s="115"/>
      <c r="AX132" s="115"/>
      <c r="AY132" s="115"/>
      <c r="AZ132" s="115"/>
      <c r="BA132" s="115"/>
      <c r="BB132" s="115"/>
      <c r="BC132" s="115"/>
      <c r="BD132" s="115"/>
      <c r="BE132" s="115"/>
      <c r="BF132" s="115"/>
      <c r="BG132" s="115"/>
      <c r="BH132" s="115"/>
      <c r="BI132" s="115"/>
      <c r="BJ132" s="115"/>
    </row>
    <row r="133" spans="1:62" x14ac:dyDescent="0.25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462"/>
      <c r="V133" s="462"/>
      <c r="W133" s="462"/>
      <c r="X133" s="86"/>
      <c r="Y133" s="462"/>
      <c r="Z133" s="462"/>
      <c r="AA133" s="462"/>
      <c r="AB133" s="120"/>
      <c r="AC133" s="22"/>
      <c r="AD133" s="116"/>
      <c r="AE133" s="116"/>
      <c r="AF133" s="117"/>
      <c r="AG133" s="115"/>
      <c r="AH133" s="115"/>
      <c r="AI133" s="115"/>
      <c r="AJ133" s="115"/>
      <c r="AK133" s="115"/>
      <c r="AL133" s="115"/>
      <c r="AM133" s="115"/>
      <c r="AN133" s="115"/>
      <c r="AO133" s="115"/>
      <c r="AP133" s="115"/>
      <c r="AQ133" s="115"/>
      <c r="AR133" s="115"/>
      <c r="AS133" s="115"/>
      <c r="AT133" s="115"/>
      <c r="AU133" s="115"/>
      <c r="AV133" s="115"/>
      <c r="AW133" s="115"/>
      <c r="AX133" s="115"/>
      <c r="AY133" s="115"/>
      <c r="AZ133" s="115"/>
      <c r="BA133" s="115"/>
      <c r="BB133" s="115"/>
      <c r="BC133" s="115"/>
      <c r="BD133" s="115"/>
      <c r="BE133" s="115"/>
      <c r="BF133" s="115"/>
      <c r="BG133" s="115"/>
      <c r="BH133" s="115"/>
      <c r="BI133" s="115"/>
      <c r="BJ133" s="115"/>
    </row>
    <row r="134" spans="1:62" ht="3" customHeight="1" x14ac:dyDescent="0.2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462"/>
      <c r="V134" s="462"/>
      <c r="W134" s="462"/>
      <c r="X134" s="22"/>
      <c r="Y134" s="462"/>
      <c r="Z134" s="462"/>
      <c r="AA134" s="462"/>
      <c r="AB134" s="22"/>
      <c r="AC134" s="22"/>
      <c r="AD134" s="116"/>
      <c r="AE134" s="116"/>
      <c r="AF134" s="117"/>
      <c r="AG134" s="115"/>
      <c r="AH134" s="115"/>
      <c r="AI134" s="115"/>
      <c r="AJ134" s="115"/>
      <c r="AK134" s="115"/>
      <c r="AL134" s="115"/>
      <c r="AM134" s="115"/>
      <c r="AN134" s="115"/>
      <c r="AO134" s="115"/>
      <c r="AP134" s="115"/>
      <c r="AQ134" s="115"/>
      <c r="AR134" s="115"/>
      <c r="AS134" s="115"/>
      <c r="AT134" s="115"/>
      <c r="AU134" s="115"/>
      <c r="AV134" s="115"/>
      <c r="AW134" s="115"/>
      <c r="AX134" s="115"/>
      <c r="AY134" s="115"/>
      <c r="AZ134" s="115"/>
      <c r="BA134" s="115"/>
      <c r="BB134" s="115"/>
      <c r="BC134" s="115"/>
      <c r="BD134" s="115"/>
      <c r="BE134" s="115"/>
      <c r="BF134" s="115"/>
      <c r="BG134" s="115"/>
      <c r="BH134" s="115"/>
      <c r="BI134" s="115"/>
      <c r="BJ134" s="115"/>
    </row>
    <row r="135" spans="1:62" ht="15" customHeight="1" x14ac:dyDescent="0.25">
      <c r="A135" s="86"/>
      <c r="B135" s="86"/>
      <c r="C135" s="86"/>
      <c r="D135" s="86"/>
      <c r="E135" s="86"/>
      <c r="F135" s="86"/>
      <c r="G135" s="86"/>
      <c r="H135" s="86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462"/>
      <c r="V135" s="462"/>
      <c r="W135" s="462"/>
      <c r="X135" s="22"/>
      <c r="Y135" s="462"/>
      <c r="Z135" s="462"/>
      <c r="AA135" s="462"/>
      <c r="AB135" s="22"/>
      <c r="AC135" s="22"/>
      <c r="AD135" s="116"/>
      <c r="AE135" s="116"/>
      <c r="AF135" s="117"/>
      <c r="AG135" s="115"/>
      <c r="AH135" s="115"/>
      <c r="AI135" s="115"/>
      <c r="AJ135" s="115"/>
      <c r="AK135" s="115"/>
      <c r="AL135" s="115"/>
      <c r="AM135" s="115"/>
      <c r="AN135" s="115"/>
      <c r="AO135" s="115"/>
      <c r="AP135" s="115"/>
      <c r="AQ135" s="115"/>
      <c r="AR135" s="115"/>
      <c r="AS135" s="115"/>
      <c r="AT135" s="115"/>
      <c r="AU135" s="115"/>
      <c r="AV135" s="115"/>
      <c r="AW135" s="115"/>
      <c r="AX135" s="115"/>
      <c r="AY135" s="115"/>
      <c r="AZ135" s="115"/>
      <c r="BA135" s="115"/>
      <c r="BB135" s="115"/>
      <c r="BC135" s="115"/>
      <c r="BD135" s="115"/>
      <c r="BE135" s="115"/>
      <c r="BF135" s="115"/>
      <c r="BG135" s="115"/>
      <c r="BH135" s="115"/>
      <c r="BI135" s="115"/>
      <c r="BJ135" s="115"/>
    </row>
    <row r="136" spans="1:62" x14ac:dyDescent="0.2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462"/>
      <c r="V136" s="462"/>
      <c r="W136" s="462"/>
      <c r="X136" s="22"/>
      <c r="Y136" s="462"/>
      <c r="Z136" s="462"/>
      <c r="AA136" s="462"/>
      <c r="AB136" s="22"/>
      <c r="AC136" s="22"/>
      <c r="AD136" s="116"/>
      <c r="AE136" s="116"/>
      <c r="AF136" s="117"/>
      <c r="AG136" s="115"/>
      <c r="AH136" s="115"/>
      <c r="AI136" s="115"/>
      <c r="AJ136" s="115"/>
      <c r="AK136" s="115"/>
      <c r="AL136" s="115"/>
      <c r="AM136" s="115"/>
      <c r="AN136" s="115"/>
      <c r="AO136" s="115"/>
      <c r="AP136" s="115"/>
      <c r="AQ136" s="115"/>
      <c r="AR136" s="115"/>
      <c r="AS136" s="115"/>
      <c r="AT136" s="115"/>
      <c r="AU136" s="115"/>
      <c r="AV136" s="115"/>
      <c r="AW136" s="115"/>
      <c r="AX136" s="115"/>
      <c r="AY136" s="115"/>
      <c r="AZ136" s="115"/>
      <c r="BA136" s="115"/>
      <c r="BB136" s="115"/>
      <c r="BC136" s="115"/>
      <c r="BD136" s="115"/>
      <c r="BE136" s="115"/>
      <c r="BF136" s="115"/>
      <c r="BG136" s="115"/>
      <c r="BH136" s="115"/>
      <c r="BI136" s="115"/>
      <c r="BJ136" s="115"/>
    </row>
    <row r="137" spans="1:62" x14ac:dyDescent="0.25">
      <c r="A137" s="86"/>
      <c r="B137" s="86"/>
      <c r="C137" s="86"/>
      <c r="D137" s="86"/>
      <c r="E137" s="86"/>
      <c r="F137" s="86"/>
      <c r="G137" s="86"/>
      <c r="H137" s="86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462"/>
      <c r="V137" s="462"/>
      <c r="W137" s="462"/>
      <c r="X137" s="22"/>
      <c r="Y137" s="462"/>
      <c r="Z137" s="462"/>
      <c r="AA137" s="462"/>
      <c r="AB137" s="22"/>
      <c r="AC137" s="22"/>
      <c r="AD137" s="116"/>
      <c r="AE137" s="116"/>
      <c r="AF137" s="117"/>
      <c r="AG137" s="115"/>
      <c r="AH137" s="115"/>
      <c r="AI137" s="115"/>
      <c r="AJ137" s="115"/>
      <c r="AK137" s="115"/>
      <c r="AL137" s="115"/>
      <c r="AM137" s="115"/>
      <c r="AN137" s="115"/>
      <c r="AO137" s="115"/>
      <c r="AP137" s="115"/>
      <c r="AQ137" s="115"/>
      <c r="AR137" s="115"/>
      <c r="AS137" s="115"/>
      <c r="AT137" s="115"/>
      <c r="AU137" s="115"/>
      <c r="AV137" s="115"/>
      <c r="AW137" s="115"/>
      <c r="AX137" s="115"/>
      <c r="AY137" s="115"/>
      <c r="AZ137" s="115"/>
      <c r="BA137" s="115"/>
      <c r="BB137" s="115"/>
      <c r="BC137" s="115"/>
      <c r="BD137" s="115"/>
      <c r="BE137" s="115"/>
      <c r="BF137" s="115"/>
      <c r="BG137" s="115"/>
      <c r="BH137" s="115"/>
      <c r="BI137" s="115"/>
      <c r="BJ137" s="115"/>
    </row>
    <row r="138" spans="1:62" x14ac:dyDescent="0.25">
      <c r="A138" s="22"/>
      <c r="B138" s="22"/>
      <c r="C138" s="22"/>
      <c r="D138" s="86"/>
      <c r="E138" s="86"/>
      <c r="F138" s="86"/>
      <c r="G138" s="86"/>
      <c r="H138" s="86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462"/>
      <c r="V138" s="462"/>
      <c r="W138" s="462"/>
      <c r="X138" s="22"/>
      <c r="Y138" s="462"/>
      <c r="Z138" s="462"/>
      <c r="AA138" s="462"/>
      <c r="AB138" s="22"/>
      <c r="AC138" s="22"/>
      <c r="AD138" s="116"/>
      <c r="AE138" s="116"/>
      <c r="AF138" s="117"/>
      <c r="AG138" s="115"/>
      <c r="AH138" s="115"/>
      <c r="AI138" s="115"/>
      <c r="AJ138" s="115"/>
      <c r="AK138" s="115"/>
      <c r="AL138" s="115"/>
      <c r="AM138" s="115"/>
      <c r="AN138" s="115"/>
      <c r="AO138" s="115"/>
      <c r="AP138" s="115"/>
      <c r="AQ138" s="115"/>
      <c r="AR138" s="115"/>
      <c r="AS138" s="115"/>
      <c r="AT138" s="115"/>
      <c r="AU138" s="115"/>
      <c r="AV138" s="115"/>
      <c r="AW138" s="115"/>
      <c r="AX138" s="115"/>
      <c r="AY138" s="115"/>
      <c r="AZ138" s="115"/>
      <c r="BA138" s="115"/>
      <c r="BB138" s="115"/>
      <c r="BC138" s="115"/>
      <c r="BD138" s="115"/>
      <c r="BE138" s="115"/>
      <c r="BF138" s="115"/>
      <c r="BG138" s="115"/>
      <c r="BH138" s="115"/>
      <c r="BI138" s="115"/>
      <c r="BJ138" s="115"/>
    </row>
    <row r="139" spans="1:62" x14ac:dyDescent="0.25">
      <c r="A139" s="86"/>
      <c r="B139" s="86"/>
      <c r="C139" s="86"/>
      <c r="D139" s="86"/>
      <c r="E139" s="86"/>
      <c r="F139" s="86"/>
      <c r="G139" s="86"/>
      <c r="H139" s="86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462"/>
      <c r="V139" s="462"/>
      <c r="W139" s="462"/>
      <c r="X139" s="22"/>
      <c r="Y139" s="462"/>
      <c r="Z139" s="462"/>
      <c r="AA139" s="462"/>
      <c r="AB139" s="22"/>
      <c r="AC139" s="22"/>
      <c r="AD139" s="116"/>
      <c r="AE139" s="116"/>
      <c r="AF139" s="117"/>
      <c r="AG139" s="115"/>
      <c r="AH139" s="115"/>
      <c r="AI139" s="115"/>
      <c r="AJ139" s="115"/>
      <c r="AK139" s="115"/>
      <c r="AL139" s="115"/>
      <c r="AM139" s="115"/>
      <c r="AN139" s="115"/>
      <c r="AO139" s="115"/>
      <c r="AP139" s="115"/>
      <c r="AQ139" s="115"/>
      <c r="AR139" s="115"/>
      <c r="AS139" s="115"/>
      <c r="AT139" s="115"/>
      <c r="AU139" s="115"/>
      <c r="AV139" s="115"/>
      <c r="AW139" s="115"/>
      <c r="AX139" s="115"/>
      <c r="AY139" s="115"/>
      <c r="AZ139" s="115"/>
      <c r="BA139" s="115"/>
      <c r="BB139" s="115"/>
      <c r="BC139" s="115"/>
      <c r="BD139" s="115"/>
      <c r="BE139" s="115"/>
      <c r="BF139" s="115"/>
      <c r="BG139" s="115"/>
      <c r="BH139" s="115"/>
      <c r="BI139" s="115"/>
      <c r="BJ139" s="115"/>
    </row>
    <row r="140" spans="1:62" x14ac:dyDescent="0.2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462"/>
      <c r="V140" s="462"/>
      <c r="W140" s="462"/>
      <c r="X140" s="22"/>
      <c r="Y140" s="462"/>
      <c r="Z140" s="462"/>
      <c r="AA140" s="462"/>
      <c r="AB140" s="22"/>
      <c r="AC140" s="22"/>
      <c r="AD140" s="116"/>
      <c r="AE140" s="116"/>
      <c r="AF140" s="117"/>
      <c r="AG140" s="115"/>
      <c r="AH140" s="115"/>
      <c r="AI140" s="115"/>
      <c r="AJ140" s="115"/>
      <c r="AK140" s="115"/>
      <c r="AL140" s="115"/>
      <c r="AM140" s="115"/>
      <c r="AN140" s="115"/>
      <c r="AO140" s="115"/>
      <c r="AP140" s="115"/>
      <c r="AQ140" s="115"/>
      <c r="AR140" s="115"/>
      <c r="AS140" s="115"/>
      <c r="AT140" s="115"/>
      <c r="AU140" s="115"/>
      <c r="AV140" s="115"/>
      <c r="AW140" s="115"/>
      <c r="AX140" s="115"/>
      <c r="AY140" s="115"/>
      <c r="AZ140" s="115"/>
      <c r="BA140" s="115"/>
      <c r="BB140" s="115"/>
      <c r="BC140" s="115"/>
      <c r="BD140" s="115"/>
      <c r="BE140" s="115"/>
      <c r="BF140" s="115"/>
      <c r="BG140" s="115"/>
      <c r="BH140" s="115"/>
      <c r="BI140" s="115"/>
      <c r="BJ140" s="115"/>
    </row>
    <row r="141" spans="1:62" x14ac:dyDescent="0.25">
      <c r="A141" s="86"/>
      <c r="B141" s="86"/>
      <c r="C141" s="86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462"/>
      <c r="V141" s="462"/>
      <c r="W141" s="462"/>
      <c r="X141" s="22"/>
      <c r="Y141" s="21"/>
      <c r="Z141" s="21"/>
      <c r="AA141" s="21"/>
      <c r="AB141" s="22"/>
      <c r="AC141" s="22"/>
      <c r="AD141" s="116"/>
      <c r="AE141" s="116"/>
      <c r="AF141" s="117"/>
      <c r="AG141" s="115"/>
      <c r="AH141" s="115"/>
      <c r="AI141" s="115"/>
      <c r="AJ141" s="115"/>
      <c r="AK141" s="115"/>
      <c r="AL141" s="115"/>
      <c r="AM141" s="115"/>
      <c r="AN141" s="115"/>
      <c r="AO141" s="115"/>
      <c r="AP141" s="115"/>
      <c r="AQ141" s="115"/>
      <c r="AR141" s="115"/>
      <c r="AS141" s="115"/>
      <c r="AT141" s="115"/>
      <c r="AU141" s="115"/>
      <c r="AV141" s="115"/>
      <c r="AW141" s="115"/>
      <c r="AX141" s="115"/>
      <c r="AY141" s="115"/>
      <c r="AZ141" s="115"/>
      <c r="BA141" s="115"/>
      <c r="BB141" s="115"/>
      <c r="BC141" s="115"/>
      <c r="BD141" s="115"/>
      <c r="BE141" s="115"/>
      <c r="BF141" s="115"/>
      <c r="BG141" s="115"/>
      <c r="BH141" s="115"/>
      <c r="BI141" s="115"/>
      <c r="BJ141" s="115"/>
    </row>
    <row r="142" spans="1:62" x14ac:dyDescent="0.2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462"/>
      <c r="V142" s="462"/>
      <c r="W142" s="462"/>
      <c r="X142" s="22"/>
      <c r="Y142" s="21"/>
      <c r="Z142" s="21"/>
      <c r="AA142" s="21"/>
      <c r="AB142" s="22"/>
      <c r="AC142" s="22"/>
      <c r="AD142" s="116"/>
      <c r="AE142" s="116"/>
      <c r="AF142" s="117"/>
      <c r="AG142" s="115"/>
      <c r="AH142" s="115"/>
      <c r="AI142" s="115"/>
      <c r="AJ142" s="115"/>
      <c r="AK142" s="115"/>
      <c r="AL142" s="115"/>
      <c r="AM142" s="115"/>
      <c r="AN142" s="115"/>
      <c r="AO142" s="115"/>
      <c r="AP142" s="115"/>
      <c r="AQ142" s="115"/>
      <c r="AR142" s="115"/>
      <c r="AS142" s="115"/>
      <c r="AT142" s="115"/>
      <c r="AU142" s="115"/>
      <c r="AV142" s="115"/>
      <c r="AW142" s="115"/>
      <c r="AX142" s="115"/>
      <c r="AY142" s="115"/>
      <c r="AZ142" s="115"/>
      <c r="BA142" s="115"/>
      <c r="BB142" s="115"/>
      <c r="BC142" s="115"/>
      <c r="BD142" s="115"/>
      <c r="BE142" s="115"/>
      <c r="BF142" s="115"/>
      <c r="BG142" s="115"/>
      <c r="BH142" s="115"/>
      <c r="BI142" s="115"/>
      <c r="BJ142" s="115"/>
    </row>
    <row r="143" spans="1:62" x14ac:dyDescent="0.25">
      <c r="A143" s="86"/>
      <c r="B143" s="86"/>
      <c r="C143" s="86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462"/>
      <c r="V143" s="462"/>
      <c r="W143" s="462"/>
      <c r="X143" s="22"/>
      <c r="Y143" s="21"/>
      <c r="Z143" s="21"/>
      <c r="AA143" s="21"/>
      <c r="AB143" s="22"/>
      <c r="AC143" s="22"/>
      <c r="AD143" s="116"/>
      <c r="AE143" s="116"/>
      <c r="AF143" s="117"/>
      <c r="AG143" s="115"/>
      <c r="AH143" s="115"/>
      <c r="AI143" s="115"/>
      <c r="AJ143" s="115"/>
      <c r="AK143" s="115"/>
      <c r="AL143" s="115"/>
      <c r="AM143" s="115"/>
      <c r="AN143" s="115"/>
      <c r="AO143" s="115"/>
      <c r="AP143" s="115"/>
      <c r="AQ143" s="115"/>
      <c r="AR143" s="115"/>
      <c r="AS143" s="115"/>
      <c r="AT143" s="115"/>
      <c r="AU143" s="115"/>
      <c r="AV143" s="115"/>
      <c r="AW143" s="115"/>
      <c r="AX143" s="115"/>
      <c r="AY143" s="115"/>
      <c r="AZ143" s="115"/>
      <c r="BA143" s="115"/>
      <c r="BB143" s="115"/>
      <c r="BC143" s="115"/>
      <c r="BD143" s="115"/>
      <c r="BE143" s="115"/>
      <c r="BF143" s="115"/>
      <c r="BG143" s="115"/>
      <c r="BH143" s="115"/>
      <c r="BI143" s="115"/>
      <c r="BJ143" s="115"/>
    </row>
    <row r="144" spans="1:62" x14ac:dyDescent="0.2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462"/>
      <c r="V144" s="462"/>
      <c r="W144" s="462"/>
      <c r="X144" s="22"/>
      <c r="Y144" s="21"/>
      <c r="Z144" s="21"/>
      <c r="AA144" s="21"/>
      <c r="AB144" s="22"/>
      <c r="AC144" s="22"/>
      <c r="AD144" s="116"/>
      <c r="AE144" s="116"/>
      <c r="AF144" s="117"/>
      <c r="AG144" s="115"/>
      <c r="AH144" s="115"/>
      <c r="AI144" s="115"/>
      <c r="AJ144" s="115"/>
      <c r="AK144" s="115"/>
      <c r="AL144" s="115"/>
      <c r="AM144" s="115"/>
      <c r="AN144" s="115"/>
      <c r="AO144" s="115"/>
      <c r="AP144" s="115"/>
      <c r="AQ144" s="115"/>
      <c r="AR144" s="115"/>
      <c r="AS144" s="115"/>
      <c r="AT144" s="115"/>
      <c r="AU144" s="115"/>
      <c r="AV144" s="115"/>
      <c r="AW144" s="115"/>
      <c r="AX144" s="115"/>
      <c r="AY144" s="115"/>
      <c r="AZ144" s="115"/>
      <c r="BA144" s="115"/>
      <c r="BB144" s="115"/>
      <c r="BC144" s="115"/>
      <c r="BD144" s="115"/>
      <c r="BE144" s="115"/>
      <c r="BF144" s="115"/>
      <c r="BG144" s="115"/>
      <c r="BH144" s="115"/>
      <c r="BI144" s="115"/>
      <c r="BJ144" s="115"/>
    </row>
    <row r="145" spans="1:62" x14ac:dyDescent="0.25">
      <c r="A145" s="86"/>
      <c r="B145" s="86"/>
      <c r="C145" s="86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462"/>
      <c r="V145" s="462"/>
      <c r="W145" s="462"/>
      <c r="X145" s="22"/>
      <c r="Y145" s="21"/>
      <c r="Z145" s="21"/>
      <c r="AA145" s="21"/>
      <c r="AB145" s="22"/>
      <c r="AC145" s="22"/>
      <c r="AD145" s="116"/>
      <c r="AE145" s="116"/>
      <c r="AF145" s="117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115"/>
      <c r="AR145" s="115"/>
      <c r="AS145" s="115"/>
      <c r="AT145" s="115"/>
      <c r="AU145" s="115"/>
      <c r="AV145" s="115"/>
      <c r="AW145" s="115"/>
      <c r="AX145" s="115"/>
      <c r="AY145" s="115"/>
      <c r="AZ145" s="115"/>
      <c r="BA145" s="115"/>
      <c r="BB145" s="115"/>
      <c r="BC145" s="115"/>
      <c r="BD145" s="115"/>
      <c r="BE145" s="115"/>
      <c r="BF145" s="115"/>
      <c r="BG145" s="115"/>
      <c r="BH145" s="115"/>
      <c r="BI145" s="115"/>
      <c r="BJ145" s="115"/>
    </row>
    <row r="146" spans="1:62" x14ac:dyDescent="0.25">
      <c r="A146" s="86"/>
      <c r="B146" s="86"/>
      <c r="C146" s="86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462"/>
      <c r="V146" s="462"/>
      <c r="W146" s="462"/>
      <c r="X146" s="22"/>
      <c r="Y146" s="513"/>
      <c r="Z146" s="513"/>
      <c r="AA146" s="513"/>
      <c r="AB146" s="22"/>
      <c r="AC146" s="22"/>
      <c r="AD146" s="116"/>
      <c r="AE146" s="116"/>
      <c r="AF146" s="117"/>
      <c r="AG146" s="115"/>
      <c r="AH146" s="115"/>
      <c r="AI146" s="115"/>
      <c r="AJ146" s="115"/>
      <c r="AK146" s="115"/>
      <c r="AL146" s="115"/>
      <c r="AM146" s="115"/>
      <c r="AN146" s="115"/>
      <c r="AO146" s="115"/>
      <c r="AP146" s="115"/>
      <c r="AQ146" s="115"/>
      <c r="AR146" s="115"/>
      <c r="AS146" s="115"/>
      <c r="AT146" s="115"/>
      <c r="AU146" s="115"/>
      <c r="AV146" s="115"/>
      <c r="AW146" s="115"/>
      <c r="AX146" s="115"/>
      <c r="AY146" s="115"/>
      <c r="AZ146" s="115"/>
      <c r="BA146" s="115"/>
      <c r="BB146" s="115"/>
      <c r="BC146" s="115"/>
      <c r="BD146" s="115"/>
      <c r="BE146" s="115"/>
      <c r="BF146" s="115"/>
      <c r="BG146" s="115"/>
      <c r="BH146" s="115"/>
      <c r="BI146" s="115"/>
      <c r="BJ146" s="115"/>
    </row>
    <row r="147" spans="1:62" x14ac:dyDescent="0.25">
      <c r="A147" s="86"/>
      <c r="B147" s="86"/>
      <c r="C147" s="86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462"/>
      <c r="V147" s="462"/>
      <c r="W147" s="462"/>
      <c r="X147" s="22"/>
      <c r="Y147" s="21"/>
      <c r="Z147" s="21"/>
      <c r="AA147" s="21"/>
      <c r="AB147" s="22"/>
      <c r="AC147" s="22"/>
      <c r="AD147" s="116"/>
      <c r="AE147" s="116"/>
      <c r="AF147" s="117"/>
      <c r="AG147" s="115"/>
      <c r="AH147" s="115"/>
      <c r="AI147" s="115"/>
      <c r="AJ147" s="115"/>
      <c r="AK147" s="115"/>
      <c r="AL147" s="115"/>
      <c r="AM147" s="115"/>
      <c r="AN147" s="115"/>
      <c r="AO147" s="115"/>
      <c r="AP147" s="115"/>
      <c r="AQ147" s="115"/>
      <c r="AR147" s="115"/>
      <c r="AS147" s="115"/>
      <c r="AT147" s="115"/>
      <c r="AU147" s="115"/>
      <c r="AV147" s="115"/>
      <c r="AW147" s="115"/>
      <c r="AX147" s="115"/>
      <c r="AY147" s="115"/>
      <c r="AZ147" s="115"/>
      <c r="BA147" s="115"/>
      <c r="BB147" s="115"/>
      <c r="BC147" s="115"/>
      <c r="BD147" s="115"/>
      <c r="BE147" s="115"/>
      <c r="BF147" s="115"/>
      <c r="BG147" s="115"/>
      <c r="BH147" s="115"/>
      <c r="BI147" s="115"/>
      <c r="BJ147" s="115"/>
    </row>
    <row r="148" spans="1:62" x14ac:dyDescent="0.2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462"/>
      <c r="V148" s="462"/>
      <c r="W148" s="462"/>
      <c r="X148" s="22"/>
      <c r="Y148" s="511"/>
      <c r="Z148" s="511"/>
      <c r="AA148" s="511"/>
      <c r="AB148" s="22"/>
      <c r="AC148" s="22"/>
      <c r="AD148" s="116"/>
      <c r="AE148" s="116"/>
      <c r="AF148" s="117"/>
      <c r="AG148" s="115"/>
      <c r="AH148" s="115"/>
      <c r="AI148" s="115"/>
      <c r="AJ148" s="115"/>
      <c r="AK148" s="115"/>
      <c r="AL148" s="115"/>
      <c r="AM148" s="115"/>
      <c r="AN148" s="115"/>
      <c r="AO148" s="115"/>
      <c r="AP148" s="115"/>
      <c r="AQ148" s="115"/>
      <c r="AR148" s="115"/>
      <c r="AS148" s="115"/>
      <c r="AT148" s="115"/>
      <c r="AU148" s="115"/>
      <c r="AV148" s="115"/>
      <c r="AW148" s="115"/>
      <c r="AX148" s="115"/>
      <c r="AY148" s="115"/>
      <c r="AZ148" s="115"/>
      <c r="BA148" s="115"/>
      <c r="BB148" s="115"/>
      <c r="BC148" s="115"/>
      <c r="BD148" s="115"/>
      <c r="BE148" s="115"/>
      <c r="BF148" s="115"/>
      <c r="BG148" s="115"/>
      <c r="BH148" s="115"/>
      <c r="BI148" s="115"/>
      <c r="BJ148" s="115"/>
    </row>
    <row r="149" spans="1:62" x14ac:dyDescent="0.2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462"/>
      <c r="V149" s="462"/>
      <c r="W149" s="462"/>
      <c r="X149" s="22"/>
      <c r="Y149" s="511"/>
      <c r="Z149" s="511"/>
      <c r="AA149" s="511"/>
      <c r="AB149" s="22"/>
      <c r="AC149" s="22"/>
      <c r="AD149" s="116"/>
      <c r="AE149" s="116"/>
      <c r="AF149" s="117"/>
      <c r="AG149" s="115"/>
      <c r="AH149" s="115"/>
      <c r="AI149" s="115"/>
      <c r="AJ149" s="115"/>
      <c r="AK149" s="115"/>
      <c r="AL149" s="115"/>
      <c r="AM149" s="115"/>
      <c r="AN149" s="115"/>
      <c r="AO149" s="115"/>
      <c r="AP149" s="115"/>
      <c r="AQ149" s="115"/>
      <c r="AR149" s="115"/>
      <c r="AS149" s="115"/>
      <c r="AT149" s="115"/>
      <c r="AU149" s="115"/>
      <c r="AV149" s="115"/>
      <c r="AW149" s="115"/>
      <c r="AX149" s="115"/>
      <c r="AY149" s="115"/>
      <c r="AZ149" s="115"/>
      <c r="BA149" s="115"/>
      <c r="BB149" s="115"/>
      <c r="BC149" s="115"/>
      <c r="BD149" s="115"/>
      <c r="BE149" s="115"/>
      <c r="BF149" s="115"/>
      <c r="BG149" s="115"/>
      <c r="BH149" s="115"/>
      <c r="BI149" s="115"/>
      <c r="BJ149" s="115"/>
    </row>
    <row r="150" spans="1:62" x14ac:dyDescent="0.2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462"/>
      <c r="V150" s="462"/>
      <c r="W150" s="462"/>
      <c r="X150" s="22"/>
      <c r="Y150" s="511"/>
      <c r="Z150" s="511"/>
      <c r="AA150" s="511"/>
      <c r="AB150" s="22"/>
      <c r="AC150" s="22"/>
      <c r="AD150" s="116"/>
      <c r="AE150" s="116"/>
      <c r="AF150" s="117"/>
      <c r="AG150" s="115"/>
      <c r="AH150" s="115"/>
      <c r="AI150" s="115"/>
      <c r="AJ150" s="115"/>
      <c r="AK150" s="115"/>
      <c r="AL150" s="115"/>
      <c r="AM150" s="115"/>
      <c r="AN150" s="115"/>
      <c r="AO150" s="115"/>
      <c r="AP150" s="115"/>
      <c r="AQ150" s="115"/>
      <c r="AR150" s="115"/>
      <c r="AS150" s="115"/>
      <c r="AT150" s="115"/>
      <c r="AU150" s="115"/>
      <c r="AV150" s="115"/>
      <c r="AW150" s="115"/>
      <c r="AX150" s="115"/>
      <c r="AY150" s="115"/>
      <c r="AZ150" s="115"/>
      <c r="BA150" s="115"/>
      <c r="BB150" s="115"/>
      <c r="BC150" s="115"/>
      <c r="BD150" s="115"/>
      <c r="BE150" s="115"/>
      <c r="BF150" s="115"/>
      <c r="BG150" s="115"/>
      <c r="BH150" s="115"/>
      <c r="BI150" s="115"/>
      <c r="BJ150" s="115"/>
    </row>
    <row r="151" spans="1:62" x14ac:dyDescent="0.2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462"/>
      <c r="V151" s="462"/>
      <c r="W151" s="462"/>
      <c r="X151" s="22"/>
      <c r="Y151" s="511"/>
      <c r="Z151" s="511"/>
      <c r="AA151" s="511"/>
      <c r="AB151" s="22"/>
      <c r="AC151" s="22"/>
      <c r="AD151" s="116"/>
      <c r="AE151" s="116"/>
      <c r="AF151" s="117"/>
      <c r="AG151" s="115"/>
      <c r="AH151" s="115"/>
      <c r="AI151" s="115"/>
      <c r="AJ151" s="115"/>
      <c r="AK151" s="115"/>
      <c r="AL151" s="115"/>
      <c r="AM151" s="115"/>
      <c r="AN151" s="115"/>
      <c r="AO151" s="115"/>
      <c r="AP151" s="115"/>
      <c r="AQ151" s="115"/>
      <c r="AR151" s="115"/>
      <c r="AS151" s="115"/>
      <c r="AT151" s="115"/>
      <c r="AU151" s="115"/>
      <c r="AV151" s="115"/>
      <c r="AW151" s="115"/>
      <c r="AX151" s="115"/>
      <c r="AY151" s="115"/>
      <c r="AZ151" s="115"/>
      <c r="BA151" s="115"/>
      <c r="BB151" s="115"/>
      <c r="BC151" s="115"/>
      <c r="BD151" s="115"/>
      <c r="BE151" s="115"/>
      <c r="BF151" s="115"/>
      <c r="BG151" s="115"/>
      <c r="BH151" s="115"/>
      <c r="BI151" s="115"/>
      <c r="BJ151" s="115"/>
    </row>
    <row r="152" spans="1:62" x14ac:dyDescent="0.2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462"/>
      <c r="V152" s="462"/>
      <c r="W152" s="462"/>
      <c r="X152" s="22"/>
      <c r="Y152" s="511"/>
      <c r="Z152" s="511"/>
      <c r="AA152" s="511"/>
      <c r="AB152" s="22"/>
      <c r="AC152" s="22"/>
      <c r="AD152" s="116"/>
      <c r="AE152" s="116"/>
      <c r="AF152" s="117"/>
      <c r="AG152" s="115"/>
      <c r="AH152" s="115"/>
      <c r="AI152" s="115"/>
      <c r="AJ152" s="115"/>
      <c r="AK152" s="115"/>
      <c r="AL152" s="115"/>
      <c r="AM152" s="115"/>
      <c r="AN152" s="115"/>
      <c r="AO152" s="115"/>
      <c r="AP152" s="115"/>
      <c r="AQ152" s="115"/>
      <c r="AR152" s="115"/>
      <c r="AS152" s="115"/>
      <c r="AT152" s="115"/>
      <c r="AU152" s="115"/>
      <c r="AV152" s="115"/>
      <c r="AW152" s="115"/>
      <c r="AX152" s="115"/>
      <c r="AY152" s="115"/>
      <c r="AZ152" s="115"/>
      <c r="BA152" s="115"/>
      <c r="BB152" s="115"/>
      <c r="BC152" s="115"/>
      <c r="BD152" s="115"/>
      <c r="BE152" s="115"/>
      <c r="BF152" s="115"/>
      <c r="BG152" s="115"/>
      <c r="BH152" s="115"/>
      <c r="BI152" s="115"/>
      <c r="BJ152" s="115"/>
    </row>
    <row r="153" spans="1:62" x14ac:dyDescent="0.2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462"/>
      <c r="V153" s="462"/>
      <c r="W153" s="462"/>
      <c r="X153" s="22"/>
      <c r="Y153" s="516"/>
      <c r="Z153" s="516"/>
      <c r="AA153" s="516"/>
      <c r="AB153" s="22"/>
      <c r="AC153" s="22"/>
      <c r="AD153" s="116"/>
      <c r="AE153" s="116"/>
      <c r="AF153" s="117"/>
      <c r="AG153" s="115"/>
      <c r="AH153" s="115"/>
      <c r="AI153" s="115"/>
      <c r="AJ153" s="115"/>
      <c r="AK153" s="115"/>
      <c r="AL153" s="115"/>
      <c r="AM153" s="115"/>
      <c r="AN153" s="115"/>
      <c r="AO153" s="115"/>
      <c r="AP153" s="115"/>
      <c r="AQ153" s="115"/>
      <c r="AR153" s="115"/>
      <c r="AS153" s="115"/>
      <c r="AT153" s="115"/>
      <c r="AU153" s="115"/>
      <c r="AV153" s="115"/>
      <c r="AW153" s="115"/>
      <c r="AX153" s="115"/>
      <c r="AY153" s="115"/>
      <c r="AZ153" s="115"/>
      <c r="BA153" s="115"/>
      <c r="BB153" s="115"/>
      <c r="BC153" s="115"/>
      <c r="BD153" s="115"/>
      <c r="BE153" s="115"/>
      <c r="BF153" s="115"/>
      <c r="BG153" s="115"/>
      <c r="BH153" s="115"/>
      <c r="BI153" s="115"/>
      <c r="BJ153" s="115"/>
    </row>
    <row r="154" spans="1:62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462"/>
      <c r="V154" s="462"/>
      <c r="W154" s="462"/>
      <c r="X154" s="22"/>
      <c r="Y154" s="514"/>
      <c r="Z154" s="514"/>
      <c r="AA154" s="514"/>
      <c r="AB154" s="22"/>
      <c r="AC154" s="22"/>
      <c r="AD154" s="116"/>
      <c r="AE154" s="116"/>
      <c r="AF154" s="117"/>
      <c r="AG154" s="115"/>
      <c r="AH154" s="115"/>
      <c r="AI154" s="115"/>
      <c r="AJ154" s="115"/>
      <c r="AK154" s="115"/>
      <c r="AL154" s="115"/>
      <c r="AM154" s="115"/>
      <c r="AN154" s="115"/>
      <c r="AO154" s="115"/>
      <c r="AP154" s="115"/>
      <c r="AQ154" s="115"/>
      <c r="AR154" s="115"/>
      <c r="AS154" s="115"/>
      <c r="AT154" s="115"/>
      <c r="AU154" s="115"/>
      <c r="AV154" s="115"/>
      <c r="AW154" s="115"/>
      <c r="AX154" s="115"/>
      <c r="AY154" s="115"/>
      <c r="AZ154" s="115"/>
      <c r="BA154" s="115"/>
      <c r="BB154" s="115"/>
      <c r="BC154" s="115"/>
      <c r="BD154" s="115"/>
      <c r="BE154" s="115"/>
      <c r="BF154" s="115"/>
      <c r="BG154" s="115"/>
      <c r="BH154" s="115"/>
      <c r="BI154" s="115"/>
      <c r="BJ154" s="115"/>
    </row>
    <row r="155" spans="1:62" x14ac:dyDescent="0.2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462"/>
      <c r="V155" s="462"/>
      <c r="W155" s="462"/>
      <c r="X155" s="22"/>
      <c r="Y155" s="515"/>
      <c r="Z155" s="515"/>
      <c r="AA155" s="515"/>
      <c r="AB155" s="22"/>
      <c r="AC155" s="22"/>
      <c r="AD155" s="116"/>
      <c r="AE155" s="116"/>
      <c r="AF155" s="117"/>
      <c r="AG155" s="115"/>
      <c r="AH155" s="115"/>
      <c r="AI155" s="115"/>
      <c r="AJ155" s="115"/>
      <c r="AK155" s="115"/>
      <c r="AL155" s="115"/>
      <c r="AM155" s="115"/>
      <c r="AN155" s="115"/>
      <c r="AO155" s="115"/>
      <c r="AP155" s="115"/>
      <c r="AQ155" s="115"/>
      <c r="AR155" s="115"/>
      <c r="AS155" s="115"/>
      <c r="AT155" s="115"/>
      <c r="AU155" s="115"/>
      <c r="AV155" s="115"/>
      <c r="AW155" s="115"/>
      <c r="AX155" s="115"/>
      <c r="AY155" s="115"/>
      <c r="AZ155" s="115"/>
      <c r="BA155" s="115"/>
      <c r="BB155" s="115"/>
      <c r="BC155" s="115"/>
      <c r="BD155" s="115"/>
      <c r="BE155" s="115"/>
      <c r="BF155" s="115"/>
      <c r="BG155" s="115"/>
      <c r="BH155" s="115"/>
      <c r="BI155" s="115"/>
      <c r="BJ155" s="115"/>
    </row>
    <row r="156" spans="1:62" x14ac:dyDescent="0.2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462"/>
      <c r="V156" s="462"/>
      <c r="W156" s="462"/>
      <c r="X156" s="22"/>
      <c r="Y156" s="512"/>
      <c r="Z156" s="512"/>
      <c r="AA156" s="512"/>
      <c r="AB156" s="22"/>
      <c r="AC156" s="22"/>
      <c r="AD156" s="116"/>
      <c r="AE156" s="116"/>
      <c r="AF156" s="117"/>
      <c r="AG156" s="115"/>
      <c r="AH156" s="115"/>
      <c r="AI156" s="115"/>
      <c r="AJ156" s="115"/>
      <c r="AK156" s="115"/>
      <c r="AL156" s="115"/>
      <c r="AM156" s="115"/>
      <c r="AN156" s="115"/>
      <c r="AO156" s="115"/>
      <c r="AP156" s="115"/>
      <c r="AQ156" s="115"/>
      <c r="AR156" s="115"/>
      <c r="AS156" s="115"/>
      <c r="AT156" s="115"/>
      <c r="AU156" s="115"/>
      <c r="AV156" s="115"/>
      <c r="AW156" s="115"/>
      <c r="AX156" s="115"/>
      <c r="AY156" s="115"/>
      <c r="AZ156" s="115"/>
      <c r="BA156" s="115"/>
      <c r="BB156" s="115"/>
      <c r="BC156" s="115"/>
      <c r="BD156" s="115"/>
      <c r="BE156" s="115"/>
      <c r="BF156" s="115"/>
      <c r="BG156" s="115"/>
      <c r="BH156" s="115"/>
      <c r="BI156" s="115"/>
      <c r="BJ156" s="115"/>
    </row>
    <row r="157" spans="1:62" x14ac:dyDescent="0.2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462"/>
      <c r="V157" s="462"/>
      <c r="W157" s="462"/>
      <c r="X157" s="22"/>
      <c r="Y157" s="462"/>
      <c r="Z157" s="462"/>
      <c r="AA157" s="462"/>
      <c r="AB157" s="22"/>
      <c r="AC157" s="22"/>
      <c r="AD157" s="116"/>
      <c r="AE157" s="116"/>
      <c r="AF157" s="117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  <c r="BI157" s="115"/>
      <c r="BJ157" s="115"/>
    </row>
    <row r="158" spans="1:62" x14ac:dyDescent="0.2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462"/>
      <c r="V158" s="462"/>
      <c r="W158" s="462"/>
      <c r="X158" s="22"/>
      <c r="Y158" s="462"/>
      <c r="Z158" s="462"/>
      <c r="AA158" s="462"/>
      <c r="AB158" s="22"/>
      <c r="AC158" s="22"/>
      <c r="AD158" s="116"/>
      <c r="AE158" s="116"/>
      <c r="AF158" s="117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  <c r="BI158" s="115"/>
      <c r="BJ158" s="115"/>
    </row>
    <row r="159" spans="1:62" x14ac:dyDescent="0.2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462"/>
      <c r="V159" s="462"/>
      <c r="W159" s="462"/>
      <c r="X159" s="22"/>
      <c r="Y159" s="462"/>
      <c r="Z159" s="462"/>
      <c r="AA159" s="462"/>
      <c r="AB159" s="22"/>
      <c r="AC159" s="22"/>
      <c r="AD159" s="116"/>
      <c r="AE159" s="116"/>
      <c r="AF159" s="117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  <c r="BI159" s="115"/>
      <c r="BJ159" s="115"/>
    </row>
    <row r="160" spans="1:62" x14ac:dyDescent="0.2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462"/>
      <c r="V160" s="462"/>
      <c r="W160" s="462"/>
      <c r="X160" s="22"/>
      <c r="Y160" s="462"/>
      <c r="Z160" s="462"/>
      <c r="AA160" s="462"/>
      <c r="AB160" s="22"/>
      <c r="AC160" s="22"/>
      <c r="AD160" s="116"/>
      <c r="AE160" s="116"/>
      <c r="AF160" s="117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  <c r="BI160" s="115"/>
      <c r="BJ160" s="115"/>
    </row>
    <row r="161" spans="1:62" x14ac:dyDescent="0.2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462"/>
      <c r="V161" s="462"/>
      <c r="W161" s="462"/>
      <c r="X161" s="22"/>
      <c r="Y161" s="462"/>
      <c r="Z161" s="462"/>
      <c r="AA161" s="462"/>
      <c r="AB161" s="22"/>
      <c r="AC161" s="22"/>
      <c r="AD161" s="116"/>
      <c r="AE161" s="116"/>
      <c r="AF161" s="117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  <c r="BI161" s="115"/>
      <c r="BJ161" s="115"/>
    </row>
    <row r="162" spans="1:62" x14ac:dyDescent="0.2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462"/>
      <c r="V162" s="462"/>
      <c r="W162" s="462"/>
      <c r="X162" s="22"/>
      <c r="Y162" s="462"/>
      <c r="Z162" s="462"/>
      <c r="AA162" s="462"/>
      <c r="AB162" s="22"/>
      <c r="AC162" s="22"/>
      <c r="AD162" s="116"/>
      <c r="AE162" s="116"/>
      <c r="AF162" s="117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  <c r="BI162" s="115"/>
      <c r="BJ162" s="115"/>
    </row>
    <row r="163" spans="1:62" x14ac:dyDescent="0.2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462"/>
      <c r="V163" s="462"/>
      <c r="W163" s="462"/>
      <c r="X163" s="22"/>
      <c r="Y163" s="462"/>
      <c r="Z163" s="462"/>
      <c r="AA163" s="462"/>
      <c r="AB163" s="22"/>
      <c r="AC163" s="22"/>
      <c r="AD163" s="116"/>
      <c r="AE163" s="116"/>
      <c r="AF163" s="117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  <c r="BI163" s="115"/>
      <c r="BJ163" s="115"/>
    </row>
    <row r="164" spans="1:62" x14ac:dyDescent="0.2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462"/>
      <c r="V164" s="462"/>
      <c r="W164" s="462"/>
      <c r="X164" s="22"/>
      <c r="Y164" s="462"/>
      <c r="Z164" s="462"/>
      <c r="AA164" s="462"/>
      <c r="AB164" s="22"/>
      <c r="AC164" s="22"/>
      <c r="AD164" s="116"/>
      <c r="AE164" s="116"/>
      <c r="AF164" s="117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</row>
    <row r="165" spans="1:62" x14ac:dyDescent="0.2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462"/>
      <c r="V165" s="462"/>
      <c r="W165" s="462"/>
      <c r="X165" s="22"/>
      <c r="Y165" s="21"/>
      <c r="Z165" s="21"/>
      <c r="AA165" s="21"/>
      <c r="AB165" s="22"/>
      <c r="AC165" s="22"/>
      <c r="AD165" s="116"/>
      <c r="AE165" s="116"/>
      <c r="AF165" s="117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  <c r="BI165" s="115"/>
      <c r="BJ165" s="115"/>
    </row>
    <row r="166" spans="1:62" x14ac:dyDescent="0.2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462"/>
      <c r="V166" s="462"/>
      <c r="W166" s="462"/>
      <c r="X166" s="22"/>
      <c r="Y166" s="21"/>
      <c r="Z166" s="21"/>
      <c r="AA166" s="21"/>
      <c r="AB166" s="22"/>
      <c r="AC166" s="22"/>
      <c r="AD166" s="116"/>
      <c r="AE166" s="116"/>
      <c r="AF166" s="117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  <c r="BI166" s="115"/>
      <c r="BJ166" s="115"/>
    </row>
    <row r="167" spans="1:62" x14ac:dyDescent="0.2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462"/>
      <c r="V167" s="462"/>
      <c r="W167" s="462"/>
      <c r="X167" s="22"/>
      <c r="Y167" s="21"/>
      <c r="Z167" s="21"/>
      <c r="AA167" s="21"/>
      <c r="AB167" s="22"/>
      <c r="AC167" s="22"/>
      <c r="AD167" s="116"/>
      <c r="AE167" s="116"/>
      <c r="AF167" s="117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  <c r="BI167" s="115"/>
      <c r="BJ167" s="115"/>
    </row>
    <row r="168" spans="1:62" x14ac:dyDescent="0.2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462"/>
      <c r="V168" s="462"/>
      <c r="W168" s="462"/>
      <c r="X168" s="22"/>
      <c r="Y168" s="21"/>
      <c r="Z168" s="21"/>
      <c r="AA168" s="21"/>
      <c r="AB168" s="22"/>
      <c r="AC168" s="22"/>
      <c r="AD168" s="116"/>
      <c r="AE168" s="116"/>
      <c r="AF168" s="117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  <c r="BI168" s="115"/>
      <c r="BJ168" s="115"/>
    </row>
    <row r="169" spans="1:62" x14ac:dyDescent="0.2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462"/>
      <c r="V169" s="462"/>
      <c r="W169" s="462"/>
      <c r="X169" s="22"/>
      <c r="Y169" s="21"/>
      <c r="Z169" s="21"/>
      <c r="AA169" s="21"/>
      <c r="AB169" s="22"/>
      <c r="AC169" s="22"/>
      <c r="AD169" s="116"/>
      <c r="AE169" s="116"/>
      <c r="AF169" s="117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  <c r="BI169" s="115"/>
      <c r="BJ169" s="115"/>
    </row>
    <row r="170" spans="1:62" x14ac:dyDescent="0.2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462"/>
      <c r="V170" s="462"/>
      <c r="W170" s="462"/>
      <c r="X170" s="22"/>
      <c r="Y170" s="513"/>
      <c r="Z170" s="513"/>
      <c r="AA170" s="513"/>
      <c r="AB170" s="22"/>
      <c r="AC170" s="22"/>
      <c r="AD170" s="116"/>
      <c r="AE170" s="116"/>
      <c r="AF170" s="117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  <c r="BI170" s="115"/>
      <c r="BJ170" s="115"/>
    </row>
    <row r="171" spans="1:62" x14ac:dyDescent="0.2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462"/>
      <c r="V171" s="462"/>
      <c r="W171" s="462"/>
      <c r="X171" s="22"/>
      <c r="Y171" s="21"/>
      <c r="Z171" s="21"/>
      <c r="AA171" s="21"/>
      <c r="AB171" s="22"/>
      <c r="AC171" s="22"/>
      <c r="AD171" s="116"/>
      <c r="AE171" s="116"/>
      <c r="AF171" s="117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  <c r="BI171" s="115"/>
      <c r="BJ171" s="115"/>
    </row>
    <row r="172" spans="1:62" x14ac:dyDescent="0.2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462"/>
      <c r="V172" s="462"/>
      <c r="W172" s="462"/>
      <c r="X172" s="22"/>
      <c r="Y172" s="511"/>
      <c r="Z172" s="511"/>
      <c r="AA172" s="511"/>
      <c r="AB172" s="22"/>
      <c r="AC172" s="22"/>
      <c r="AD172" s="116"/>
      <c r="AE172" s="116"/>
      <c r="AF172" s="117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  <c r="BI172" s="115"/>
      <c r="BJ172" s="115"/>
    </row>
    <row r="173" spans="1:62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462"/>
      <c r="V173" s="462"/>
      <c r="W173" s="462"/>
      <c r="X173" s="22"/>
      <c r="Y173" s="511"/>
      <c r="Z173" s="511"/>
      <c r="AA173" s="511"/>
      <c r="AB173" s="22"/>
      <c r="AC173" s="22"/>
      <c r="AD173" s="116"/>
      <c r="AE173" s="116"/>
      <c r="AF173" s="117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  <c r="BI173" s="115"/>
      <c r="BJ173" s="115"/>
    </row>
    <row r="174" spans="1:62" x14ac:dyDescent="0.2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462"/>
      <c r="V174" s="462"/>
      <c r="W174" s="462"/>
      <c r="X174" s="22"/>
      <c r="Y174" s="511"/>
      <c r="Z174" s="511"/>
      <c r="AA174" s="511"/>
      <c r="AB174" s="22"/>
      <c r="AC174" s="22"/>
      <c r="AD174" s="116"/>
      <c r="AE174" s="116"/>
      <c r="AF174" s="117"/>
      <c r="AG174" s="115"/>
      <c r="AH174" s="115"/>
      <c r="AI174" s="115"/>
      <c r="AJ174" s="115"/>
      <c r="AK174" s="115"/>
      <c r="AL174" s="115"/>
      <c r="AM174" s="115"/>
      <c r="AN174" s="115"/>
      <c r="AO174" s="115"/>
      <c r="AP174" s="115"/>
      <c r="AQ174" s="115"/>
      <c r="AR174" s="115"/>
      <c r="AS174" s="115"/>
      <c r="AT174" s="115"/>
      <c r="AU174" s="115"/>
      <c r="AV174" s="115"/>
      <c r="AW174" s="115"/>
      <c r="AX174" s="115"/>
      <c r="AY174" s="115"/>
      <c r="AZ174" s="115"/>
      <c r="BA174" s="115"/>
      <c r="BB174" s="115"/>
      <c r="BC174" s="115"/>
      <c r="BD174" s="115"/>
      <c r="BE174" s="115"/>
      <c r="BF174" s="115"/>
      <c r="BG174" s="115"/>
      <c r="BH174" s="115"/>
      <c r="BI174" s="115"/>
      <c r="BJ174" s="115"/>
    </row>
    <row r="175" spans="1:62" x14ac:dyDescent="0.25">
      <c r="A175" s="22"/>
      <c r="B175" s="22"/>
      <c r="C175" s="22"/>
      <c r="AN175" s="115"/>
      <c r="AO175" s="115"/>
      <c r="AP175" s="115"/>
      <c r="AQ175" s="115"/>
      <c r="AR175" s="115"/>
      <c r="AS175" s="115"/>
      <c r="AT175" s="115"/>
      <c r="AU175" s="115"/>
      <c r="AV175" s="115"/>
      <c r="AW175" s="115"/>
      <c r="AX175" s="115"/>
      <c r="AY175" s="115"/>
      <c r="AZ175" s="115"/>
      <c r="BA175" s="115"/>
      <c r="BB175" s="115"/>
      <c r="BC175" s="115"/>
      <c r="BD175" s="115"/>
      <c r="BE175" s="115"/>
      <c r="BF175" s="115"/>
      <c r="BG175" s="115"/>
      <c r="BH175" s="115"/>
      <c r="BI175" s="115"/>
      <c r="BJ175" s="115"/>
    </row>
    <row r="176" spans="1:62" x14ac:dyDescent="0.25">
      <c r="A176" s="22"/>
      <c r="B176" s="22"/>
      <c r="C176" s="22"/>
      <c r="AN176" s="115"/>
      <c r="AO176" s="115"/>
      <c r="AP176" s="115"/>
      <c r="AQ176" s="115"/>
      <c r="AR176" s="115"/>
      <c r="AS176" s="115"/>
      <c r="AT176" s="115"/>
      <c r="AU176" s="115"/>
      <c r="AV176" s="115"/>
      <c r="AW176" s="115"/>
      <c r="AX176" s="115"/>
      <c r="AY176" s="115"/>
      <c r="AZ176" s="115"/>
      <c r="BA176" s="115"/>
      <c r="BB176" s="115"/>
      <c r="BC176" s="115"/>
      <c r="BD176" s="115"/>
      <c r="BE176" s="115"/>
      <c r="BF176" s="115"/>
      <c r="BG176" s="115"/>
      <c r="BH176" s="115"/>
      <c r="BI176" s="115"/>
      <c r="BJ176" s="115"/>
    </row>
    <row r="177" spans="1:62" x14ac:dyDescent="0.25">
      <c r="A177" s="22"/>
      <c r="B177" s="22"/>
      <c r="C177" s="22"/>
      <c r="AN177" s="115"/>
      <c r="AO177" s="115"/>
      <c r="AP177" s="115"/>
      <c r="AQ177" s="115"/>
      <c r="AR177" s="115"/>
      <c r="AS177" s="115"/>
      <c r="AT177" s="115"/>
      <c r="AU177" s="115"/>
      <c r="AV177" s="115"/>
      <c r="AW177" s="115"/>
      <c r="AX177" s="115"/>
      <c r="AY177" s="115"/>
      <c r="AZ177" s="115"/>
      <c r="BA177" s="115"/>
      <c r="BB177" s="115"/>
      <c r="BC177" s="115"/>
      <c r="BD177" s="115"/>
      <c r="BE177" s="115"/>
      <c r="BF177" s="115"/>
      <c r="BG177" s="115"/>
      <c r="BH177" s="115"/>
      <c r="BI177" s="115"/>
      <c r="BJ177" s="115"/>
    </row>
    <row r="178" spans="1:62" x14ac:dyDescent="0.25">
      <c r="A178" s="22"/>
      <c r="B178" s="22"/>
      <c r="C178" s="22"/>
      <c r="AN178" s="115"/>
      <c r="AO178" s="115"/>
      <c r="AP178" s="115"/>
      <c r="AQ178" s="115"/>
      <c r="AR178" s="115"/>
      <c r="AS178" s="115"/>
      <c r="AT178" s="115"/>
      <c r="AU178" s="115"/>
      <c r="AV178" s="115"/>
      <c r="AW178" s="115"/>
      <c r="AX178" s="115"/>
      <c r="AY178" s="115"/>
      <c r="AZ178" s="115"/>
      <c r="BA178" s="115"/>
      <c r="BB178" s="115"/>
      <c r="BC178" s="115"/>
      <c r="BD178" s="115"/>
      <c r="BE178" s="115"/>
      <c r="BF178" s="115"/>
      <c r="BG178" s="115"/>
      <c r="BH178" s="115"/>
      <c r="BI178" s="115"/>
      <c r="BJ178" s="115"/>
    </row>
    <row r="179" spans="1:62" x14ac:dyDescent="0.25">
      <c r="A179" s="22"/>
      <c r="B179" s="22"/>
      <c r="C179" s="22"/>
      <c r="AG179" s="115"/>
      <c r="AH179" s="115"/>
      <c r="AI179" s="115"/>
      <c r="AJ179" s="115"/>
      <c r="AK179" s="115"/>
      <c r="AL179" s="115"/>
      <c r="AM179" s="115"/>
      <c r="AN179" s="115"/>
      <c r="AO179" s="115"/>
      <c r="AP179" s="115"/>
      <c r="AQ179" s="115"/>
      <c r="AR179" s="115"/>
      <c r="AS179" s="115"/>
      <c r="AT179" s="115"/>
      <c r="AU179" s="115"/>
      <c r="AV179" s="115"/>
      <c r="AW179" s="115"/>
      <c r="AX179" s="115"/>
      <c r="AY179" s="115"/>
      <c r="AZ179" s="115"/>
      <c r="BA179" s="115"/>
      <c r="BB179" s="115"/>
      <c r="BC179" s="115"/>
      <c r="BD179" s="115"/>
      <c r="BE179" s="115"/>
      <c r="BF179" s="115"/>
      <c r="BG179" s="115"/>
      <c r="BH179" s="115"/>
      <c r="BI179" s="115"/>
      <c r="BJ179" s="115"/>
    </row>
    <row r="180" spans="1:62" x14ac:dyDescent="0.25">
      <c r="A180" s="22"/>
      <c r="B180" s="22"/>
      <c r="C180" s="22"/>
      <c r="AG180" s="115"/>
      <c r="AH180" s="115"/>
      <c r="AI180" s="115"/>
      <c r="AJ180" s="115"/>
      <c r="AK180" s="115"/>
      <c r="AL180" s="115"/>
      <c r="AM180" s="115"/>
      <c r="AN180" s="115"/>
      <c r="AO180" s="115"/>
      <c r="AP180" s="115"/>
      <c r="AQ180" s="115"/>
      <c r="AR180" s="115"/>
      <c r="AS180" s="115"/>
      <c r="AT180" s="115"/>
      <c r="AU180" s="115"/>
      <c r="AV180" s="115"/>
      <c r="AW180" s="115"/>
      <c r="AX180" s="115"/>
      <c r="AY180" s="115"/>
      <c r="AZ180" s="115"/>
      <c r="BA180" s="115"/>
      <c r="BB180" s="115"/>
      <c r="BC180" s="115"/>
      <c r="BD180" s="115"/>
      <c r="BE180" s="115"/>
      <c r="BF180" s="115"/>
      <c r="BG180" s="115"/>
      <c r="BH180" s="115"/>
      <c r="BI180" s="115"/>
      <c r="BJ180" s="115"/>
    </row>
    <row r="181" spans="1:62" x14ac:dyDescent="0.25">
      <c r="A181" s="22"/>
      <c r="B181" s="22"/>
      <c r="C181" s="22"/>
      <c r="AG181" s="115"/>
      <c r="AH181" s="115"/>
      <c r="AI181" s="115"/>
      <c r="AJ181" s="115"/>
      <c r="AK181" s="115"/>
      <c r="AL181" s="115"/>
      <c r="AM181" s="115"/>
      <c r="AN181" s="115"/>
      <c r="AO181" s="115"/>
      <c r="AP181" s="115"/>
      <c r="AQ181" s="115"/>
      <c r="AR181" s="115"/>
      <c r="AS181" s="115"/>
      <c r="AT181" s="115"/>
      <c r="AU181" s="115"/>
      <c r="AV181" s="115"/>
      <c r="AW181" s="115"/>
      <c r="AX181" s="115"/>
      <c r="AY181" s="115"/>
      <c r="AZ181" s="115"/>
      <c r="BA181" s="115"/>
      <c r="BB181" s="115"/>
      <c r="BC181" s="115"/>
      <c r="BD181" s="115"/>
      <c r="BE181" s="115"/>
      <c r="BF181" s="115"/>
      <c r="BG181" s="115"/>
      <c r="BH181" s="115"/>
      <c r="BI181" s="115"/>
      <c r="BJ181" s="115"/>
    </row>
    <row r="182" spans="1:62" x14ac:dyDescent="0.25">
      <c r="A182" s="22"/>
      <c r="B182" s="22"/>
      <c r="C182" s="22"/>
      <c r="AG182" s="115"/>
      <c r="AH182" s="115"/>
      <c r="AI182" s="115"/>
      <c r="AJ182" s="115"/>
      <c r="AK182" s="115"/>
      <c r="AL182" s="115"/>
      <c r="AM182" s="115"/>
      <c r="AN182" s="115"/>
      <c r="AO182" s="115"/>
      <c r="AP182" s="115"/>
      <c r="AQ182" s="115"/>
      <c r="AR182" s="115"/>
      <c r="AS182" s="115"/>
      <c r="AT182" s="115"/>
      <c r="AU182" s="115"/>
      <c r="AV182" s="115"/>
      <c r="AW182" s="115"/>
      <c r="AX182" s="115"/>
      <c r="AY182" s="115"/>
      <c r="AZ182" s="115"/>
      <c r="BA182" s="115"/>
      <c r="BB182" s="115"/>
      <c r="BC182" s="115"/>
      <c r="BD182" s="115"/>
      <c r="BE182" s="115"/>
      <c r="BF182" s="115"/>
      <c r="BG182" s="115"/>
      <c r="BH182" s="115"/>
      <c r="BI182" s="115"/>
      <c r="BJ182" s="115"/>
    </row>
    <row r="183" spans="1:62" x14ac:dyDescent="0.25">
      <c r="AG183" s="115"/>
      <c r="AH183" s="115"/>
      <c r="AI183" s="115"/>
      <c r="AJ183" s="115"/>
      <c r="AK183" s="115"/>
      <c r="AL183" s="115"/>
      <c r="AM183" s="115"/>
      <c r="AN183" s="115"/>
      <c r="AO183" s="115"/>
      <c r="AP183" s="115"/>
      <c r="AQ183" s="115"/>
      <c r="AR183" s="115"/>
      <c r="AS183" s="115"/>
      <c r="AT183" s="115"/>
      <c r="AU183" s="115"/>
      <c r="AV183" s="115"/>
      <c r="AW183" s="115"/>
      <c r="AX183" s="115"/>
      <c r="AY183" s="115"/>
      <c r="AZ183" s="115"/>
      <c r="BA183" s="115"/>
      <c r="BB183" s="115"/>
      <c r="BC183" s="115"/>
      <c r="BD183" s="115"/>
      <c r="BE183" s="115"/>
      <c r="BF183" s="115"/>
      <c r="BG183" s="115"/>
      <c r="BH183" s="115"/>
      <c r="BI183" s="115"/>
      <c r="BJ183" s="115"/>
    </row>
    <row r="184" spans="1:62" x14ac:dyDescent="0.25">
      <c r="AG184" s="115"/>
      <c r="AH184" s="115"/>
      <c r="AI184" s="115"/>
      <c r="AJ184" s="115"/>
      <c r="AK184" s="115"/>
      <c r="AL184" s="115"/>
      <c r="AM184" s="115"/>
      <c r="AN184" s="115"/>
      <c r="AO184" s="115"/>
      <c r="AP184" s="115"/>
      <c r="AQ184" s="115"/>
      <c r="AR184" s="115"/>
      <c r="AS184" s="115"/>
      <c r="AT184" s="115"/>
      <c r="AU184" s="115"/>
      <c r="AV184" s="115"/>
      <c r="AW184" s="115"/>
      <c r="AX184" s="115"/>
      <c r="AY184" s="115"/>
      <c r="AZ184" s="115"/>
      <c r="BA184" s="115"/>
      <c r="BB184" s="115"/>
      <c r="BC184" s="115"/>
      <c r="BD184" s="115"/>
      <c r="BE184" s="115"/>
      <c r="BF184" s="115"/>
      <c r="BG184" s="115"/>
      <c r="BH184" s="115"/>
      <c r="BI184" s="115"/>
      <c r="BJ184" s="115"/>
    </row>
    <row r="185" spans="1:62" x14ac:dyDescent="0.25">
      <c r="AG185" s="115"/>
      <c r="AH185" s="115"/>
      <c r="AI185" s="115"/>
      <c r="AJ185" s="115"/>
      <c r="AK185" s="115"/>
      <c r="AL185" s="115"/>
      <c r="AM185" s="115"/>
      <c r="AN185" s="115"/>
      <c r="AO185" s="115"/>
      <c r="AP185" s="115"/>
      <c r="AQ185" s="115"/>
      <c r="AR185" s="115"/>
      <c r="AS185" s="115"/>
      <c r="AT185" s="115"/>
      <c r="AU185" s="115"/>
      <c r="AV185" s="115"/>
      <c r="AW185" s="115"/>
      <c r="AX185" s="115"/>
      <c r="AY185" s="115"/>
      <c r="AZ185" s="115"/>
      <c r="BA185" s="115"/>
      <c r="BB185" s="115"/>
      <c r="BC185" s="115"/>
      <c r="BD185" s="115"/>
      <c r="BE185" s="115"/>
      <c r="BF185" s="115"/>
      <c r="BG185" s="115"/>
      <c r="BH185" s="115"/>
      <c r="BI185" s="115"/>
      <c r="BJ185" s="115"/>
    </row>
    <row r="186" spans="1:62" x14ac:dyDescent="0.25">
      <c r="AG186" s="115"/>
      <c r="AH186" s="115"/>
      <c r="AI186" s="115"/>
      <c r="AJ186" s="115"/>
      <c r="AK186" s="115"/>
      <c r="AL186" s="115"/>
      <c r="AM186" s="115"/>
      <c r="AN186" s="115"/>
      <c r="AO186" s="115"/>
      <c r="AP186" s="115"/>
      <c r="AQ186" s="115"/>
      <c r="AR186" s="115"/>
      <c r="AS186" s="115"/>
      <c r="AT186" s="115"/>
      <c r="AU186" s="115"/>
      <c r="AV186" s="115"/>
      <c r="AW186" s="115"/>
      <c r="AX186" s="115"/>
      <c r="AY186" s="115"/>
      <c r="AZ186" s="115"/>
      <c r="BA186" s="115"/>
      <c r="BB186" s="115"/>
      <c r="BC186" s="115"/>
      <c r="BD186" s="115"/>
      <c r="BE186" s="115"/>
      <c r="BF186" s="115"/>
      <c r="BG186" s="115"/>
      <c r="BH186" s="115"/>
      <c r="BI186" s="115"/>
      <c r="BJ186" s="115"/>
    </row>
    <row r="187" spans="1:62" x14ac:dyDescent="0.25">
      <c r="AG187" s="115"/>
      <c r="AH187" s="115"/>
      <c r="AI187" s="115"/>
      <c r="AJ187" s="115"/>
      <c r="AK187" s="115"/>
      <c r="AL187" s="115"/>
      <c r="AM187" s="115"/>
      <c r="AN187" s="115"/>
      <c r="AO187" s="115"/>
      <c r="AP187" s="115"/>
      <c r="AQ187" s="115"/>
      <c r="AR187" s="115"/>
      <c r="AS187" s="115"/>
      <c r="AT187" s="115"/>
      <c r="AU187" s="115"/>
      <c r="AV187" s="115"/>
      <c r="AW187" s="115"/>
      <c r="AX187" s="115"/>
      <c r="AY187" s="115"/>
      <c r="AZ187" s="115"/>
      <c r="BA187" s="115"/>
      <c r="BB187" s="115"/>
      <c r="BC187" s="115"/>
      <c r="BD187" s="115"/>
      <c r="BE187" s="115"/>
      <c r="BF187" s="115"/>
      <c r="BG187" s="115"/>
      <c r="BH187" s="115"/>
      <c r="BI187" s="115"/>
      <c r="BJ187" s="115"/>
    </row>
    <row r="188" spans="1:62" x14ac:dyDescent="0.25">
      <c r="AG188" s="115"/>
      <c r="AH188" s="115"/>
      <c r="AI188" s="115"/>
      <c r="AJ188" s="115"/>
      <c r="AK188" s="115"/>
      <c r="AL188" s="115"/>
      <c r="AM188" s="115"/>
      <c r="AN188" s="115"/>
      <c r="AO188" s="115"/>
      <c r="AP188" s="115"/>
      <c r="AQ188" s="115"/>
      <c r="AR188" s="115"/>
      <c r="AS188" s="115"/>
      <c r="AT188" s="115"/>
      <c r="AU188" s="115"/>
      <c r="AV188" s="115"/>
      <c r="AW188" s="115"/>
      <c r="AX188" s="115"/>
      <c r="AY188" s="115"/>
      <c r="AZ188" s="115"/>
      <c r="BA188" s="115"/>
      <c r="BB188" s="115"/>
      <c r="BC188" s="115"/>
      <c r="BD188" s="115"/>
      <c r="BE188" s="115"/>
      <c r="BF188" s="115"/>
      <c r="BG188" s="115"/>
      <c r="BH188" s="115"/>
      <c r="BI188" s="115"/>
      <c r="BJ188" s="115"/>
    </row>
    <row r="189" spans="1:62" x14ac:dyDescent="0.25">
      <c r="AG189" s="115"/>
      <c r="AH189" s="115"/>
      <c r="AI189" s="115"/>
      <c r="AJ189" s="115"/>
      <c r="AK189" s="115"/>
      <c r="AL189" s="115"/>
      <c r="AM189" s="115"/>
      <c r="AN189" s="115"/>
      <c r="AO189" s="115"/>
      <c r="AP189" s="115"/>
      <c r="AQ189" s="115"/>
      <c r="AR189" s="115"/>
      <c r="AS189" s="115"/>
      <c r="AT189" s="115"/>
      <c r="AU189" s="115"/>
      <c r="AV189" s="115"/>
      <c r="AW189" s="115"/>
      <c r="AX189" s="115"/>
      <c r="AY189" s="115"/>
      <c r="AZ189" s="115"/>
      <c r="BA189" s="115"/>
      <c r="BB189" s="115"/>
      <c r="BC189" s="115"/>
      <c r="BD189" s="115"/>
      <c r="BE189" s="115"/>
      <c r="BF189" s="115"/>
      <c r="BG189" s="115"/>
      <c r="BH189" s="115"/>
      <c r="BI189" s="115"/>
      <c r="BJ189" s="115"/>
    </row>
    <row r="190" spans="1:62" x14ac:dyDescent="0.25">
      <c r="AG190" s="115"/>
      <c r="AH190" s="115"/>
      <c r="AI190" s="115"/>
      <c r="AJ190" s="115"/>
      <c r="AK190" s="115"/>
      <c r="AL190" s="115"/>
      <c r="AM190" s="115"/>
      <c r="AN190" s="115"/>
      <c r="AO190" s="115"/>
      <c r="AP190" s="115"/>
      <c r="AQ190" s="115"/>
      <c r="AR190" s="115"/>
      <c r="AS190" s="115"/>
      <c r="AT190" s="115"/>
      <c r="AU190" s="115"/>
      <c r="AV190" s="115"/>
      <c r="AW190" s="115"/>
      <c r="AX190" s="115"/>
      <c r="AY190" s="115"/>
      <c r="AZ190" s="115"/>
      <c r="BA190" s="115"/>
      <c r="BB190" s="115"/>
      <c r="BC190" s="115"/>
      <c r="BD190" s="115"/>
      <c r="BE190" s="115"/>
      <c r="BF190" s="115"/>
      <c r="BG190" s="115"/>
      <c r="BH190" s="115"/>
      <c r="BI190" s="115"/>
      <c r="BJ190" s="115"/>
    </row>
    <row r="191" spans="1:62" x14ac:dyDescent="0.25">
      <c r="AG191" s="115"/>
      <c r="AH191" s="115"/>
      <c r="AI191" s="115"/>
      <c r="AJ191" s="115"/>
      <c r="AK191" s="115"/>
      <c r="AL191" s="115"/>
      <c r="AM191" s="115"/>
      <c r="AN191" s="115"/>
      <c r="AO191" s="115"/>
      <c r="AP191" s="115"/>
      <c r="AQ191" s="115"/>
      <c r="AR191" s="115"/>
      <c r="AS191" s="115"/>
      <c r="AT191" s="115"/>
      <c r="AU191" s="115"/>
      <c r="AV191" s="115"/>
      <c r="AW191" s="115"/>
      <c r="AX191" s="115"/>
      <c r="AY191" s="115"/>
      <c r="AZ191" s="115"/>
      <c r="BA191" s="115"/>
      <c r="BB191" s="115"/>
      <c r="BC191" s="115"/>
      <c r="BD191" s="115"/>
      <c r="BE191" s="115"/>
      <c r="BF191" s="115"/>
      <c r="BG191" s="115"/>
      <c r="BH191" s="115"/>
      <c r="BI191" s="115"/>
      <c r="BJ191" s="115"/>
    </row>
    <row r="192" spans="1:62" x14ac:dyDescent="0.25"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</row>
    <row r="193" spans="33:62" x14ac:dyDescent="0.25">
      <c r="AG193" s="115"/>
      <c r="AH193" s="115"/>
      <c r="AI193" s="115"/>
      <c r="AJ193" s="115"/>
      <c r="AK193" s="115"/>
      <c r="AL193" s="115"/>
      <c r="AM193" s="115"/>
      <c r="AN193" s="115"/>
      <c r="AO193" s="115"/>
      <c r="AP193" s="115"/>
      <c r="AQ193" s="115"/>
      <c r="AR193" s="115"/>
      <c r="AS193" s="115"/>
      <c r="AT193" s="115"/>
      <c r="AU193" s="115"/>
      <c r="AV193" s="115"/>
      <c r="AW193" s="115"/>
      <c r="AX193" s="115"/>
      <c r="AY193" s="115"/>
      <c r="AZ193" s="115"/>
      <c r="BA193" s="115"/>
      <c r="BB193" s="115"/>
      <c r="BC193" s="115"/>
      <c r="BD193" s="115"/>
      <c r="BE193" s="115"/>
      <c r="BF193" s="115"/>
      <c r="BG193" s="115"/>
      <c r="BH193" s="115"/>
      <c r="BI193" s="115"/>
      <c r="BJ193" s="115"/>
    </row>
    <row r="194" spans="33:62" x14ac:dyDescent="0.25">
      <c r="AG194" s="115"/>
      <c r="AH194" s="115"/>
      <c r="AI194" s="115"/>
      <c r="AJ194" s="115"/>
      <c r="AK194" s="115"/>
      <c r="AL194" s="115"/>
      <c r="AM194" s="115"/>
      <c r="AN194" s="115"/>
      <c r="AO194" s="115"/>
      <c r="AP194" s="115"/>
      <c r="AQ194" s="115"/>
      <c r="AR194" s="115"/>
      <c r="AS194" s="115"/>
      <c r="AT194" s="115"/>
      <c r="AU194" s="115"/>
      <c r="AV194" s="115"/>
      <c r="AW194" s="115"/>
      <c r="AX194" s="115"/>
      <c r="AY194" s="115"/>
      <c r="AZ194" s="115"/>
      <c r="BA194" s="115"/>
      <c r="BB194" s="115"/>
      <c r="BC194" s="115"/>
      <c r="BD194" s="115"/>
      <c r="BE194" s="115"/>
      <c r="BF194" s="115"/>
      <c r="BG194" s="115"/>
      <c r="BH194" s="115"/>
      <c r="BI194" s="115"/>
      <c r="BJ194" s="115"/>
    </row>
    <row r="195" spans="33:62" x14ac:dyDescent="0.25">
      <c r="AG195" s="115"/>
      <c r="AH195" s="115"/>
      <c r="AI195" s="115"/>
      <c r="AJ195" s="115"/>
      <c r="AK195" s="115"/>
      <c r="AL195" s="115"/>
      <c r="AM195" s="115"/>
      <c r="AN195" s="115"/>
      <c r="AO195" s="115"/>
      <c r="AP195" s="115"/>
      <c r="AQ195" s="115"/>
      <c r="AR195" s="115"/>
      <c r="AS195" s="115"/>
      <c r="AT195" s="115"/>
      <c r="AU195" s="115"/>
      <c r="AV195" s="115"/>
      <c r="AW195" s="115"/>
      <c r="AX195" s="115"/>
      <c r="AY195" s="115"/>
      <c r="AZ195" s="115"/>
      <c r="BA195" s="115"/>
      <c r="BB195" s="115"/>
      <c r="BC195" s="115"/>
      <c r="BD195" s="115"/>
      <c r="BE195" s="115"/>
      <c r="BF195" s="115"/>
      <c r="BG195" s="115"/>
      <c r="BH195" s="115"/>
      <c r="BI195" s="115"/>
      <c r="BJ195" s="115"/>
    </row>
    <row r="196" spans="33:62" x14ac:dyDescent="0.25">
      <c r="AG196" s="115"/>
      <c r="AH196" s="115"/>
      <c r="AI196" s="115"/>
      <c r="AJ196" s="115"/>
      <c r="AK196" s="115"/>
      <c r="AL196" s="115"/>
      <c r="AM196" s="115"/>
      <c r="AN196" s="115"/>
      <c r="AO196" s="115"/>
      <c r="AP196" s="115"/>
      <c r="AQ196" s="115"/>
      <c r="AR196" s="115"/>
      <c r="AS196" s="115"/>
      <c r="AT196" s="115"/>
      <c r="AU196" s="115"/>
      <c r="AV196" s="115"/>
      <c r="AW196" s="115"/>
      <c r="AX196" s="115"/>
      <c r="AY196" s="115"/>
      <c r="AZ196" s="115"/>
      <c r="BA196" s="115"/>
      <c r="BB196" s="115"/>
      <c r="BC196" s="115"/>
      <c r="BD196" s="115"/>
      <c r="BE196" s="115"/>
      <c r="BF196" s="115"/>
      <c r="BG196" s="115"/>
      <c r="BH196" s="115"/>
      <c r="BI196" s="115"/>
      <c r="BJ196" s="115"/>
    </row>
    <row r="197" spans="33:62" x14ac:dyDescent="0.25">
      <c r="AG197" s="115"/>
      <c r="AH197" s="115"/>
      <c r="AI197" s="115"/>
      <c r="AJ197" s="115"/>
      <c r="AK197" s="115"/>
      <c r="AL197" s="115"/>
      <c r="AM197" s="115"/>
      <c r="AN197" s="115"/>
      <c r="AO197" s="115"/>
      <c r="AP197" s="115"/>
      <c r="AQ197" s="115"/>
      <c r="AR197" s="115"/>
      <c r="AS197" s="115"/>
      <c r="AT197" s="115"/>
      <c r="AU197" s="115"/>
      <c r="AV197" s="115"/>
      <c r="AW197" s="115"/>
      <c r="AX197" s="115"/>
      <c r="AY197" s="115"/>
      <c r="AZ197" s="115"/>
      <c r="BA197" s="115"/>
      <c r="BB197" s="115"/>
      <c r="BC197" s="115"/>
      <c r="BD197" s="115"/>
      <c r="BE197" s="115"/>
      <c r="BF197" s="115"/>
      <c r="BG197" s="115"/>
      <c r="BH197" s="115"/>
      <c r="BI197" s="115"/>
      <c r="BJ197" s="115"/>
    </row>
    <row r="198" spans="33:62" x14ac:dyDescent="0.25">
      <c r="AG198" s="115"/>
      <c r="AH198" s="115"/>
      <c r="AI198" s="115"/>
      <c r="AJ198" s="115"/>
      <c r="AK198" s="115"/>
      <c r="AL198" s="115"/>
      <c r="AM198" s="115"/>
      <c r="AN198" s="115"/>
      <c r="AO198" s="115"/>
      <c r="AP198" s="115"/>
      <c r="AQ198" s="115"/>
      <c r="AR198" s="115"/>
      <c r="AS198" s="115"/>
      <c r="AT198" s="115"/>
      <c r="AU198" s="115"/>
      <c r="AV198" s="115"/>
      <c r="AW198" s="115"/>
      <c r="AX198" s="115"/>
      <c r="AY198" s="115"/>
      <c r="AZ198" s="115"/>
      <c r="BA198" s="115"/>
      <c r="BB198" s="115"/>
      <c r="BC198" s="115"/>
      <c r="BD198" s="115"/>
      <c r="BE198" s="115"/>
      <c r="BF198" s="115"/>
      <c r="BG198" s="115"/>
      <c r="BH198" s="115"/>
      <c r="BI198" s="115"/>
      <c r="BJ198" s="115"/>
    </row>
    <row r="199" spans="33:62" x14ac:dyDescent="0.25">
      <c r="AG199" s="115"/>
      <c r="AH199" s="115"/>
      <c r="AI199" s="115"/>
      <c r="AJ199" s="115"/>
      <c r="AK199" s="115"/>
      <c r="AL199" s="115"/>
      <c r="AM199" s="115"/>
      <c r="AN199" s="115"/>
      <c r="AO199" s="115"/>
      <c r="AP199" s="115"/>
      <c r="AQ199" s="115"/>
      <c r="AR199" s="115"/>
      <c r="AS199" s="115"/>
      <c r="AT199" s="115"/>
      <c r="AU199" s="115"/>
      <c r="AV199" s="115"/>
      <c r="AW199" s="115"/>
      <c r="AX199" s="115"/>
      <c r="AY199" s="115"/>
      <c r="AZ199" s="115"/>
      <c r="BA199" s="115"/>
      <c r="BB199" s="115"/>
      <c r="BC199" s="115"/>
      <c r="BD199" s="115"/>
      <c r="BE199" s="115"/>
      <c r="BF199" s="115"/>
      <c r="BG199" s="115"/>
      <c r="BH199" s="115"/>
      <c r="BI199" s="115"/>
      <c r="BJ199" s="115"/>
    </row>
    <row r="200" spans="33:62" x14ac:dyDescent="0.25">
      <c r="AG200" s="115"/>
      <c r="AH200" s="115"/>
      <c r="AI200" s="115"/>
      <c r="AJ200" s="115"/>
      <c r="AK200" s="115"/>
      <c r="AL200" s="115"/>
      <c r="AM200" s="115"/>
      <c r="AN200" s="115"/>
      <c r="AO200" s="115"/>
      <c r="AP200" s="115"/>
      <c r="AQ200" s="115"/>
      <c r="AR200" s="115"/>
      <c r="AS200" s="115"/>
      <c r="AT200" s="115"/>
      <c r="AU200" s="115"/>
      <c r="AV200" s="115"/>
      <c r="AW200" s="115"/>
      <c r="AX200" s="115"/>
      <c r="AY200" s="115"/>
      <c r="AZ200" s="115"/>
      <c r="BA200" s="115"/>
      <c r="BB200" s="115"/>
      <c r="BC200" s="115"/>
      <c r="BD200" s="115"/>
      <c r="BE200" s="115"/>
      <c r="BF200" s="115"/>
      <c r="BG200" s="115"/>
      <c r="BH200" s="115"/>
      <c r="BI200" s="115"/>
      <c r="BJ200" s="115"/>
    </row>
    <row r="201" spans="33:62" x14ac:dyDescent="0.25">
      <c r="AG201" s="115"/>
      <c r="AH201" s="115"/>
      <c r="AI201" s="115"/>
      <c r="AJ201" s="115"/>
      <c r="AK201" s="115"/>
      <c r="AL201" s="115"/>
      <c r="AM201" s="115"/>
      <c r="AN201" s="115"/>
      <c r="AO201" s="115"/>
      <c r="AP201" s="115"/>
      <c r="AQ201" s="115"/>
      <c r="AR201" s="115"/>
      <c r="AS201" s="115"/>
      <c r="AT201" s="115"/>
      <c r="AU201" s="115"/>
      <c r="AV201" s="115"/>
      <c r="AW201" s="115"/>
      <c r="AX201" s="115"/>
      <c r="AY201" s="115"/>
      <c r="AZ201" s="115"/>
      <c r="BA201" s="115"/>
      <c r="BB201" s="115"/>
      <c r="BC201" s="115"/>
      <c r="BD201" s="115"/>
      <c r="BE201" s="115"/>
      <c r="BF201" s="115"/>
      <c r="BG201" s="115"/>
      <c r="BH201" s="115"/>
      <c r="BI201" s="115"/>
      <c r="BJ201" s="115"/>
    </row>
    <row r="202" spans="33:62" x14ac:dyDescent="0.25">
      <c r="AG202" s="115"/>
      <c r="AH202" s="115"/>
      <c r="AI202" s="115"/>
      <c r="AJ202" s="115"/>
      <c r="AK202" s="115"/>
      <c r="AL202" s="115"/>
      <c r="AM202" s="115"/>
      <c r="AN202" s="115"/>
      <c r="AO202" s="115"/>
      <c r="AP202" s="115"/>
      <c r="AQ202" s="115"/>
      <c r="AR202" s="115"/>
      <c r="AS202" s="115"/>
      <c r="AT202" s="115"/>
      <c r="AU202" s="115"/>
      <c r="AV202" s="115"/>
      <c r="AW202" s="115"/>
      <c r="AX202" s="115"/>
      <c r="AY202" s="115"/>
      <c r="AZ202" s="115"/>
      <c r="BA202" s="115"/>
      <c r="BB202" s="115"/>
      <c r="BC202" s="115"/>
      <c r="BD202" s="115"/>
      <c r="BE202" s="115"/>
      <c r="BF202" s="115"/>
      <c r="BG202" s="115"/>
      <c r="BH202" s="115"/>
      <c r="BI202" s="115"/>
      <c r="BJ202" s="115"/>
    </row>
    <row r="203" spans="33:62" x14ac:dyDescent="0.25">
      <c r="AG203" s="115"/>
      <c r="AH203" s="115"/>
      <c r="AI203" s="115"/>
      <c r="AJ203" s="115"/>
      <c r="AK203" s="115"/>
      <c r="AL203" s="115"/>
      <c r="AM203" s="115"/>
      <c r="AN203" s="115"/>
      <c r="AO203" s="115"/>
      <c r="AP203" s="115"/>
      <c r="AQ203" s="115"/>
      <c r="AR203" s="115"/>
      <c r="AS203" s="115"/>
      <c r="AT203" s="115"/>
      <c r="AU203" s="115"/>
      <c r="AV203" s="115"/>
      <c r="AW203" s="115"/>
      <c r="AX203" s="115"/>
      <c r="AY203" s="115"/>
      <c r="AZ203" s="115"/>
      <c r="BA203" s="115"/>
      <c r="BB203" s="115"/>
      <c r="BC203" s="115"/>
      <c r="BD203" s="115"/>
      <c r="BE203" s="115"/>
      <c r="BF203" s="115"/>
      <c r="BG203" s="115"/>
      <c r="BH203" s="115"/>
      <c r="BI203" s="115"/>
      <c r="BJ203" s="115"/>
    </row>
    <row r="204" spans="33:62" x14ac:dyDescent="0.25">
      <c r="AG204" s="115"/>
      <c r="AH204" s="115"/>
      <c r="AI204" s="115"/>
      <c r="AJ204" s="115"/>
      <c r="AK204" s="115"/>
      <c r="AL204" s="115"/>
      <c r="AM204" s="115"/>
      <c r="AN204" s="115"/>
      <c r="AO204" s="115"/>
      <c r="AP204" s="115"/>
      <c r="AQ204" s="115"/>
      <c r="AR204" s="115"/>
      <c r="AS204" s="115"/>
      <c r="AT204" s="115"/>
      <c r="AU204" s="115"/>
      <c r="AV204" s="115"/>
      <c r="AW204" s="115"/>
      <c r="AX204" s="115"/>
      <c r="AY204" s="115"/>
      <c r="AZ204" s="115"/>
      <c r="BA204" s="115"/>
      <c r="BB204" s="115"/>
      <c r="BC204" s="115"/>
      <c r="BD204" s="115"/>
      <c r="BE204" s="115"/>
      <c r="BF204" s="115"/>
      <c r="BG204" s="115"/>
      <c r="BH204" s="115"/>
      <c r="BI204" s="115"/>
      <c r="BJ204" s="115"/>
    </row>
    <row r="205" spans="33:62" x14ac:dyDescent="0.25">
      <c r="AG205" s="115"/>
      <c r="AH205" s="115"/>
      <c r="AI205" s="115"/>
      <c r="AJ205" s="115"/>
      <c r="AK205" s="115"/>
      <c r="AL205" s="115"/>
      <c r="AM205" s="115"/>
      <c r="AN205" s="115"/>
      <c r="AO205" s="115"/>
      <c r="AP205" s="115"/>
      <c r="AQ205" s="115"/>
      <c r="AR205" s="115"/>
      <c r="AS205" s="115"/>
      <c r="AT205" s="115"/>
      <c r="AU205" s="115"/>
      <c r="AV205" s="115"/>
      <c r="AW205" s="115"/>
      <c r="AX205" s="115"/>
      <c r="AY205" s="115"/>
      <c r="AZ205" s="115"/>
      <c r="BA205" s="115"/>
      <c r="BB205" s="115"/>
      <c r="BC205" s="115"/>
      <c r="BD205" s="115"/>
      <c r="BE205" s="115"/>
      <c r="BF205" s="115"/>
      <c r="BG205" s="115"/>
      <c r="BH205" s="115"/>
      <c r="BI205" s="115"/>
      <c r="BJ205" s="115"/>
    </row>
    <row r="206" spans="33:62" x14ac:dyDescent="0.25">
      <c r="AG206" s="115"/>
      <c r="AH206" s="115"/>
      <c r="AI206" s="115"/>
      <c r="AJ206" s="115"/>
      <c r="AK206" s="115"/>
      <c r="AL206" s="115"/>
      <c r="AM206" s="115"/>
      <c r="AN206" s="115"/>
      <c r="AO206" s="115"/>
      <c r="AP206" s="115"/>
      <c r="AQ206" s="115"/>
      <c r="AR206" s="115"/>
      <c r="AS206" s="115"/>
      <c r="AT206" s="115"/>
      <c r="AU206" s="115"/>
      <c r="AV206" s="115"/>
      <c r="AW206" s="115"/>
      <c r="AX206" s="115"/>
      <c r="AY206" s="115"/>
      <c r="AZ206" s="115"/>
      <c r="BA206" s="115"/>
      <c r="BB206" s="115"/>
      <c r="BC206" s="115"/>
      <c r="BD206" s="115"/>
      <c r="BE206" s="115"/>
      <c r="BF206" s="115"/>
      <c r="BG206" s="115"/>
      <c r="BH206" s="115"/>
      <c r="BI206" s="115"/>
      <c r="BJ206" s="115"/>
    </row>
    <row r="207" spans="33:62" x14ac:dyDescent="0.25">
      <c r="AG207" s="115"/>
      <c r="AH207" s="115"/>
      <c r="AI207" s="115"/>
      <c r="AJ207" s="115"/>
      <c r="AK207" s="115"/>
      <c r="AL207" s="115"/>
      <c r="AM207" s="115"/>
      <c r="AN207" s="115"/>
      <c r="AO207" s="115"/>
      <c r="AP207" s="115"/>
      <c r="AQ207" s="115"/>
      <c r="AR207" s="115"/>
      <c r="AS207" s="115"/>
      <c r="AT207" s="115"/>
      <c r="AU207" s="115"/>
      <c r="AV207" s="115"/>
      <c r="AW207" s="115"/>
      <c r="AX207" s="115"/>
      <c r="AY207" s="115"/>
      <c r="AZ207" s="115"/>
      <c r="BA207" s="115"/>
      <c r="BB207" s="115"/>
      <c r="BC207" s="115"/>
      <c r="BD207" s="115"/>
      <c r="BE207" s="115"/>
      <c r="BF207" s="115"/>
      <c r="BG207" s="115"/>
      <c r="BH207" s="115"/>
      <c r="BI207" s="115"/>
      <c r="BJ207" s="115"/>
    </row>
    <row r="208" spans="33:62" x14ac:dyDescent="0.25">
      <c r="AG208" s="115"/>
      <c r="AH208" s="115"/>
      <c r="AI208" s="115"/>
      <c r="AJ208" s="115"/>
      <c r="AK208" s="115"/>
      <c r="AL208" s="115"/>
      <c r="AM208" s="115"/>
      <c r="AN208" s="115"/>
      <c r="AO208" s="115"/>
      <c r="AP208" s="115"/>
      <c r="AQ208" s="115"/>
      <c r="AR208" s="115"/>
      <c r="AS208" s="115"/>
      <c r="AT208" s="115"/>
      <c r="AU208" s="115"/>
      <c r="AV208" s="115"/>
      <c r="AW208" s="115"/>
      <c r="AX208" s="115"/>
      <c r="AY208" s="115"/>
      <c r="AZ208" s="115"/>
      <c r="BA208" s="115"/>
      <c r="BB208" s="115"/>
      <c r="BC208" s="115"/>
      <c r="BD208" s="115"/>
      <c r="BE208" s="115"/>
      <c r="BF208" s="115"/>
      <c r="BG208" s="115"/>
      <c r="BH208" s="115"/>
      <c r="BI208" s="115"/>
      <c r="BJ208" s="115"/>
    </row>
    <row r="209" spans="33:62" x14ac:dyDescent="0.25">
      <c r="AG209" s="115"/>
      <c r="AH209" s="115"/>
      <c r="AI209" s="115"/>
      <c r="AJ209" s="115"/>
      <c r="AK209" s="115"/>
      <c r="AL209" s="115"/>
      <c r="AM209" s="115"/>
      <c r="AN209" s="115"/>
      <c r="AO209" s="115"/>
      <c r="AP209" s="115"/>
      <c r="AQ209" s="115"/>
      <c r="AR209" s="115"/>
      <c r="AS209" s="115"/>
      <c r="AT209" s="115"/>
      <c r="AU209" s="115"/>
      <c r="AV209" s="115"/>
      <c r="AW209" s="115"/>
      <c r="AX209" s="115"/>
      <c r="AY209" s="115"/>
      <c r="AZ209" s="115"/>
      <c r="BA209" s="115"/>
      <c r="BB209" s="115"/>
      <c r="BC209" s="115"/>
      <c r="BD209" s="115"/>
      <c r="BE209" s="115"/>
      <c r="BF209" s="115"/>
      <c r="BG209" s="115"/>
      <c r="BH209" s="115"/>
      <c r="BI209" s="115"/>
      <c r="BJ209" s="115"/>
    </row>
    <row r="210" spans="33:62" x14ac:dyDescent="0.25">
      <c r="AG210" s="115"/>
      <c r="AH210" s="115"/>
      <c r="AI210" s="115"/>
      <c r="AJ210" s="115"/>
      <c r="AK210" s="115"/>
      <c r="AL210" s="115"/>
      <c r="AM210" s="115"/>
      <c r="AN210" s="115"/>
      <c r="AO210" s="115"/>
      <c r="AP210" s="115"/>
      <c r="AQ210" s="115"/>
      <c r="AR210" s="115"/>
      <c r="AS210" s="115"/>
      <c r="AT210" s="115"/>
      <c r="AU210" s="115"/>
      <c r="AV210" s="115"/>
      <c r="AW210" s="115"/>
      <c r="AX210" s="115"/>
      <c r="AY210" s="115"/>
      <c r="AZ210" s="115"/>
      <c r="BA210" s="115"/>
      <c r="BB210" s="115"/>
      <c r="BC210" s="115"/>
      <c r="BD210" s="115"/>
      <c r="BE210" s="115"/>
      <c r="BF210" s="115"/>
      <c r="BG210" s="115"/>
      <c r="BH210" s="115"/>
      <c r="BI210" s="115"/>
      <c r="BJ210" s="115"/>
    </row>
    <row r="211" spans="33:62" x14ac:dyDescent="0.25">
      <c r="AG211" s="115"/>
      <c r="AH211" s="115"/>
      <c r="AI211" s="115"/>
      <c r="AJ211" s="115"/>
      <c r="AK211" s="115"/>
      <c r="AL211" s="115"/>
      <c r="AM211" s="115"/>
      <c r="AN211" s="115"/>
      <c r="AO211" s="115"/>
      <c r="AP211" s="115"/>
      <c r="AQ211" s="115"/>
      <c r="AR211" s="115"/>
      <c r="AS211" s="115"/>
      <c r="AT211" s="115"/>
      <c r="AU211" s="115"/>
      <c r="AV211" s="115"/>
      <c r="AW211" s="115"/>
      <c r="AX211" s="115"/>
      <c r="AY211" s="115"/>
      <c r="AZ211" s="115"/>
      <c r="BA211" s="115"/>
      <c r="BB211" s="115"/>
      <c r="BC211" s="115"/>
      <c r="BD211" s="115"/>
      <c r="BE211" s="115"/>
      <c r="BF211" s="115"/>
      <c r="BG211" s="115"/>
      <c r="BH211" s="115"/>
      <c r="BI211" s="115"/>
      <c r="BJ211" s="115"/>
    </row>
    <row r="212" spans="33:62" x14ac:dyDescent="0.25">
      <c r="AG212" s="115"/>
      <c r="AH212" s="115"/>
      <c r="AI212" s="115"/>
      <c r="AJ212" s="115"/>
      <c r="AK212" s="115"/>
      <c r="AL212" s="115"/>
      <c r="AM212" s="115"/>
      <c r="AN212" s="115"/>
      <c r="AO212" s="115"/>
      <c r="AP212" s="115"/>
      <c r="AQ212" s="115"/>
      <c r="AR212" s="115"/>
      <c r="AS212" s="115"/>
      <c r="AT212" s="115"/>
      <c r="AU212" s="115"/>
      <c r="AV212" s="115"/>
      <c r="AW212" s="115"/>
      <c r="AX212" s="115"/>
      <c r="AY212" s="115"/>
      <c r="AZ212" s="115"/>
      <c r="BA212" s="115"/>
      <c r="BB212" s="115"/>
      <c r="BC212" s="115"/>
      <c r="BD212" s="115"/>
      <c r="BE212" s="115"/>
      <c r="BF212" s="115"/>
      <c r="BG212" s="115"/>
      <c r="BH212" s="115"/>
      <c r="BI212" s="115"/>
      <c r="BJ212" s="115"/>
    </row>
    <row r="213" spans="33:62" x14ac:dyDescent="0.25">
      <c r="AG213" s="115"/>
      <c r="AH213" s="115"/>
      <c r="AI213" s="115"/>
      <c r="AJ213" s="115"/>
      <c r="AK213" s="115"/>
      <c r="AL213" s="115"/>
      <c r="AM213" s="115"/>
      <c r="AN213" s="115"/>
      <c r="AO213" s="115"/>
      <c r="AP213" s="115"/>
      <c r="AQ213" s="115"/>
      <c r="AR213" s="115"/>
      <c r="AS213" s="115"/>
      <c r="AT213" s="115"/>
      <c r="AU213" s="115"/>
      <c r="AV213" s="115"/>
      <c r="AW213" s="115"/>
      <c r="AX213" s="115"/>
      <c r="AY213" s="115"/>
      <c r="AZ213" s="115"/>
      <c r="BA213" s="115"/>
      <c r="BB213" s="115"/>
      <c r="BC213" s="115"/>
      <c r="BD213" s="115"/>
      <c r="BE213" s="115"/>
      <c r="BF213" s="115"/>
      <c r="BG213" s="115"/>
      <c r="BH213" s="115"/>
      <c r="BI213" s="115"/>
      <c r="BJ213" s="115"/>
    </row>
    <row r="214" spans="33:62" x14ac:dyDescent="0.25">
      <c r="AG214" s="115"/>
      <c r="AH214" s="115"/>
      <c r="AI214" s="115"/>
      <c r="AJ214" s="115"/>
      <c r="AK214" s="115"/>
      <c r="AL214" s="115"/>
      <c r="AM214" s="115"/>
      <c r="AN214" s="115"/>
      <c r="AO214" s="115"/>
      <c r="AP214" s="115"/>
      <c r="AQ214" s="115"/>
      <c r="AR214" s="115"/>
      <c r="AS214" s="115"/>
      <c r="AT214" s="115"/>
      <c r="AU214" s="115"/>
      <c r="AV214" s="115"/>
      <c r="AW214" s="115"/>
      <c r="AX214" s="115"/>
      <c r="AY214" s="115"/>
      <c r="AZ214" s="115"/>
      <c r="BA214" s="115"/>
      <c r="BB214" s="115"/>
      <c r="BC214" s="115"/>
      <c r="BD214" s="115"/>
      <c r="BE214" s="115"/>
      <c r="BF214" s="115"/>
      <c r="BG214" s="115"/>
      <c r="BH214" s="115"/>
      <c r="BI214" s="115"/>
      <c r="BJ214" s="115"/>
    </row>
    <row r="215" spans="33:62" x14ac:dyDescent="0.25">
      <c r="AG215" s="115"/>
      <c r="AH215" s="115"/>
      <c r="AI215" s="115"/>
      <c r="AJ215" s="115"/>
      <c r="AK215" s="115"/>
      <c r="AL215" s="115"/>
      <c r="AM215" s="115"/>
      <c r="AN215" s="115"/>
      <c r="AO215" s="115"/>
      <c r="AP215" s="115"/>
      <c r="AQ215" s="115"/>
      <c r="AR215" s="115"/>
      <c r="AS215" s="115"/>
      <c r="AT215" s="115"/>
      <c r="AU215" s="115"/>
      <c r="AV215" s="115"/>
      <c r="AW215" s="115"/>
      <c r="AX215" s="115"/>
      <c r="AY215" s="115"/>
      <c r="AZ215" s="115"/>
      <c r="BA215" s="115"/>
      <c r="BB215" s="115"/>
      <c r="BC215" s="115"/>
      <c r="BD215" s="115"/>
      <c r="BE215" s="115"/>
      <c r="BF215" s="115"/>
      <c r="BG215" s="115"/>
      <c r="BH215" s="115"/>
      <c r="BI215" s="115"/>
      <c r="BJ215" s="115"/>
    </row>
    <row r="216" spans="33:62" x14ac:dyDescent="0.25">
      <c r="AG216" s="115"/>
      <c r="AH216" s="115"/>
      <c r="AI216" s="115"/>
      <c r="AJ216" s="115"/>
      <c r="AK216" s="115"/>
      <c r="AL216" s="115"/>
      <c r="AM216" s="115"/>
      <c r="AN216" s="115"/>
      <c r="AO216" s="115"/>
      <c r="AP216" s="115"/>
      <c r="AQ216" s="115"/>
      <c r="AR216" s="115"/>
      <c r="AS216" s="115"/>
      <c r="AT216" s="115"/>
      <c r="AU216" s="115"/>
      <c r="AV216" s="115"/>
      <c r="AW216" s="115"/>
      <c r="AX216" s="115"/>
      <c r="AY216" s="115"/>
      <c r="AZ216" s="115"/>
      <c r="BA216" s="115"/>
      <c r="BB216" s="115"/>
      <c r="BC216" s="115"/>
      <c r="BD216" s="115"/>
      <c r="BE216" s="115"/>
      <c r="BF216" s="115"/>
      <c r="BG216" s="115"/>
      <c r="BH216" s="115"/>
      <c r="BI216" s="115"/>
      <c r="BJ216" s="115"/>
    </row>
    <row r="217" spans="33:62" x14ac:dyDescent="0.25">
      <c r="AG217" s="115"/>
      <c r="AH217" s="115"/>
      <c r="AI217" s="115"/>
      <c r="AJ217" s="115"/>
      <c r="AK217" s="115"/>
      <c r="AL217" s="115"/>
      <c r="AM217" s="115"/>
      <c r="AN217" s="115"/>
      <c r="AO217" s="115"/>
      <c r="AP217" s="115"/>
      <c r="AQ217" s="115"/>
      <c r="AR217" s="115"/>
      <c r="AS217" s="115"/>
      <c r="AT217" s="115"/>
      <c r="AU217" s="115"/>
      <c r="AV217" s="115"/>
      <c r="AW217" s="115"/>
      <c r="AX217" s="115"/>
      <c r="AY217" s="115"/>
      <c r="AZ217" s="115"/>
      <c r="BA217" s="115"/>
      <c r="BB217" s="115"/>
      <c r="BC217" s="115"/>
      <c r="BD217" s="115"/>
      <c r="BE217" s="115"/>
      <c r="BF217" s="115"/>
      <c r="BG217" s="115"/>
      <c r="BH217" s="115"/>
      <c r="BI217" s="115"/>
      <c r="BJ217" s="115"/>
    </row>
    <row r="218" spans="33:62" x14ac:dyDescent="0.25">
      <c r="AG218" s="115"/>
      <c r="AH218" s="115"/>
      <c r="AI218" s="115"/>
      <c r="AJ218" s="115"/>
      <c r="AK218" s="115"/>
      <c r="AL218" s="115"/>
      <c r="AM218" s="115"/>
      <c r="AN218" s="115"/>
      <c r="AO218" s="115"/>
      <c r="AP218" s="115"/>
      <c r="AQ218" s="115"/>
      <c r="AR218" s="115"/>
      <c r="AS218" s="115"/>
      <c r="AT218" s="115"/>
      <c r="AU218" s="115"/>
      <c r="AV218" s="115"/>
      <c r="AW218" s="115"/>
      <c r="AX218" s="115"/>
      <c r="AY218" s="115"/>
      <c r="AZ218" s="115"/>
      <c r="BA218" s="115"/>
      <c r="BB218" s="115"/>
      <c r="BC218" s="115"/>
      <c r="BD218" s="115"/>
      <c r="BE218" s="115"/>
      <c r="BF218" s="115"/>
      <c r="BG218" s="115"/>
      <c r="BH218" s="115"/>
      <c r="BI218" s="115"/>
      <c r="BJ218" s="115"/>
    </row>
    <row r="219" spans="33:62" x14ac:dyDescent="0.25"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  <c r="BI219" s="115"/>
      <c r="BJ219" s="115"/>
    </row>
    <row r="220" spans="33:62" x14ac:dyDescent="0.25"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  <c r="BI220" s="115"/>
      <c r="BJ220" s="115"/>
    </row>
    <row r="221" spans="33:62" x14ac:dyDescent="0.25"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  <c r="BI221" s="115"/>
      <c r="BJ221" s="115"/>
    </row>
    <row r="222" spans="33:62" x14ac:dyDescent="0.25"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  <c r="BI222" s="115"/>
      <c r="BJ222" s="115"/>
    </row>
    <row r="223" spans="33:62" x14ac:dyDescent="0.25"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  <c r="BI223" s="115"/>
      <c r="BJ223" s="115"/>
    </row>
    <row r="224" spans="33:62" x14ac:dyDescent="0.25"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  <c r="BI224" s="115"/>
      <c r="BJ224" s="115"/>
    </row>
    <row r="225" spans="33:62" x14ac:dyDescent="0.25"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  <c r="BI225" s="115"/>
      <c r="BJ225" s="115"/>
    </row>
    <row r="226" spans="33:62" x14ac:dyDescent="0.25"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</row>
    <row r="227" spans="33:62" x14ac:dyDescent="0.25"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  <c r="BI227" s="115"/>
      <c r="BJ227" s="115"/>
    </row>
    <row r="228" spans="33:62" x14ac:dyDescent="0.25"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  <c r="BI228" s="115"/>
      <c r="BJ228" s="115"/>
    </row>
    <row r="229" spans="33:62" x14ac:dyDescent="0.25"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  <c r="BI229" s="115"/>
      <c r="BJ229" s="115"/>
    </row>
    <row r="230" spans="33:62" x14ac:dyDescent="0.25"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  <c r="BI230" s="115"/>
      <c r="BJ230" s="115"/>
    </row>
    <row r="231" spans="33:62" x14ac:dyDescent="0.25"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  <c r="BI231" s="115"/>
      <c r="BJ231" s="115"/>
    </row>
    <row r="232" spans="33:62" x14ac:dyDescent="0.25"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  <c r="BI232" s="115"/>
      <c r="BJ232" s="115"/>
    </row>
    <row r="233" spans="33:62" x14ac:dyDescent="0.25"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  <c r="BI233" s="115"/>
      <c r="BJ233" s="115"/>
    </row>
    <row r="234" spans="33:62" x14ac:dyDescent="0.25"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  <c r="BI234" s="115"/>
      <c r="BJ234" s="115"/>
    </row>
    <row r="235" spans="33:62" x14ac:dyDescent="0.25"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  <c r="BI235" s="115"/>
      <c r="BJ235" s="115"/>
    </row>
    <row r="236" spans="33:62" x14ac:dyDescent="0.25">
      <c r="AG236" s="115"/>
      <c r="AH236" s="115"/>
      <c r="AI236" s="115"/>
      <c r="AJ236" s="115"/>
      <c r="AK236" s="115"/>
      <c r="AL236" s="115"/>
      <c r="AM236" s="115"/>
      <c r="AN236" s="115"/>
      <c r="AO236" s="115"/>
      <c r="AP236" s="115"/>
      <c r="AQ236" s="115"/>
      <c r="AR236" s="115"/>
      <c r="AS236" s="115"/>
      <c r="AT236" s="115"/>
      <c r="AU236" s="115"/>
      <c r="AV236" s="115"/>
      <c r="AW236" s="115"/>
      <c r="AX236" s="115"/>
      <c r="AY236" s="115"/>
      <c r="AZ236" s="115"/>
      <c r="BA236" s="115"/>
      <c r="BB236" s="115"/>
      <c r="BC236" s="115"/>
      <c r="BD236" s="115"/>
      <c r="BE236" s="115"/>
      <c r="BF236" s="115"/>
      <c r="BG236" s="115"/>
      <c r="BH236" s="115"/>
      <c r="BI236" s="115"/>
      <c r="BJ236" s="115"/>
    </row>
    <row r="237" spans="33:62" x14ac:dyDescent="0.25">
      <c r="AG237" s="115"/>
      <c r="AH237" s="115"/>
      <c r="AI237" s="115"/>
      <c r="AJ237" s="115"/>
      <c r="AK237" s="115"/>
      <c r="AL237" s="115"/>
      <c r="AM237" s="115"/>
      <c r="AN237" s="115"/>
      <c r="AO237" s="115"/>
      <c r="AP237" s="115"/>
      <c r="AQ237" s="115"/>
      <c r="AR237" s="115"/>
      <c r="AS237" s="115"/>
      <c r="AT237" s="115"/>
      <c r="AU237" s="115"/>
      <c r="AV237" s="115"/>
      <c r="AW237" s="115"/>
      <c r="AX237" s="115"/>
      <c r="AY237" s="115"/>
      <c r="AZ237" s="115"/>
      <c r="BA237" s="115"/>
      <c r="BB237" s="115"/>
      <c r="BC237" s="115"/>
      <c r="BD237" s="115"/>
      <c r="BE237" s="115"/>
      <c r="BF237" s="115"/>
      <c r="BG237" s="115"/>
      <c r="BH237" s="115"/>
      <c r="BI237" s="115"/>
      <c r="BJ237" s="115"/>
    </row>
    <row r="238" spans="33:62" x14ac:dyDescent="0.25">
      <c r="AG238" s="115"/>
      <c r="AH238" s="115"/>
      <c r="AI238" s="115"/>
      <c r="AJ238" s="115"/>
      <c r="AK238" s="115"/>
      <c r="AL238" s="115"/>
      <c r="AM238" s="115"/>
      <c r="AN238" s="115"/>
      <c r="AO238" s="115"/>
      <c r="AP238" s="115"/>
      <c r="AQ238" s="115"/>
      <c r="AR238" s="115"/>
      <c r="AS238" s="115"/>
      <c r="AT238" s="115"/>
      <c r="AU238" s="115"/>
      <c r="AV238" s="115"/>
      <c r="AW238" s="115"/>
      <c r="AX238" s="115"/>
      <c r="AY238" s="115"/>
      <c r="AZ238" s="115"/>
      <c r="BA238" s="115"/>
      <c r="BB238" s="115"/>
      <c r="BC238" s="115"/>
      <c r="BD238" s="115"/>
      <c r="BE238" s="115"/>
      <c r="BF238" s="115"/>
      <c r="BG238" s="115"/>
      <c r="BH238" s="115"/>
      <c r="BI238" s="115"/>
      <c r="BJ238" s="115"/>
    </row>
    <row r="239" spans="33:62" x14ac:dyDescent="0.25">
      <c r="AG239" s="115"/>
      <c r="AH239" s="115"/>
      <c r="AI239" s="115"/>
      <c r="AJ239" s="115"/>
      <c r="AK239" s="115"/>
      <c r="AL239" s="115"/>
      <c r="AM239" s="115"/>
      <c r="AN239" s="115"/>
      <c r="AO239" s="115"/>
      <c r="AP239" s="115"/>
      <c r="AQ239" s="115"/>
      <c r="AR239" s="115"/>
      <c r="AS239" s="115"/>
      <c r="AT239" s="115"/>
      <c r="AU239" s="115"/>
      <c r="AV239" s="115"/>
      <c r="AW239" s="115"/>
      <c r="AX239" s="115"/>
      <c r="AY239" s="115"/>
      <c r="AZ239" s="115"/>
      <c r="BA239" s="115"/>
      <c r="BB239" s="115"/>
      <c r="BC239" s="115"/>
      <c r="BD239" s="115"/>
      <c r="BE239" s="115"/>
      <c r="BF239" s="115"/>
      <c r="BG239" s="115"/>
      <c r="BH239" s="115"/>
      <c r="BI239" s="115"/>
      <c r="BJ239" s="115"/>
    </row>
    <row r="240" spans="33:62" x14ac:dyDescent="0.25">
      <c r="AG240" s="115"/>
      <c r="AH240" s="115"/>
      <c r="AI240" s="115"/>
      <c r="AJ240" s="115"/>
      <c r="AK240" s="115"/>
      <c r="AL240" s="115"/>
      <c r="AM240" s="115"/>
      <c r="AN240" s="115"/>
      <c r="AO240" s="115"/>
      <c r="AP240" s="115"/>
      <c r="AQ240" s="115"/>
      <c r="AR240" s="115"/>
      <c r="AS240" s="115"/>
      <c r="AT240" s="115"/>
      <c r="AU240" s="115"/>
      <c r="AV240" s="115"/>
      <c r="AW240" s="115"/>
      <c r="AX240" s="115"/>
      <c r="AY240" s="115"/>
      <c r="AZ240" s="115"/>
      <c r="BA240" s="115"/>
      <c r="BB240" s="115"/>
      <c r="BC240" s="115"/>
      <c r="BD240" s="115"/>
      <c r="BE240" s="115"/>
      <c r="BF240" s="115"/>
      <c r="BG240" s="115"/>
      <c r="BH240" s="115"/>
      <c r="BI240" s="115"/>
      <c r="BJ240" s="115"/>
    </row>
    <row r="241" spans="33:62" x14ac:dyDescent="0.25">
      <c r="AG241" s="115"/>
      <c r="AH241" s="115"/>
      <c r="AI241" s="115"/>
      <c r="AJ241" s="115"/>
      <c r="AK241" s="115"/>
      <c r="AL241" s="115"/>
      <c r="AM241" s="115"/>
      <c r="AN241" s="115"/>
      <c r="AO241" s="115"/>
      <c r="AP241" s="115"/>
      <c r="AQ241" s="115"/>
      <c r="AR241" s="115"/>
      <c r="AS241" s="115"/>
      <c r="AT241" s="115"/>
      <c r="AU241" s="115"/>
      <c r="AV241" s="115"/>
      <c r="AW241" s="115"/>
      <c r="AX241" s="115"/>
      <c r="AY241" s="115"/>
      <c r="AZ241" s="115"/>
      <c r="BA241" s="115"/>
      <c r="BB241" s="115"/>
      <c r="BC241" s="115"/>
      <c r="BD241" s="115"/>
      <c r="BE241" s="115"/>
      <c r="BF241" s="115"/>
      <c r="BG241" s="115"/>
      <c r="BH241" s="115"/>
      <c r="BI241" s="115"/>
      <c r="BJ241" s="115"/>
    </row>
    <row r="242" spans="33:62" x14ac:dyDescent="0.25">
      <c r="AG242" s="115"/>
      <c r="AH242" s="115"/>
      <c r="AI242" s="115"/>
      <c r="AJ242" s="115"/>
      <c r="AK242" s="115"/>
      <c r="AL242" s="115"/>
      <c r="AM242" s="115"/>
      <c r="AN242" s="115"/>
      <c r="AO242" s="115"/>
      <c r="AP242" s="115"/>
      <c r="AQ242" s="115"/>
      <c r="AR242" s="115"/>
      <c r="AS242" s="115"/>
      <c r="AT242" s="115"/>
      <c r="AU242" s="115"/>
      <c r="AV242" s="115"/>
      <c r="AW242" s="115"/>
      <c r="AX242" s="115"/>
      <c r="AY242" s="115"/>
      <c r="AZ242" s="115"/>
      <c r="BA242" s="115"/>
      <c r="BB242" s="115"/>
      <c r="BC242" s="115"/>
      <c r="BD242" s="115"/>
      <c r="BE242" s="115"/>
      <c r="BF242" s="115"/>
      <c r="BG242" s="115"/>
      <c r="BH242" s="115"/>
      <c r="BI242" s="115"/>
      <c r="BJ242" s="115"/>
    </row>
  </sheetData>
  <mergeCells count="617">
    <mergeCell ref="U174:W174"/>
    <mergeCell ref="Y174:AA174"/>
    <mergeCell ref="C1:AF1"/>
    <mergeCell ref="Y170:AA170"/>
    <mergeCell ref="U171:W171"/>
    <mergeCell ref="U172:W172"/>
    <mergeCell ref="Y172:AA172"/>
    <mergeCell ref="U173:W173"/>
    <mergeCell ref="Y173:AA173"/>
    <mergeCell ref="U165:W165"/>
    <mergeCell ref="U166:W166"/>
    <mergeCell ref="U167:W167"/>
    <mergeCell ref="U168:W168"/>
    <mergeCell ref="U169:W169"/>
    <mergeCell ref="U170:W170"/>
    <mergeCell ref="U162:W162"/>
    <mergeCell ref="Y162:AA162"/>
    <mergeCell ref="U163:W163"/>
    <mergeCell ref="Y163:AA163"/>
    <mergeCell ref="U164:W164"/>
    <mergeCell ref="Y164:AA164"/>
    <mergeCell ref="U159:W159"/>
    <mergeCell ref="Y159:AA159"/>
    <mergeCell ref="U160:W160"/>
    <mergeCell ref="Y160:AA160"/>
    <mergeCell ref="U161:W161"/>
    <mergeCell ref="Y161:AA161"/>
    <mergeCell ref="U155:W155"/>
    <mergeCell ref="Y155:AA155"/>
    <mergeCell ref="U156:W156"/>
    <mergeCell ref="Y156:AA156"/>
    <mergeCell ref="U157:W157"/>
    <mergeCell ref="Y157:AA158"/>
    <mergeCell ref="U158:W158"/>
    <mergeCell ref="U152:W152"/>
    <mergeCell ref="Y152:AA152"/>
    <mergeCell ref="U153:W153"/>
    <mergeCell ref="Y153:AA153"/>
    <mergeCell ref="U154:W154"/>
    <mergeCell ref="Y154:AA154"/>
    <mergeCell ref="U149:W149"/>
    <mergeCell ref="Y149:AA149"/>
    <mergeCell ref="U150:W150"/>
    <mergeCell ref="Y150:AA150"/>
    <mergeCell ref="U151:W151"/>
    <mergeCell ref="Y151:AA151"/>
    <mergeCell ref="U145:W145"/>
    <mergeCell ref="U146:W146"/>
    <mergeCell ref="Y146:AA146"/>
    <mergeCell ref="U147:W147"/>
    <mergeCell ref="U148:W148"/>
    <mergeCell ref="Y148:AA148"/>
    <mergeCell ref="U140:W140"/>
    <mergeCell ref="Y140:AA140"/>
    <mergeCell ref="U141:W141"/>
    <mergeCell ref="U142:W142"/>
    <mergeCell ref="U143:W143"/>
    <mergeCell ref="U144:W144"/>
    <mergeCell ref="U137:W137"/>
    <mergeCell ref="Y137:AA137"/>
    <mergeCell ref="U138:W138"/>
    <mergeCell ref="Y138:AA138"/>
    <mergeCell ref="U139:W139"/>
    <mergeCell ref="Y139:AA139"/>
    <mergeCell ref="U133:W133"/>
    <mergeCell ref="Y133:AA134"/>
    <mergeCell ref="U134:W134"/>
    <mergeCell ref="U135:W135"/>
    <mergeCell ref="Y135:AA135"/>
    <mergeCell ref="U136:W136"/>
    <mergeCell ref="Y136:AA136"/>
    <mergeCell ref="U130:W130"/>
    <mergeCell ref="Y130:AA130"/>
    <mergeCell ref="U131:W131"/>
    <mergeCell ref="Y131:AA131"/>
    <mergeCell ref="U132:W132"/>
    <mergeCell ref="Y132:AA132"/>
    <mergeCell ref="U127:W127"/>
    <mergeCell ref="Y127:AA127"/>
    <mergeCell ref="U128:W128"/>
    <mergeCell ref="Y128:AA128"/>
    <mergeCell ref="U129:W129"/>
    <mergeCell ref="Y129:AA129"/>
    <mergeCell ref="U124:W124"/>
    <mergeCell ref="Y124:AA124"/>
    <mergeCell ref="U125:W125"/>
    <mergeCell ref="Y125:AA125"/>
    <mergeCell ref="U126:W126"/>
    <mergeCell ref="Y126:AA126"/>
    <mergeCell ref="A120:C120"/>
    <mergeCell ref="U120:W120"/>
    <mergeCell ref="U121:W121"/>
    <mergeCell ref="U122:W122"/>
    <mergeCell ref="Y122:AA122"/>
    <mergeCell ref="U123:W123"/>
    <mergeCell ref="A117:C117"/>
    <mergeCell ref="U117:W117"/>
    <mergeCell ref="A118:C118"/>
    <mergeCell ref="U118:W118"/>
    <mergeCell ref="A119:C119"/>
    <mergeCell ref="U119:W119"/>
    <mergeCell ref="A115:C115"/>
    <mergeCell ref="U115:W115"/>
    <mergeCell ref="Y115:AA115"/>
    <mergeCell ref="A116:C116"/>
    <mergeCell ref="U116:W116"/>
    <mergeCell ref="Y116:AA116"/>
    <mergeCell ref="Y112:AA112"/>
    <mergeCell ref="AC112:AE112"/>
    <mergeCell ref="A113:C113"/>
    <mergeCell ref="U113:W113"/>
    <mergeCell ref="Y113:AA113"/>
    <mergeCell ref="U114:W114"/>
    <mergeCell ref="Y114:AA114"/>
    <mergeCell ref="Y104:AA104"/>
    <mergeCell ref="AC104:AE104"/>
    <mergeCell ref="A105:C105"/>
    <mergeCell ref="E105:AE105"/>
    <mergeCell ref="A112:C112"/>
    <mergeCell ref="E112:G112"/>
    <mergeCell ref="I112:K112"/>
    <mergeCell ref="M112:O112"/>
    <mergeCell ref="Q112:S112"/>
    <mergeCell ref="U112:W112"/>
    <mergeCell ref="A104:C104"/>
    <mergeCell ref="E104:G104"/>
    <mergeCell ref="I104:K104"/>
    <mergeCell ref="M104:O104"/>
    <mergeCell ref="Q104:S104"/>
    <mergeCell ref="U104:W104"/>
    <mergeCell ref="A102:C102"/>
    <mergeCell ref="E102:AE102"/>
    <mergeCell ref="A103:C103"/>
    <mergeCell ref="E103:G103"/>
    <mergeCell ref="I103:K103"/>
    <mergeCell ref="M103:O103"/>
    <mergeCell ref="Q103:S103"/>
    <mergeCell ref="U103:W103"/>
    <mergeCell ref="Y103:AA103"/>
    <mergeCell ref="AC103:AE103"/>
    <mergeCell ref="A100:C100"/>
    <mergeCell ref="E100:G100"/>
    <mergeCell ref="I100:K100"/>
    <mergeCell ref="Y100:AA100"/>
    <mergeCell ref="A101:C101"/>
    <mergeCell ref="E101:AE101"/>
    <mergeCell ref="Y98:AA98"/>
    <mergeCell ref="AC98:AE98"/>
    <mergeCell ref="A99:C99"/>
    <mergeCell ref="E99:G99"/>
    <mergeCell ref="I99:K99"/>
    <mergeCell ref="M99:O99"/>
    <mergeCell ref="Q99:S99"/>
    <mergeCell ref="U99:W99"/>
    <mergeCell ref="Y99:AA99"/>
    <mergeCell ref="A98:C98"/>
    <mergeCell ref="E98:G98"/>
    <mergeCell ref="I98:K98"/>
    <mergeCell ref="M98:O98"/>
    <mergeCell ref="Q98:S98"/>
    <mergeCell ref="U98:W98"/>
    <mergeCell ref="Y96:AA96"/>
    <mergeCell ref="AC96:AE96"/>
    <mergeCell ref="A97:C97"/>
    <mergeCell ref="E97:G97"/>
    <mergeCell ref="I97:K97"/>
    <mergeCell ref="M97:O97"/>
    <mergeCell ref="Q97:S97"/>
    <mergeCell ref="U97:W97"/>
    <mergeCell ref="Y97:AA97"/>
    <mergeCell ref="AC97:AE97"/>
    <mergeCell ref="A96:C96"/>
    <mergeCell ref="E96:G96"/>
    <mergeCell ref="I96:K96"/>
    <mergeCell ref="M96:O96"/>
    <mergeCell ref="Q96:S96"/>
    <mergeCell ref="U96:W96"/>
    <mergeCell ref="A94:C94"/>
    <mergeCell ref="E94:G94"/>
    <mergeCell ref="I94:K94"/>
    <mergeCell ref="M94:O94"/>
    <mergeCell ref="Q94:S94"/>
    <mergeCell ref="U94:W94"/>
    <mergeCell ref="Y94:AA94"/>
    <mergeCell ref="AC94:AE94"/>
    <mergeCell ref="A95:C95"/>
    <mergeCell ref="E95:G95"/>
    <mergeCell ref="I95:K95"/>
    <mergeCell ref="M95:O95"/>
    <mergeCell ref="Q95:S95"/>
    <mergeCell ref="U95:W95"/>
    <mergeCell ref="Y95:AA95"/>
    <mergeCell ref="AC95:AE95"/>
    <mergeCell ref="AC91:AE91"/>
    <mergeCell ref="M92:O92"/>
    <mergeCell ref="Q92:S92"/>
    <mergeCell ref="U92:W92"/>
    <mergeCell ref="Y92:AA92"/>
    <mergeCell ref="A93:C93"/>
    <mergeCell ref="E93:G93"/>
    <mergeCell ref="I93:K93"/>
    <mergeCell ref="M93:O93"/>
    <mergeCell ref="Q93:S93"/>
    <mergeCell ref="U93:W93"/>
    <mergeCell ref="Y93:AA93"/>
    <mergeCell ref="AC93:AE93"/>
    <mergeCell ref="M90:O90"/>
    <mergeCell ref="Q90:S90"/>
    <mergeCell ref="U90:W90"/>
    <mergeCell ref="Y90:AA90"/>
    <mergeCell ref="A91:C91"/>
    <mergeCell ref="M91:O91"/>
    <mergeCell ref="Q91:S91"/>
    <mergeCell ref="U91:W91"/>
    <mergeCell ref="Y91:AA91"/>
    <mergeCell ref="AC87:AE87"/>
    <mergeCell ref="Q88:S88"/>
    <mergeCell ref="E89:G89"/>
    <mergeCell ref="I89:K89"/>
    <mergeCell ref="M89:O89"/>
    <mergeCell ref="Q89:S89"/>
    <mergeCell ref="U89:W89"/>
    <mergeCell ref="Y89:AA89"/>
    <mergeCell ref="Y85:AA85"/>
    <mergeCell ref="AC85:AE85"/>
    <mergeCell ref="Q86:S86"/>
    <mergeCell ref="A87:C87"/>
    <mergeCell ref="E87:G87"/>
    <mergeCell ref="I87:K87"/>
    <mergeCell ref="M87:O87"/>
    <mergeCell ref="Q87:S87"/>
    <mergeCell ref="U87:W87"/>
    <mergeCell ref="Y87:AA87"/>
    <mergeCell ref="A85:C85"/>
    <mergeCell ref="E85:G85"/>
    <mergeCell ref="I85:K85"/>
    <mergeCell ref="M85:O85"/>
    <mergeCell ref="Q85:S85"/>
    <mergeCell ref="U85:W85"/>
    <mergeCell ref="A81:C81"/>
    <mergeCell ref="E81:G81"/>
    <mergeCell ref="I81:K81"/>
    <mergeCell ref="M81:O81"/>
    <mergeCell ref="Q81:S81"/>
    <mergeCell ref="U81:W81"/>
    <mergeCell ref="Y81:AA81"/>
    <mergeCell ref="AC81:AE81"/>
    <mergeCell ref="E83:G83"/>
    <mergeCell ref="I83:K83"/>
    <mergeCell ref="M83:O83"/>
    <mergeCell ref="Q83:S83"/>
    <mergeCell ref="U83:W83"/>
    <mergeCell ref="Y83:AA83"/>
    <mergeCell ref="AC83:AE83"/>
    <mergeCell ref="A76:C76"/>
    <mergeCell ref="A77:C77"/>
    <mergeCell ref="A79:C79"/>
    <mergeCell ref="E79:G79"/>
    <mergeCell ref="I79:K79"/>
    <mergeCell ref="M79:O79"/>
    <mergeCell ref="Y73:AA73"/>
    <mergeCell ref="AC73:AE73"/>
    <mergeCell ref="A74:C74"/>
    <mergeCell ref="D74:AE74"/>
    <mergeCell ref="A75:C75"/>
    <mergeCell ref="D75:AE75"/>
    <mergeCell ref="A73:C73"/>
    <mergeCell ref="E73:G73"/>
    <mergeCell ref="I73:K73"/>
    <mergeCell ref="M73:O73"/>
    <mergeCell ref="Q73:S73"/>
    <mergeCell ref="U73:W73"/>
    <mergeCell ref="Q79:S79"/>
    <mergeCell ref="U79:W79"/>
    <mergeCell ref="Y79:AA79"/>
    <mergeCell ref="AC79:AE79"/>
    <mergeCell ref="Y71:AA71"/>
    <mergeCell ref="AC71:AE71"/>
    <mergeCell ref="A72:C72"/>
    <mergeCell ref="E72:G72"/>
    <mergeCell ref="I72:K72"/>
    <mergeCell ref="M72:O72"/>
    <mergeCell ref="Q72:S72"/>
    <mergeCell ref="U72:W72"/>
    <mergeCell ref="Y72:AA72"/>
    <mergeCell ref="AC72:AE72"/>
    <mergeCell ref="A71:C71"/>
    <mergeCell ref="E71:G71"/>
    <mergeCell ref="I71:K71"/>
    <mergeCell ref="M71:O71"/>
    <mergeCell ref="Q71:S71"/>
    <mergeCell ref="U71:W71"/>
    <mergeCell ref="Y69:Z69"/>
    <mergeCell ref="AC69:AE69"/>
    <mergeCell ref="A70:C70"/>
    <mergeCell ref="E70:G70"/>
    <mergeCell ref="I70:K70"/>
    <mergeCell ref="M70:O70"/>
    <mergeCell ref="Q70:S70"/>
    <mergeCell ref="U70:W70"/>
    <mergeCell ref="Y70:AA70"/>
    <mergeCell ref="AC70:AE70"/>
    <mergeCell ref="A69:C69"/>
    <mergeCell ref="E69:F69"/>
    <mergeCell ref="I69:J69"/>
    <mergeCell ref="M69:N69"/>
    <mergeCell ref="Q69:R69"/>
    <mergeCell ref="U69:V69"/>
    <mergeCell ref="AC67:AE67"/>
    <mergeCell ref="A68:C68"/>
    <mergeCell ref="E68:G68"/>
    <mergeCell ref="I68:K68"/>
    <mergeCell ref="M68:O68"/>
    <mergeCell ref="Q68:S68"/>
    <mergeCell ref="U68:W68"/>
    <mergeCell ref="Y68:AA68"/>
    <mergeCell ref="Y66:AA66"/>
    <mergeCell ref="A67:C67"/>
    <mergeCell ref="E67:G67"/>
    <mergeCell ref="I67:K67"/>
    <mergeCell ref="M67:O67"/>
    <mergeCell ref="Q67:S67"/>
    <mergeCell ref="U67:W67"/>
    <mergeCell ref="Y67:AA67"/>
    <mergeCell ref="U65:W65"/>
    <mergeCell ref="A66:C66"/>
    <mergeCell ref="E66:G66"/>
    <mergeCell ref="I66:K66"/>
    <mergeCell ref="M66:O66"/>
    <mergeCell ref="Q66:S66"/>
    <mergeCell ref="U66:W66"/>
    <mergeCell ref="A62:AE62"/>
    <mergeCell ref="E64:G64"/>
    <mergeCell ref="I64:K64"/>
    <mergeCell ref="M64:O64"/>
    <mergeCell ref="Q64:S64"/>
    <mergeCell ref="U64:W64"/>
    <mergeCell ref="Y64:AA64"/>
    <mergeCell ref="AC64:AE64"/>
    <mergeCell ref="A57:C57"/>
    <mergeCell ref="E57:G57"/>
    <mergeCell ref="A58:C58"/>
    <mergeCell ref="A59:C59"/>
    <mergeCell ref="A60:C60"/>
    <mergeCell ref="A61:C61"/>
    <mergeCell ref="Y55:AA55"/>
    <mergeCell ref="AC55:AE55"/>
    <mergeCell ref="A56:C56"/>
    <mergeCell ref="E56:G56"/>
    <mergeCell ref="I56:K56"/>
    <mergeCell ref="M56:O56"/>
    <mergeCell ref="R56:T56"/>
    <mergeCell ref="U56:W56"/>
    <mergeCell ref="Y56:AA56"/>
    <mergeCell ref="AC56:AE56"/>
    <mergeCell ref="A55:C55"/>
    <mergeCell ref="E55:G55"/>
    <mergeCell ref="I55:K55"/>
    <mergeCell ref="M55:O55"/>
    <mergeCell ref="R55:T55"/>
    <mergeCell ref="U55:W55"/>
    <mergeCell ref="Y53:AA53"/>
    <mergeCell ref="AC53:AE53"/>
    <mergeCell ref="A54:C54"/>
    <mergeCell ref="E54:G54"/>
    <mergeCell ref="I54:K54"/>
    <mergeCell ref="M54:O54"/>
    <mergeCell ref="R54:T54"/>
    <mergeCell ref="U54:W54"/>
    <mergeCell ref="Y54:AA54"/>
    <mergeCell ref="AC54:AE54"/>
    <mergeCell ref="A53:C53"/>
    <mergeCell ref="E53:G53"/>
    <mergeCell ref="I53:K53"/>
    <mergeCell ref="M53:O53"/>
    <mergeCell ref="R53:T53"/>
    <mergeCell ref="U53:W53"/>
    <mergeCell ref="Y51:AA51"/>
    <mergeCell ref="AC51:AE51"/>
    <mergeCell ref="A52:C52"/>
    <mergeCell ref="E52:G52"/>
    <mergeCell ref="I52:K52"/>
    <mergeCell ref="M52:O52"/>
    <mergeCell ref="R52:T52"/>
    <mergeCell ref="U52:W52"/>
    <mergeCell ref="Y52:AA52"/>
    <mergeCell ref="AC52:AE52"/>
    <mergeCell ref="A51:C51"/>
    <mergeCell ref="E51:G51"/>
    <mergeCell ref="I51:K51"/>
    <mergeCell ref="M51:O51"/>
    <mergeCell ref="R51:T51"/>
    <mergeCell ref="U51:W51"/>
    <mergeCell ref="Y49:AA49"/>
    <mergeCell ref="AC49:AE49"/>
    <mergeCell ref="A50:C50"/>
    <mergeCell ref="E50:G50"/>
    <mergeCell ref="I50:K50"/>
    <mergeCell ref="M50:O50"/>
    <mergeCell ref="R50:T50"/>
    <mergeCell ref="U50:W50"/>
    <mergeCell ref="Y50:AA50"/>
    <mergeCell ref="AC50:AE50"/>
    <mergeCell ref="A49:C49"/>
    <mergeCell ref="E49:G49"/>
    <mergeCell ref="I49:K49"/>
    <mergeCell ref="M49:O49"/>
    <mergeCell ref="R49:T49"/>
    <mergeCell ref="U49:W49"/>
    <mergeCell ref="Y47:AA47"/>
    <mergeCell ref="AC47:AE47"/>
    <mergeCell ref="A48:C48"/>
    <mergeCell ref="E48:G48"/>
    <mergeCell ref="I48:K48"/>
    <mergeCell ref="M48:O48"/>
    <mergeCell ref="R48:T48"/>
    <mergeCell ref="U48:W48"/>
    <mergeCell ref="Y48:AA48"/>
    <mergeCell ref="AC48:AE48"/>
    <mergeCell ref="A47:C47"/>
    <mergeCell ref="E47:G47"/>
    <mergeCell ref="I47:K47"/>
    <mergeCell ref="M47:O47"/>
    <mergeCell ref="R47:T47"/>
    <mergeCell ref="U47:W47"/>
    <mergeCell ref="AC45:AE45"/>
    <mergeCell ref="A46:C46"/>
    <mergeCell ref="E46:G46"/>
    <mergeCell ref="I46:K46"/>
    <mergeCell ref="M46:O46"/>
    <mergeCell ref="Q46:S46"/>
    <mergeCell ref="U46:W46"/>
    <mergeCell ref="Y46:AA46"/>
    <mergeCell ref="Y44:AA44"/>
    <mergeCell ref="A45:C45"/>
    <mergeCell ref="E45:G45"/>
    <mergeCell ref="I45:K45"/>
    <mergeCell ref="M45:O45"/>
    <mergeCell ref="Q45:S45"/>
    <mergeCell ref="U45:W45"/>
    <mergeCell ref="Y45:AA45"/>
    <mergeCell ref="A44:C44"/>
    <mergeCell ref="E44:G44"/>
    <mergeCell ref="I44:K44"/>
    <mergeCell ref="M44:O44"/>
    <mergeCell ref="Q44:S44"/>
    <mergeCell ref="U44:W44"/>
    <mergeCell ref="Y42:AA42"/>
    <mergeCell ref="A43:C43"/>
    <mergeCell ref="E43:G43"/>
    <mergeCell ref="I43:K43"/>
    <mergeCell ref="M43:O43"/>
    <mergeCell ref="Q43:S43"/>
    <mergeCell ref="U43:W43"/>
    <mergeCell ref="Y43:AA43"/>
    <mergeCell ref="A42:C42"/>
    <mergeCell ref="E42:G42"/>
    <mergeCell ref="I42:K42"/>
    <mergeCell ref="M42:O42"/>
    <mergeCell ref="Q42:S42"/>
    <mergeCell ref="U42:W42"/>
    <mergeCell ref="Y40:AA40"/>
    <mergeCell ref="A41:C41"/>
    <mergeCell ref="E41:G41"/>
    <mergeCell ref="I41:K41"/>
    <mergeCell ref="M41:O41"/>
    <mergeCell ref="Q41:S41"/>
    <mergeCell ref="U41:W41"/>
    <mergeCell ref="Y41:AA41"/>
    <mergeCell ref="A40:C40"/>
    <mergeCell ref="E40:G40"/>
    <mergeCell ref="I40:K40"/>
    <mergeCell ref="M40:O40"/>
    <mergeCell ref="Q40:S40"/>
    <mergeCell ref="U40:W40"/>
    <mergeCell ref="Y38:AA38"/>
    <mergeCell ref="A39:C39"/>
    <mergeCell ref="E39:G39"/>
    <mergeCell ref="I39:K39"/>
    <mergeCell ref="M39:O39"/>
    <mergeCell ref="Q39:S39"/>
    <mergeCell ref="U39:W39"/>
    <mergeCell ref="Y39:AA39"/>
    <mergeCell ref="A38:C38"/>
    <mergeCell ref="E38:G38"/>
    <mergeCell ref="I38:K38"/>
    <mergeCell ref="M38:O38"/>
    <mergeCell ref="Q38:S38"/>
    <mergeCell ref="U38:W38"/>
    <mergeCell ref="Y36:AA36"/>
    <mergeCell ref="A37:C37"/>
    <mergeCell ref="E37:G37"/>
    <mergeCell ref="I37:K37"/>
    <mergeCell ref="M37:O37"/>
    <mergeCell ref="Q37:S37"/>
    <mergeCell ref="U37:W37"/>
    <mergeCell ref="Y37:AA37"/>
    <mergeCell ref="A36:C36"/>
    <mergeCell ref="E36:G36"/>
    <mergeCell ref="I36:K36"/>
    <mergeCell ref="M36:O36"/>
    <mergeCell ref="Q36:S36"/>
    <mergeCell ref="U36:W36"/>
    <mergeCell ref="Y34:AA34"/>
    <mergeCell ref="A35:C35"/>
    <mergeCell ref="E35:G35"/>
    <mergeCell ref="I35:K35"/>
    <mergeCell ref="M35:O35"/>
    <mergeCell ref="Q35:S35"/>
    <mergeCell ref="U35:W35"/>
    <mergeCell ref="Y35:AA35"/>
    <mergeCell ref="A34:C34"/>
    <mergeCell ref="E34:G34"/>
    <mergeCell ref="I34:K34"/>
    <mergeCell ref="M34:O34"/>
    <mergeCell ref="Q34:S34"/>
    <mergeCell ref="U34:W34"/>
    <mergeCell ref="Y32:AA32"/>
    <mergeCell ref="A33:C33"/>
    <mergeCell ref="E33:G33"/>
    <mergeCell ref="I33:K33"/>
    <mergeCell ref="M33:O33"/>
    <mergeCell ref="Q33:S33"/>
    <mergeCell ref="U33:W33"/>
    <mergeCell ref="Y33:AA33"/>
    <mergeCell ref="A32:C32"/>
    <mergeCell ref="E32:G32"/>
    <mergeCell ref="I32:K32"/>
    <mergeCell ref="M32:O32"/>
    <mergeCell ref="Q32:S32"/>
    <mergeCell ref="U32:W32"/>
    <mergeCell ref="AC29:AE29"/>
    <mergeCell ref="A31:C31"/>
    <mergeCell ref="E31:G31"/>
    <mergeCell ref="I31:K31"/>
    <mergeCell ref="M31:O31"/>
    <mergeCell ref="Q31:S31"/>
    <mergeCell ref="U31:W31"/>
    <mergeCell ref="Y31:AA31"/>
    <mergeCell ref="E29:G29"/>
    <mergeCell ref="I29:K29"/>
    <mergeCell ref="M29:O29"/>
    <mergeCell ref="Q29:S29"/>
    <mergeCell ref="U29:W29"/>
    <mergeCell ref="Y29:AA29"/>
    <mergeCell ref="E25:G25"/>
    <mergeCell ref="J25:M25"/>
    <mergeCell ref="N25:O25"/>
    <mergeCell ref="AB25:AE25"/>
    <mergeCell ref="A27:AF27"/>
    <mergeCell ref="AI27:AM27"/>
    <mergeCell ref="AD21:AE21"/>
    <mergeCell ref="C23:E23"/>
    <mergeCell ref="F23:I23"/>
    <mergeCell ref="J23:M23"/>
    <mergeCell ref="N23:Q23"/>
    <mergeCell ref="R23:U23"/>
    <mergeCell ref="V23:Y23"/>
    <mergeCell ref="Z23:AC23"/>
    <mergeCell ref="W18:Y18"/>
    <mergeCell ref="Z18:AA18"/>
    <mergeCell ref="C21:E21"/>
    <mergeCell ref="G21:K21"/>
    <mergeCell ref="M21:O21"/>
    <mergeCell ref="AA21:AC21"/>
    <mergeCell ref="V16:Z16"/>
    <mergeCell ref="AH16:AH18"/>
    <mergeCell ref="A18:B18"/>
    <mergeCell ref="C18:D18"/>
    <mergeCell ref="E18:G18"/>
    <mergeCell ref="H18:I18"/>
    <mergeCell ref="L18:N18"/>
    <mergeCell ref="P18:Q18"/>
    <mergeCell ref="S18:T18"/>
    <mergeCell ref="U18:V18"/>
    <mergeCell ref="A16:B16"/>
    <mergeCell ref="C16:E16"/>
    <mergeCell ref="G16:H16"/>
    <mergeCell ref="K16:M16"/>
    <mergeCell ref="O16:R16"/>
    <mergeCell ref="S16:U16"/>
    <mergeCell ref="AD10:AE10"/>
    <mergeCell ref="C12:E12"/>
    <mergeCell ref="G12:I12"/>
    <mergeCell ref="M12:N12"/>
    <mergeCell ref="O12:Q12"/>
    <mergeCell ref="A14:AF14"/>
    <mergeCell ref="W8:Y8"/>
    <mergeCell ref="Z8:AB8"/>
    <mergeCell ref="AC8:AE8"/>
    <mergeCell ref="A9:B10"/>
    <mergeCell ref="E10:F10"/>
    <mergeCell ref="G10:K10"/>
    <mergeCell ref="M10:O10"/>
    <mergeCell ref="P10:W10"/>
    <mergeCell ref="Y10:Z10"/>
    <mergeCell ref="AB10:AC10"/>
    <mergeCell ref="AK6:AO6"/>
    <mergeCell ref="A8:B8"/>
    <mergeCell ref="C8:D8"/>
    <mergeCell ref="G8:H8"/>
    <mergeCell ref="I8:L8"/>
    <mergeCell ref="M8:N8"/>
    <mergeCell ref="O8:P8"/>
    <mergeCell ref="Q8:R8"/>
    <mergeCell ref="S8:V8"/>
    <mergeCell ref="A2:AF2"/>
    <mergeCell ref="A3:AF3"/>
    <mergeCell ref="A4:AF4"/>
    <mergeCell ref="A6:B6"/>
    <mergeCell ref="C6:K6"/>
    <mergeCell ref="M6:O6"/>
    <mergeCell ref="P6:S6"/>
    <mergeCell ref="T6:W6"/>
    <mergeCell ref="X6:Y6"/>
    <mergeCell ref="Z6:AA6"/>
    <mergeCell ref="AB6:AE6"/>
  </mergeCells>
  <conditionalFormatting sqref="I29:K32 I34:K34 I37:K44 I47:K61 I63:K68 I70:K73 I76:K82 I84:K90 I91:J91 I92:K92 I94:K94 I98:K98 I103:K103 I112:K165">
    <cfRule type="expression" dxfId="17" priority="10">
      <formula>$I$31=0</formula>
    </cfRule>
  </conditionalFormatting>
  <conditionalFormatting sqref="I79:K79">
    <cfRule type="expression" dxfId="16" priority="1">
      <formula>$I$68=""</formula>
    </cfRule>
  </conditionalFormatting>
  <conditionalFormatting sqref="L29:L30 P30 L47:L61 P47:P61 L64">
    <cfRule type="expression" dxfId="15" priority="14">
      <formula>#REF!=0</formula>
    </cfRule>
  </conditionalFormatting>
  <conditionalFormatting sqref="L70">
    <cfRule type="expression" dxfId="14" priority="15">
      <formula>#REF!=0</formula>
    </cfRule>
  </conditionalFormatting>
  <conditionalFormatting sqref="M29:O32 M34:O34 M37:O44 M47:O61 M64:O68 M70:O73 M100:O100 M103:O103 M112:O162">
    <cfRule type="expression" dxfId="13" priority="13">
      <formula>$M$31=0</formula>
    </cfRule>
  </conditionalFormatting>
  <conditionalFormatting sqref="M76:O98">
    <cfRule type="expression" dxfId="12" priority="2">
      <formula>$M$31=0</formula>
    </cfRule>
  </conditionalFormatting>
  <conditionalFormatting sqref="P70">
    <cfRule type="expression" dxfId="11" priority="19">
      <formula>#REF!=0</formula>
    </cfRule>
  </conditionalFormatting>
  <conditionalFormatting sqref="Q83:S83">
    <cfRule type="expression" dxfId="10" priority="8">
      <formula>$Q$31=0</formula>
    </cfRule>
  </conditionalFormatting>
  <conditionalFormatting sqref="Q85:S98">
    <cfRule type="expression" dxfId="9" priority="3">
      <formula>$Q$31=0</formula>
    </cfRule>
  </conditionalFormatting>
  <conditionalFormatting sqref="U28:W32 U34:W34 U37:W44 U47:W61 U63:W68 U70:W73 U103:W103 U112:W174">
    <cfRule type="expression" dxfId="8" priority="12">
      <formula>$U$31=0</formula>
    </cfRule>
  </conditionalFormatting>
  <conditionalFormatting sqref="U76:W100">
    <cfRule type="expression" dxfId="7" priority="4">
      <formula>$U$31=0</formula>
    </cfRule>
  </conditionalFormatting>
  <conditionalFormatting sqref="X65">
    <cfRule type="expression" dxfId="6" priority="17">
      <formula>#REF!=0</formula>
    </cfRule>
  </conditionalFormatting>
  <conditionalFormatting sqref="Y28:AA32 Y34:AA34 Y37:AA44 Y47:AA61 Y63:AA68 Y70:AA73 Y112:AA173">
    <cfRule type="expression" dxfId="5" priority="11">
      <formula>$Y$31=0</formula>
    </cfRule>
  </conditionalFormatting>
  <conditionalFormatting sqref="Y76:AA100 Y103:AA103">
    <cfRule type="expression" dxfId="4" priority="5">
      <formula>$Y$31=0</formula>
    </cfRule>
  </conditionalFormatting>
  <conditionalFormatting sqref="Y174:AA174">
    <cfRule type="expression" dxfId="3" priority="18">
      <formula>#REF!=0</formula>
    </cfRule>
  </conditionalFormatting>
  <conditionalFormatting sqref="AJ70:AR88 AJ89:AL89 AR89 AJ90:AR112">
    <cfRule type="expression" dxfId="2" priority="20">
      <formula>$AJ$143=""</formula>
    </cfRule>
  </conditionalFormatting>
  <conditionalFormatting sqref="AS70:BA112">
    <cfRule type="expression" dxfId="1" priority="21">
      <formula>$AS$143=""</formula>
    </cfRule>
  </conditionalFormatting>
  <conditionalFormatting sqref="BB70:BJ112">
    <cfRule type="expression" dxfId="0" priority="22">
      <formula>$BB$143=""</formula>
    </cfRule>
  </conditionalFormatting>
  <dataValidations count="16">
    <dataValidation allowBlank="1" showInputMessage="1" showErrorMessage="1" promptTitle="Application" sqref="O18" xr:uid="{0666BBEB-1873-418C-887B-6208D2B7D0DB}"/>
    <dataValidation type="list" allowBlank="1" showInputMessage="1" showErrorMessage="1" sqref="F23:I23" xr:uid="{FBDD8160-7302-4186-B288-D7B4D2356ED3}">
      <formula1>"Return fan Power, Exhaust fan Power"</formula1>
    </dataValidation>
    <dataValidation type="list" allowBlank="1" showInputMessage="1" showErrorMessage="1" sqref="U18 C22 C24:C25" xr:uid="{ECF58E10-D27B-4291-B2F0-5AFA2AEBD809}">
      <formula1>CircuitQty</formula1>
    </dataValidation>
    <dataValidation type="list" allowBlank="1" showInputMessage="1" showErrorMessage="1" sqref="S16" xr:uid="{60ACE751-0A11-461F-B1D8-A04B885CBF7D}">
      <formula1>INDIRECT($C$16)</formula1>
    </dataValidation>
    <dataValidation type="list" allowBlank="1" showInputMessage="1" showErrorMessage="1" sqref="C16:E16" xr:uid="{29E173EE-50EC-4FC0-82CA-6E99F24A9EF3}">
      <formula1>CU_Type</formula1>
    </dataValidation>
    <dataValidation type="list" allowBlank="1" showInputMessage="1" showErrorMessage="1" sqref="K12" xr:uid="{FA43EE9E-41EB-4FFB-8509-F8AAFD1D9B3B}">
      <formula1>CondOAT_REF</formula1>
    </dataValidation>
    <dataValidation type="list" allowBlank="1" showInputMessage="1" showErrorMessage="1" sqref="P10" xr:uid="{A9A5DBBD-E284-4498-83EB-389EDD542773}">
      <formula1>INDIRECT($G$10)</formula1>
    </dataValidation>
    <dataValidation type="list" allowBlank="1" showInputMessage="1" showErrorMessage="1" sqref="G10" xr:uid="{5CED6DAC-55FA-4428-8E4F-10546E9576A1}">
      <formula1>INDIRECT($AC$8)</formula1>
    </dataValidation>
    <dataValidation type="list" allowBlank="1" showInputMessage="1" showErrorMessage="1" sqref="X9 AC8" xr:uid="{E33D5445-96C4-4897-B6DA-A52237336EE0}">
      <formula1>Country</formula1>
    </dataValidation>
    <dataValidation type="list" allowBlank="1" showInputMessage="1" showErrorMessage="1" sqref="O24:O25 O20 O18 O22" xr:uid="{449BF758-C2DF-47D5-BAEE-24E42DEF398A}">
      <formula1>"Vest., Out"</formula1>
    </dataValidation>
    <dataValidation type="list" allowBlank="1" showInputMessage="1" showErrorMessage="1" sqref="L18 AA16 I20 I24:I25 I22" xr:uid="{9924D106-7A6C-4D60-8F50-D0656F463EAC}">
      <formula1>YesNo</formula1>
    </dataValidation>
    <dataValidation type="list" allowBlank="1" showInputMessage="1" showErrorMessage="1" promptTitle="Application" sqref="K16 P18 N16" xr:uid="{42341EDA-5D21-4D0D-A3AD-5EAB8473C315}">
      <formula1>Application</formula1>
    </dataValidation>
    <dataValidation type="list" allowBlank="1" showInputMessage="1" showErrorMessage="1" sqref="O12 T29 H29 T64 H64" xr:uid="{5AA53245-1D8C-4344-BC3F-1A47D1C1D951}">
      <formula1>Power</formula1>
    </dataValidation>
    <dataValidation type="list" allowBlank="1" showInputMessage="1" showErrorMessage="1" sqref="P18" xr:uid="{EC57C2BD-D81B-4436-91AB-8A9A7B3CC4E4}">
      <formula1>RefrigerantType</formula1>
    </dataValidation>
    <dataValidation type="list" allowBlank="1" showInputMessage="1" showErrorMessage="1" sqref="I133" xr:uid="{C20D765E-AE7F-44CC-963E-28524D41F16B}">
      <formula1>"Yes, No"</formula1>
    </dataValidation>
    <dataValidation type="list" allowBlank="1" showInputMessage="1" showErrorMessage="1" sqref="AB133" xr:uid="{BA938AA8-B253-4145-A6F0-861C675C5CC3}">
      <formula1>"0,1,2,3,4"</formula1>
    </dataValidation>
  </dataValidations>
  <pageMargins left="0.25" right="0.25" top="0.75" bottom="0.75" header="0.3" footer="0.3"/>
  <pageSetup paperSize="3" scale="92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B2B9F82008E84FAFAC94B982478154" ma:contentTypeVersion="13" ma:contentTypeDescription="Crée un document." ma:contentTypeScope="" ma:versionID="03a0df469bbbfbeccd52c90248512e3e">
  <xsd:schema xmlns:xsd="http://www.w3.org/2001/XMLSchema" xmlns:xs="http://www.w3.org/2001/XMLSchema" xmlns:p="http://schemas.microsoft.com/office/2006/metadata/properties" xmlns:ns2="06e4e961-a04e-489d-8ca0-efea5e689357" xmlns:ns3="92a8c42c-c017-446f-9dc5-0e2e3460c3a1" targetNamespace="http://schemas.microsoft.com/office/2006/metadata/properties" ma:root="true" ma:fieldsID="9f7757fffe07b6f908c86e401dd10f82" ns2:_="" ns3:_="">
    <xsd:import namespace="06e4e961-a04e-489d-8ca0-efea5e689357"/>
    <xsd:import namespace="92a8c42c-c017-446f-9dc5-0e2e3460c3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e4e961-a04e-489d-8ca0-efea5e68935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2b4eca61-7344-47d2-8751-5586d9b51ac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8c42c-c017-446f-9dc5-0e2e3460c3a1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45a1c909-8312-493c-b777-e32743fb4b20}" ma:internalName="TaxCatchAll" ma:showField="CatchAllData" ma:web="92a8c42c-c017-446f-9dc5-0e2e3460c3a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2a8c42c-c017-446f-9dc5-0e2e3460c3a1" xsi:nil="true"/>
    <lcf76f155ced4ddcb4097134ff3c332f xmlns="06e4e961-a04e-489d-8ca0-efea5e689357">
      <Terms xmlns="http://schemas.microsoft.com/office/infopath/2007/PartnerControls"/>
    </lcf76f155ced4ddcb4097134ff3c332f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0F44A4-480D-4F8C-AA69-BD37B83016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e4e961-a04e-489d-8ca0-efea5e689357"/>
    <ds:schemaRef ds:uri="92a8c42c-c017-446f-9dc5-0e2e3460c3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90C0EEF-E075-4C3B-8347-E1CA9FD5495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B949376-D771-433C-BFAC-7C9EF1BBC019}">
  <ds:schemaRefs>
    <ds:schemaRef ds:uri="http://schemas.microsoft.com/office/2006/metadata/properties"/>
    <ds:schemaRef ds:uri="http://schemas.microsoft.com/office/infopath/2007/PartnerControls"/>
    <ds:schemaRef ds:uri="92a8c42c-c017-446f-9dc5-0e2e3460c3a1"/>
    <ds:schemaRef ds:uri="06e4e961-a04e-489d-8ca0-efea5e689357"/>
  </ds:schemaRefs>
</ds:datastoreItem>
</file>

<file path=customXml/itemProps4.xml><?xml version="1.0" encoding="utf-8"?>
<ds:datastoreItem xmlns:ds="http://schemas.openxmlformats.org/officeDocument/2006/customXml" ds:itemID="{C6FEDBDC-BE18-4A17-B23B-ADF5AD090EE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24</vt:i4>
      </vt:variant>
    </vt:vector>
  </HeadingPairs>
  <TitlesOfParts>
    <vt:vector size="32" baseType="lpstr">
      <vt:lpstr>Selection</vt:lpstr>
      <vt:lpstr>Lists</vt:lpstr>
      <vt:lpstr>Tables</vt:lpstr>
      <vt:lpstr>Sheet1</vt:lpstr>
      <vt:lpstr>Sheet3</vt:lpstr>
      <vt:lpstr>Nomenclature</vt:lpstr>
      <vt:lpstr>Sheet4</vt:lpstr>
      <vt:lpstr>Sheet2</vt:lpstr>
      <vt:lpstr>AirCondModels</vt:lpstr>
      <vt:lpstr>Application</vt:lpstr>
      <vt:lpstr>BPHX_Config</vt:lpstr>
      <vt:lpstr>BPHX_Type</vt:lpstr>
      <vt:lpstr>BPHX_Type\</vt:lpstr>
      <vt:lpstr>Comm_type</vt:lpstr>
      <vt:lpstr>CondOAT</vt:lpstr>
      <vt:lpstr>Control_signal</vt:lpstr>
      <vt:lpstr>Coolant</vt:lpstr>
      <vt:lpstr>Country</vt:lpstr>
      <vt:lpstr>Selection!Impression_des_titres</vt:lpstr>
      <vt:lpstr>Sheet1!Impression_des_titres</vt:lpstr>
      <vt:lpstr>IO_range</vt:lpstr>
      <vt:lpstr>IO_Type</vt:lpstr>
      <vt:lpstr>IO_unit</vt:lpstr>
      <vt:lpstr>Ladder_Type</vt:lpstr>
      <vt:lpstr>Option</vt:lpstr>
      <vt:lpstr>Power</vt:lpstr>
      <vt:lpstr>Refrigerant</vt:lpstr>
      <vt:lpstr>Skid_Model_NO</vt:lpstr>
      <vt:lpstr>YesNo</vt:lpstr>
      <vt:lpstr>Selection!Zone_d_impression</vt:lpstr>
      <vt:lpstr>Sheet1!Zone_d_impression</vt:lpstr>
      <vt:lpstr>Sheet2!Zone_d_impression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Aouad</dc:creator>
  <cp:keywords/>
  <dc:description/>
  <cp:lastModifiedBy>Etienne Desrochers</cp:lastModifiedBy>
  <cp:revision/>
  <dcterms:created xsi:type="dcterms:W3CDTF">2024-08-30T14:40:04Z</dcterms:created>
  <dcterms:modified xsi:type="dcterms:W3CDTF">2026-08-03T19:46:55Z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0x010100E2B2B9F82008E84FAFAC94B982478154</vt:lpwstr>
  </property>
  <property fmtid="{D5CDD505-2E9C-101B-9397-08002B2CF9AE}" pid="3" name="MediaServiceImageTags">
    <vt:lpwstr/>
  </property>
</Properties>
</file>