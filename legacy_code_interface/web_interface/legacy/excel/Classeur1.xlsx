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etorgft12474759-my.sharepoint.com/personal/etienne_desrochers_xnnov_com/Documents/Documents/GitHub/Nouveau dossier (2)/QuantumB/Web Interface/excel/"/>
    </mc:Choice>
  </mc:AlternateContent>
  <xr:revisionPtr revIDLastSave="36" documentId="11_2B59A837D18B818AC7FDC0315B53D0356FF9F14D" xr6:coauthVersionLast="47" xr6:coauthVersionMax="47" xr10:uidLastSave="{88D8584B-55E2-4633-B109-B7A47ACCD5D1}"/>
  <bookViews>
    <workbookView xWindow="-120" yWindow="-120" windowWidth="38640" windowHeight="21120" xr2:uid="{00000000-000D-0000-FFFF-FFFF00000000}"/>
  </bookViews>
  <sheets>
    <sheet name="Compressor Pages List" sheetId="1" r:id="rId1"/>
    <sheet name="Feuil1" sheetId="2" r:id="rId2"/>
    <sheet name="Feuil2" sheetId="3" r:id="rId3"/>
  </sheets>
  <externalReferences>
    <externalReference r:id="rId4"/>
  </externalReferences>
  <definedNames>
    <definedName name="AirCondModels">[1]Lists!$Q$2:$Q$5</definedName>
    <definedName name="BPHX_Config">[1]Lists!$P$2:$P$3</definedName>
    <definedName name="BPHX_Type">[1]Lists!$O$2:$O$4</definedName>
    <definedName name="Comm_type">[1]Lists!$T$2:$T$5</definedName>
    <definedName name="Control_signal">[1]Lists!$V$2:$V$12</definedName>
    <definedName name="Coolant">[1]Lists!$M$2:$M$8</definedName>
    <definedName name="CPSKDLIST">#REF!</definedName>
    <definedName name="IO_range">[1]Lists!$U$2:$U$31</definedName>
    <definedName name="IO_unit">[1]Lists!$S$2:$S$34</definedName>
    <definedName name="Option">[1]Lists!$R$2:$R$9</definedName>
    <definedName name="Refrigerant">[1]Lists!$K$2:$K$8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105" i="2" s="1"/>
  <c r="F176" i="2"/>
  <c r="C176" i="2"/>
  <c r="F175" i="2"/>
  <c r="C175" i="2"/>
  <c r="C174" i="2"/>
  <c r="F173" i="2"/>
  <c r="C173" i="2"/>
  <c r="F172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G94" i="2"/>
  <c r="A94" i="2"/>
  <c r="G93" i="2"/>
  <c r="A93" i="2"/>
  <c r="G92" i="2"/>
  <c r="A92" i="2"/>
  <c r="G91" i="2"/>
  <c r="G90" i="2"/>
  <c r="G89" i="2"/>
  <c r="G88" i="2"/>
  <c r="P85" i="2"/>
  <c r="D85" i="2"/>
  <c r="A85" i="2"/>
  <c r="E84" i="2"/>
  <c r="Q84" i="2" s="1"/>
  <c r="D84" i="2"/>
  <c r="P84" i="2" s="1"/>
  <c r="A84" i="2"/>
  <c r="E83" i="2"/>
  <c r="Q83" i="2" s="1"/>
  <c r="D83" i="2"/>
  <c r="P83" i="2" s="1"/>
  <c r="A83" i="2"/>
  <c r="P82" i="2"/>
  <c r="E82" i="2"/>
  <c r="E85" i="2" s="1"/>
  <c r="Q85" i="2" s="1"/>
  <c r="D82" i="2"/>
  <c r="E81" i="2"/>
  <c r="Q81" i="2" s="1"/>
  <c r="D81" i="2"/>
  <c r="P81" i="2" s="1"/>
  <c r="E80" i="2"/>
  <c r="Q80" i="2" s="1"/>
  <c r="D80" i="2"/>
  <c r="P80" i="2" s="1"/>
  <c r="E79" i="2"/>
  <c r="Q79" i="2" s="1"/>
  <c r="D79" i="2"/>
  <c r="P79" i="2" s="1"/>
  <c r="E78" i="2"/>
  <c r="Q78" i="2" s="1"/>
  <c r="A78" i="2"/>
  <c r="A77" i="2"/>
  <c r="A76" i="2"/>
  <c r="E75" i="2"/>
  <c r="Q75" i="2" s="1"/>
  <c r="E74" i="2"/>
  <c r="E77" i="2" s="1"/>
  <c r="Q77" i="2" s="1"/>
  <c r="E73" i="2"/>
  <c r="Q73" i="2" s="1"/>
  <c r="E72" i="2"/>
  <c r="Q72" i="2" s="1"/>
  <c r="Q71" i="2"/>
  <c r="P71" i="2"/>
  <c r="D71" i="2"/>
  <c r="A71" i="2"/>
  <c r="Q70" i="2"/>
  <c r="P70" i="2"/>
  <c r="D70" i="2"/>
  <c r="A70" i="2"/>
  <c r="Q69" i="2"/>
  <c r="D69" i="2"/>
  <c r="P69" i="2" s="1"/>
  <c r="A69" i="2"/>
  <c r="Q68" i="2"/>
  <c r="D68" i="2"/>
  <c r="P68" i="2" s="1"/>
  <c r="Q67" i="2"/>
  <c r="D67" i="2"/>
  <c r="P67" i="2" s="1"/>
  <c r="Q66" i="2"/>
  <c r="P66" i="2"/>
  <c r="D66" i="2"/>
  <c r="Q65" i="2"/>
  <c r="D65" i="2"/>
  <c r="P65" i="2" s="1"/>
  <c r="E60" i="2"/>
  <c r="B60" i="2"/>
  <c r="E59" i="2"/>
  <c r="B59" i="2"/>
  <c r="B58" i="2"/>
  <c r="E57" i="2"/>
  <c r="B57" i="2"/>
  <c r="P56" i="2"/>
  <c r="U56" i="2" s="1"/>
  <c r="E56" i="2"/>
  <c r="B56" i="2"/>
  <c r="P55" i="2"/>
  <c r="B55" i="2"/>
  <c r="P54" i="2"/>
  <c r="U54" i="2" s="1"/>
  <c r="B54" i="2"/>
  <c r="P53" i="2"/>
  <c r="U53" i="2" s="1"/>
  <c r="B53" i="2"/>
  <c r="P52" i="2"/>
  <c r="U52" i="2" s="1"/>
  <c r="B52" i="2"/>
  <c r="P51" i="2"/>
  <c r="U55" i="2" s="1"/>
  <c r="B51" i="2"/>
  <c r="B50" i="2"/>
  <c r="B49" i="2"/>
  <c r="B48" i="2"/>
  <c r="P47" i="2"/>
  <c r="B47" i="2"/>
  <c r="P46" i="2"/>
  <c r="U46" i="2" s="1"/>
  <c r="B46" i="2"/>
  <c r="P45" i="2"/>
  <c r="U45" i="2" s="1"/>
  <c r="B45" i="2"/>
  <c r="P44" i="2"/>
  <c r="U44" i="2" s="1"/>
  <c r="B44" i="2"/>
  <c r="U43" i="2"/>
  <c r="P43" i="2"/>
  <c r="B43" i="2"/>
  <c r="P42" i="2"/>
  <c r="U47" i="2" s="1"/>
  <c r="B42" i="2"/>
  <c r="B41" i="2"/>
  <c r="E40" i="2"/>
  <c r="B40" i="2"/>
  <c r="E39" i="2"/>
  <c r="B39" i="2"/>
  <c r="B38" i="2"/>
  <c r="E37" i="2"/>
  <c r="B37" i="2"/>
  <c r="E36" i="2"/>
  <c r="B36" i="2"/>
  <c r="B35" i="2"/>
  <c r="B34" i="2"/>
  <c r="B33" i="2"/>
  <c r="B32" i="2"/>
  <c r="B31" i="2"/>
  <c r="B30" i="2"/>
  <c r="B29" i="2"/>
  <c r="U28" i="2"/>
  <c r="V28" i="2" s="1"/>
  <c r="B28" i="2"/>
  <c r="U27" i="2"/>
  <c r="V27" i="2" s="1"/>
  <c r="M27" i="2"/>
  <c r="B27" i="2"/>
  <c r="U26" i="2"/>
  <c r="V26" i="2" s="1"/>
  <c r="M26" i="2"/>
  <c r="B26" i="2"/>
  <c r="V25" i="2"/>
  <c r="U25" i="2"/>
  <c r="M25" i="2"/>
  <c r="B25" i="2"/>
  <c r="U24" i="2"/>
  <c r="V24" i="2" s="1"/>
  <c r="M24" i="2"/>
  <c r="B24" i="2"/>
  <c r="U23" i="2"/>
  <c r="V23" i="2" s="1"/>
  <c r="M23" i="2"/>
  <c r="B23" i="2"/>
  <c r="U22" i="2"/>
  <c r="V22" i="2" s="1"/>
  <c r="M22" i="2"/>
  <c r="B22" i="2"/>
  <c r="V21" i="2"/>
  <c r="U21" i="2"/>
  <c r="M21" i="2"/>
  <c r="B21" i="2"/>
  <c r="V17" i="2"/>
  <c r="H17" i="2"/>
  <c r="E17" i="2"/>
  <c r="V16" i="2"/>
  <c r="H16" i="2"/>
  <c r="E16" i="2"/>
  <c r="V15" i="2"/>
  <c r="H15" i="2"/>
  <c r="E15" i="2"/>
  <c r="V14" i="2"/>
  <c r="H14" i="2"/>
  <c r="E14" i="2"/>
  <c r="V13" i="2"/>
  <c r="H13" i="2"/>
  <c r="E13" i="2"/>
  <c r="V12" i="2"/>
  <c r="H12" i="2"/>
  <c r="E12" i="2"/>
  <c r="V11" i="2"/>
  <c r="H11" i="2"/>
  <c r="E11" i="2"/>
  <c r="V10" i="2"/>
  <c r="H10" i="2"/>
  <c r="E10" i="2"/>
  <c r="V9" i="2"/>
  <c r="H9" i="2"/>
  <c r="E9" i="2"/>
  <c r="V8" i="2"/>
  <c r="H8" i="2"/>
  <c r="E8" i="2"/>
  <c r="V7" i="2"/>
  <c r="H7" i="2"/>
  <c r="E7" i="2"/>
  <c r="V6" i="2"/>
  <c r="H6" i="2"/>
  <c r="E6" i="2"/>
  <c r="V5" i="2"/>
  <c r="H5" i="2"/>
  <c r="E5" i="2"/>
  <c r="V4" i="2"/>
  <c r="H4" i="2"/>
  <c r="E4" i="2"/>
  <c r="V3" i="2"/>
  <c r="H3" i="2"/>
  <c r="D148" i="2" l="1"/>
  <c r="E148" i="2" s="1"/>
  <c r="F103" i="2"/>
  <c r="D103" i="2"/>
  <c r="E103" i="2" s="1"/>
  <c r="D99" i="2"/>
  <c r="E99" i="2" s="1"/>
  <c r="D115" i="2"/>
  <c r="E115" i="2" s="1"/>
  <c r="D111" i="2"/>
  <c r="E111" i="2" s="1"/>
  <c r="F137" i="2"/>
  <c r="D143" i="2"/>
  <c r="E143" i="2" s="1"/>
  <c r="F100" i="2"/>
  <c r="D138" i="2"/>
  <c r="E138" i="2" s="1"/>
  <c r="U51" i="2"/>
  <c r="F111" i="2"/>
  <c r="D149" i="2"/>
  <c r="E149" i="2" s="1"/>
  <c r="D112" i="2"/>
  <c r="E112" i="2" s="1"/>
  <c r="D128" i="2"/>
  <c r="E128" i="2" s="1"/>
  <c r="D123" i="2"/>
  <c r="E123" i="2" s="1"/>
  <c r="D150" i="2"/>
  <c r="E150" i="2" s="1"/>
  <c r="F107" i="2"/>
  <c r="D129" i="2"/>
  <c r="E129" i="2" s="1"/>
  <c r="D124" i="2"/>
  <c r="E124" i="2" s="1"/>
  <c r="F150" i="2"/>
  <c r="F113" i="2"/>
  <c r="F108" i="2"/>
  <c r="D109" i="2"/>
  <c r="E109" i="2" s="1"/>
  <c r="F119" i="2"/>
  <c r="D125" i="2"/>
  <c r="E125" i="2" s="1"/>
  <c r="F135" i="2"/>
  <c r="D141" i="2"/>
  <c r="E141" i="2" s="1"/>
  <c r="E76" i="2"/>
  <c r="Q76" i="2" s="1"/>
  <c r="D104" i="2"/>
  <c r="E104" i="2" s="1"/>
  <c r="F114" i="2"/>
  <c r="D120" i="2"/>
  <c r="E120" i="2" s="1"/>
  <c r="F130" i="2"/>
  <c r="D136" i="2"/>
  <c r="E136" i="2" s="1"/>
  <c r="F146" i="2"/>
  <c r="F121" i="2"/>
  <c r="D127" i="2"/>
  <c r="E127" i="2" s="1"/>
  <c r="F116" i="2"/>
  <c r="F132" i="2"/>
  <c r="F148" i="2"/>
  <c r="D117" i="2"/>
  <c r="E117" i="2" s="1"/>
  <c r="F127" i="2"/>
  <c r="D144" i="2"/>
  <c r="E144" i="2" s="1"/>
  <c r="F101" i="2"/>
  <c r="F117" i="2"/>
  <c r="F133" i="2"/>
  <c r="D102" i="2"/>
  <c r="E102" i="2" s="1"/>
  <c r="D118" i="2"/>
  <c r="E118" i="2" s="1"/>
  <c r="F128" i="2"/>
  <c r="D113" i="2"/>
  <c r="E113" i="2" s="1"/>
  <c r="D145" i="2"/>
  <c r="E145" i="2" s="1"/>
  <c r="D108" i="2"/>
  <c r="E108" i="2" s="1"/>
  <c r="F118" i="2"/>
  <c r="D140" i="2"/>
  <c r="E140" i="2" s="1"/>
  <c r="D119" i="2"/>
  <c r="E119" i="2" s="1"/>
  <c r="F129" i="2"/>
  <c r="F145" i="2"/>
  <c r="F124" i="2"/>
  <c r="D130" i="2"/>
  <c r="E130" i="2" s="1"/>
  <c r="F140" i="2"/>
  <c r="F109" i="2"/>
  <c r="F125" i="2"/>
  <c r="D131" i="2"/>
  <c r="E131" i="2" s="1"/>
  <c r="D147" i="2"/>
  <c r="E147" i="2" s="1"/>
  <c r="U42" i="2"/>
  <c r="F104" i="2"/>
  <c r="D110" i="2"/>
  <c r="E110" i="2" s="1"/>
  <c r="F120" i="2"/>
  <c r="D126" i="2"/>
  <c r="E126" i="2" s="1"/>
  <c r="F136" i="2"/>
  <c r="D142" i="2"/>
  <c r="E142" i="2" s="1"/>
  <c r="D106" i="2"/>
  <c r="E106" i="2" s="1"/>
  <c r="Q82" i="2"/>
  <c r="F143" i="2"/>
  <c r="F106" i="2"/>
  <c r="F138" i="2"/>
  <c r="D139" i="2"/>
  <c r="E139" i="2" s="1"/>
  <c r="D134" i="2"/>
  <c r="E134" i="2" s="1"/>
  <c r="F139" i="2"/>
  <c r="Q74" i="2"/>
  <c r="F134" i="2"/>
  <c r="D135" i="2"/>
  <c r="E135" i="2" s="1"/>
  <c r="D114" i="2"/>
  <c r="E114" i="2" s="1"/>
  <c r="D146" i="2"/>
  <c r="E146" i="2" s="1"/>
  <c r="F141" i="2"/>
  <c r="F99" i="2"/>
  <c r="D105" i="2"/>
  <c r="E105" i="2" s="1"/>
  <c r="F115" i="2"/>
  <c r="D121" i="2"/>
  <c r="E121" i="2" s="1"/>
  <c r="F131" i="2"/>
  <c r="D137" i="2"/>
  <c r="E137" i="2" s="1"/>
  <c r="F147" i="2"/>
  <c r="D122" i="2"/>
  <c r="E122" i="2" s="1"/>
  <c r="D101" i="2"/>
  <c r="E101" i="2" s="1"/>
  <c r="D133" i="2"/>
  <c r="E133" i="2" s="1"/>
  <c r="F122" i="2"/>
  <c r="D107" i="2"/>
  <c r="E107" i="2" s="1"/>
  <c r="F149" i="2"/>
  <c r="F112" i="2"/>
  <c r="F144" i="2"/>
  <c r="F123" i="2"/>
  <c r="F102" i="2"/>
  <c r="D100" i="2"/>
  <c r="E100" i="2" s="1"/>
  <c r="F110" i="2"/>
  <c r="D116" i="2"/>
  <c r="E116" i="2" s="1"/>
  <c r="F126" i="2"/>
  <c r="D132" i="2"/>
  <c r="E132" i="2" s="1"/>
  <c r="F142" i="2"/>
</calcChain>
</file>

<file path=xl/sharedStrings.xml><?xml version="1.0" encoding="utf-8"?>
<sst xmlns="http://schemas.openxmlformats.org/spreadsheetml/2006/main" count="1296" uniqueCount="380">
  <si>
    <t>Compressor_Model</t>
  </si>
  <si>
    <t>Template</t>
  </si>
  <si>
    <t>Quantity</t>
  </si>
  <si>
    <t>Nominal Capacity</t>
  </si>
  <si>
    <t>Compressor Manufacturer</t>
  </si>
  <si>
    <t>Control</t>
  </si>
  <si>
    <t>Refrigerant</t>
  </si>
  <si>
    <t>Compressor Skid Model Number</t>
  </si>
  <si>
    <t>Compressor 1 Qty</t>
  </si>
  <si>
    <t>Compressor 2 Qty</t>
  </si>
  <si>
    <t>Minimum Capacity</t>
  </si>
  <si>
    <t>Compressor Model 200V</t>
  </si>
  <si>
    <t>Compressor Model 400V</t>
  </si>
  <si>
    <t>Compressor Model 600V</t>
  </si>
  <si>
    <t>Compressor Qty</t>
  </si>
  <si>
    <t>Condenser Airflow</t>
  </si>
  <si>
    <t>Suction Line Dia</t>
  </si>
  <si>
    <t>Discharge Line Dia</t>
  </si>
  <si>
    <t xml:space="preserve"> Liquide Line Dia</t>
  </si>
  <si>
    <t>Cooling Air Condenser Model</t>
  </si>
  <si>
    <t>HP  Air Condenser Model</t>
  </si>
  <si>
    <t>Cooling Water Condenser Model</t>
  </si>
  <si>
    <t>HP  Ater Condenser Model</t>
  </si>
  <si>
    <t>Water Evaporator</t>
  </si>
  <si>
    <t>Condenser Fan Qty</t>
  </si>
  <si>
    <t>Mitsubishi</t>
  </si>
  <si>
    <t>VS</t>
  </si>
  <si>
    <t>R454B</t>
  </si>
  <si>
    <t>ARK66FAAMT</t>
  </si>
  <si>
    <t>ARK66FAEMT</t>
  </si>
  <si>
    <t>ASHP18</t>
  </si>
  <si>
    <t>ARK78FAAMT</t>
  </si>
  <si>
    <t>ARK78FAEMT</t>
  </si>
  <si>
    <t>ARK87FAAMT</t>
  </si>
  <si>
    <t>ARK87FAEMT</t>
  </si>
  <si>
    <t>ASHP26</t>
  </si>
  <si>
    <t>DFX400x130</t>
  </si>
  <si>
    <t>ASHP35</t>
  </si>
  <si>
    <t>ASHP55</t>
  </si>
  <si>
    <t>Copeland</t>
  </si>
  <si>
    <t>YAW0661E-5X9-ECH</t>
  </si>
  <si>
    <t>YAW0661E-7X9-ECH</t>
  </si>
  <si>
    <t>YAW0961E-5X9-ECH</t>
  </si>
  <si>
    <t>YAW0961E-7X9-ECH</t>
  </si>
  <si>
    <t>Compressor</t>
  </si>
  <si>
    <t>Power</t>
  </si>
  <si>
    <t>Power Input</t>
  </si>
  <si>
    <t>RLA</t>
  </si>
  <si>
    <t>RLA Conditions</t>
  </si>
  <si>
    <t>Type</t>
  </si>
  <si>
    <t>Composition</t>
  </si>
  <si>
    <t>ASHRAE Safety Class</t>
  </si>
  <si>
    <t>GWP₁₀₀</t>
  </si>
  <si>
    <t>vs. R-410A (GWP 2,088)</t>
  </si>
  <si>
    <t>Manufacturer</t>
  </si>
  <si>
    <t>Model #</t>
  </si>
  <si>
    <t>Part #</t>
  </si>
  <si>
    <t>Flow</t>
  </si>
  <si>
    <t>Dia In</t>
  </si>
  <si>
    <t>Dia Out</t>
  </si>
  <si>
    <t>Max Cap</t>
  </si>
  <si>
    <t>Min Cap</t>
  </si>
  <si>
    <t>Notes</t>
  </si>
  <si>
    <t>ARK52FAAMT</t>
  </si>
  <si>
    <t>208/3/60</t>
  </si>
  <si>
    <t>130,65</t>
  </si>
  <si>
    <t>R744</t>
  </si>
  <si>
    <t xml:space="preserve">Natural     </t>
  </si>
  <si>
    <t xml:space="preserve">  CO₂    </t>
  </si>
  <si>
    <t>A1</t>
  </si>
  <si>
    <t>Copleand</t>
  </si>
  <si>
    <t>EX4-I21</t>
  </si>
  <si>
    <t>800 615</t>
  </si>
  <si>
    <t>Uni-flow</t>
  </si>
  <si>
    <t>Vapor Inject.</t>
  </si>
  <si>
    <t>ARK52FABMT</t>
  </si>
  <si>
    <t>575/3/60</t>
  </si>
  <si>
    <t xml:space="preserve">R290 </t>
  </si>
  <si>
    <t>Propane</t>
  </si>
  <si>
    <t>A3</t>
  </si>
  <si>
    <t>EX4-U31</t>
  </si>
  <si>
    <t xml:space="preserve">800 617 </t>
  </si>
  <si>
    <t>Bi-Flow</t>
  </si>
  <si>
    <t>480/3/60</t>
  </si>
  <si>
    <t>R1234ze</t>
  </si>
  <si>
    <t>HFO</t>
  </si>
  <si>
    <t>Single-component</t>
  </si>
  <si>
    <t>A2L</t>
  </si>
  <si>
    <t>EX5-U21</t>
  </si>
  <si>
    <t xml:space="preserve">800 618 </t>
  </si>
  <si>
    <t>HFC/HFO blend</t>
  </si>
  <si>
    <t>R-32 / R-1234yf</t>
  </si>
  <si>
    <t>EX5-U31</t>
  </si>
  <si>
    <t>800 619</t>
  </si>
  <si>
    <t>Cond18T 35T</t>
  </si>
  <si>
    <t>R515B</t>
  </si>
  <si>
    <t>HFO/HFC blend</t>
  </si>
  <si>
    <t>R-1234ze(E) / R-227ea</t>
  </si>
  <si>
    <t>EX6-I21</t>
  </si>
  <si>
    <t xml:space="preserve">800 620 </t>
  </si>
  <si>
    <t>R513A</t>
  </si>
  <si>
    <t>R-1234yf / R-134a</t>
  </si>
  <si>
    <t>EX6-I31</t>
  </si>
  <si>
    <t>800 622</t>
  </si>
  <si>
    <t>Cond 55T</t>
  </si>
  <si>
    <t>R32</t>
  </si>
  <si>
    <t>HFC</t>
  </si>
  <si>
    <t>EX7-I21</t>
  </si>
  <si>
    <t>800 624</t>
  </si>
  <si>
    <t>EX7-U31</t>
  </si>
  <si>
    <t>800 626</t>
  </si>
  <si>
    <t>Danfoss</t>
  </si>
  <si>
    <t>ETS-12C-12</t>
  </si>
  <si>
    <t>ETS-12C-16</t>
  </si>
  <si>
    <t>ETS-12C-22</t>
  </si>
  <si>
    <t>Cond 35T - 55T</t>
  </si>
  <si>
    <t>ETS-24C-12</t>
  </si>
  <si>
    <t>ARK100FAEMT</t>
  </si>
  <si>
    <t>ETS-24C-16</t>
  </si>
  <si>
    <t>ETS-24C-22</t>
  </si>
  <si>
    <t>Ball Valve</t>
  </si>
  <si>
    <t>125,60</t>
  </si>
  <si>
    <t>Size</t>
  </si>
  <si>
    <t>Name</t>
  </si>
  <si>
    <t>Danfos</t>
  </si>
  <si>
    <t>Sporlan</t>
  </si>
  <si>
    <t>CB Supplies</t>
  </si>
  <si>
    <t>description</t>
  </si>
  <si>
    <t>eer</t>
  </si>
  <si>
    <t>ere</t>
  </si>
  <si>
    <t>VFD</t>
  </si>
  <si>
    <t>Check Valve</t>
  </si>
  <si>
    <t>EEV</t>
  </si>
  <si>
    <t>Pressure releif valve</t>
  </si>
  <si>
    <t>Suction accumulator</t>
  </si>
  <si>
    <t>Receiver</t>
  </si>
  <si>
    <t>Application Type</t>
  </si>
  <si>
    <t>Configuration</t>
  </si>
  <si>
    <t>Evaporator Capacity</t>
  </si>
  <si>
    <t>Condenser Capacity</t>
  </si>
  <si>
    <t>Ent Liquid Temp</t>
  </si>
  <si>
    <t>SST</t>
  </si>
  <si>
    <t>SH</t>
  </si>
  <si>
    <t>Ent Gas Temp</t>
  </si>
  <si>
    <t>SDT</t>
  </si>
  <si>
    <t>SC</t>
  </si>
  <si>
    <t>Coolant</t>
  </si>
  <si>
    <t>EWT</t>
  </si>
  <si>
    <t>LWT</t>
  </si>
  <si>
    <t>Evap Capacity (TR)</t>
  </si>
  <si>
    <t>Cond  Capacity (kW)</t>
  </si>
  <si>
    <t>Evaporator</t>
  </si>
  <si>
    <t>Simple</t>
  </si>
  <si>
    <t>N/A</t>
  </si>
  <si>
    <t>Water</t>
  </si>
  <si>
    <t>Dual</t>
  </si>
  <si>
    <t xml:space="preserve">Condenser </t>
  </si>
  <si>
    <t>Heat Pump</t>
  </si>
  <si>
    <t>AWHP Capacity</t>
  </si>
  <si>
    <t># Circuit</t>
  </si>
  <si>
    <t># Compressor</t>
  </si>
  <si>
    <t>Mitsubishi Compressor model</t>
  </si>
  <si>
    <t>Copeland Compressor model</t>
  </si>
  <si>
    <t>Air Condenser Model</t>
  </si>
  <si>
    <t>Air Condenser Qty</t>
  </si>
  <si>
    <t>Swep Condenser Model #</t>
  </si>
  <si>
    <t>Swep Evaporator Model #</t>
  </si>
  <si>
    <t>SWEP HP Model #</t>
  </si>
  <si>
    <t>Alfa Laval Condenser Model #</t>
  </si>
  <si>
    <t>Alfa Laval Evaporator Model #</t>
  </si>
  <si>
    <t>Alfa Laval HP Model #</t>
  </si>
  <si>
    <t>Danfoss Condenser Model #</t>
  </si>
  <si>
    <t>Danfoss Evaporator Model #</t>
  </si>
  <si>
    <t>Danfoss HP Model #</t>
  </si>
  <si>
    <t>ARK87</t>
  </si>
  <si>
    <t>YAW0961E</t>
  </si>
  <si>
    <t>ARK66</t>
  </si>
  <si>
    <t>YAW0661E</t>
  </si>
  <si>
    <t>DB400x186</t>
  </si>
  <si>
    <t>DS500x270</t>
  </si>
  <si>
    <t>DFX650x166</t>
  </si>
  <si>
    <t>DB500x290</t>
  </si>
  <si>
    <t>DFX650x274</t>
  </si>
  <si>
    <t>Circuit Qty</t>
  </si>
  <si>
    <t>Compressors Qty</t>
  </si>
  <si>
    <t>Tur Down Ratio</t>
  </si>
  <si>
    <t>C1 Compressor Skid</t>
  </si>
  <si>
    <t>C2 Compressor Skid2</t>
  </si>
  <si>
    <t>C3 Compressor Skid</t>
  </si>
  <si>
    <t>C4 Compressor Skid</t>
  </si>
  <si>
    <t>C5 Compressor Skid</t>
  </si>
  <si>
    <t>C6 Compressor Skid</t>
  </si>
  <si>
    <t>CSV4M13</t>
  </si>
  <si>
    <t>CSV4M15</t>
  </si>
  <si>
    <t>CSV4M17</t>
  </si>
  <si>
    <t>CSV4M26</t>
  </si>
  <si>
    <t>CSV4M30</t>
  </si>
  <si>
    <t>CSV4M35</t>
  </si>
  <si>
    <t>CSV4M40</t>
  </si>
  <si>
    <t>CSV4M45</t>
  </si>
  <si>
    <t>CSV4M50</t>
  </si>
  <si>
    <t>CSV4C13</t>
  </si>
  <si>
    <t>CSV4C17</t>
  </si>
  <si>
    <t>CSV4C26</t>
  </si>
  <si>
    <t>CSV4C35</t>
  </si>
  <si>
    <t>CSV4C40</t>
  </si>
  <si>
    <t>CSV4C50</t>
  </si>
  <si>
    <t>VFD Copeland</t>
  </si>
  <si>
    <t>VFD Schneider</t>
  </si>
  <si>
    <t>VFD Mitsubishi</t>
  </si>
  <si>
    <t>ATV630D18M3</t>
  </si>
  <si>
    <t>ATV630D18S6</t>
  </si>
  <si>
    <t>ATV630D18N4</t>
  </si>
  <si>
    <t>ATV630D22M3</t>
  </si>
  <si>
    <t>ATV630D22S6</t>
  </si>
  <si>
    <t>ATV630D22N4</t>
  </si>
  <si>
    <t>FR-F860-00450</t>
  </si>
  <si>
    <t>ATV630D30S6</t>
  </si>
  <si>
    <t>ATV630D30N4</t>
  </si>
  <si>
    <t>EVM-322048</t>
  </si>
  <si>
    <t>EVM-344023</t>
  </si>
  <si>
    <t>EVM-355018</t>
  </si>
  <si>
    <t>EVM-344031</t>
  </si>
  <si>
    <t>EVM-355034</t>
  </si>
  <si>
    <t>ASHP-CU</t>
  </si>
  <si>
    <t>WSHP-CU</t>
  </si>
  <si>
    <t>AWHP-2P</t>
  </si>
  <si>
    <t>AWHP-4P</t>
  </si>
  <si>
    <t>CU base INPUT</t>
  </si>
  <si>
    <t>Description</t>
  </si>
  <si>
    <t>Label</t>
  </si>
  <si>
    <t xml:space="preserve">Signal </t>
  </si>
  <si>
    <t>IO # S-1000</t>
  </si>
  <si>
    <t>IO # C-600</t>
  </si>
  <si>
    <t>Comm type</t>
  </si>
  <si>
    <t>UNIT</t>
  </si>
  <si>
    <t>RANGE</t>
  </si>
  <si>
    <t>OPTION</t>
  </si>
  <si>
    <t>Cooling Enable</t>
  </si>
  <si>
    <t>Cool_En</t>
  </si>
  <si>
    <t>ON/OFF</t>
  </si>
  <si>
    <t>DI101</t>
  </si>
  <si>
    <t>Binary</t>
  </si>
  <si>
    <t>Direct</t>
  </si>
  <si>
    <t>Reserved</t>
  </si>
  <si>
    <t>DI102</t>
  </si>
  <si>
    <t>Condensing Unit Demand</t>
  </si>
  <si>
    <t>CU_Dem</t>
  </si>
  <si>
    <t>0-10V</t>
  </si>
  <si>
    <t>AI103</t>
  </si>
  <si>
    <t>Analog</t>
  </si>
  <si>
    <t>%</t>
  </si>
  <si>
    <t>0-100%</t>
  </si>
  <si>
    <t>Hot Gas Reheat Demand</t>
  </si>
  <si>
    <t>HGR_Dem</t>
  </si>
  <si>
    <t>AI104</t>
  </si>
  <si>
    <t>Hot gas reheat</t>
  </si>
  <si>
    <t>Outdoor Air Temperature</t>
  </si>
  <si>
    <t>OAT</t>
  </si>
  <si>
    <t>10K T2</t>
  </si>
  <si>
    <t>AI105</t>
  </si>
  <si>
    <t>°F</t>
  </si>
  <si>
    <t xml:space="preserve"> -40 - 158°F</t>
  </si>
  <si>
    <t xml:space="preserve">Gas sensor </t>
  </si>
  <si>
    <t>Gas_Sns</t>
  </si>
  <si>
    <t>DI106</t>
  </si>
  <si>
    <t>Supply Fan Pressure Switch</t>
  </si>
  <si>
    <t xml:space="preserve">SFan_PSw </t>
  </si>
  <si>
    <t>DI107</t>
  </si>
  <si>
    <t>DI108</t>
  </si>
  <si>
    <t>CU circuit input w/o modbus</t>
  </si>
  <si>
    <t>Compressor #-A status</t>
  </si>
  <si>
    <t>Cp_Sts#-A</t>
  </si>
  <si>
    <t>Compressor #-B status</t>
  </si>
  <si>
    <t>Cp_Sts#-B</t>
  </si>
  <si>
    <t>Compressor #-C status</t>
  </si>
  <si>
    <t>Cp_Sts#-C</t>
  </si>
  <si>
    <t>Condenser #-A status</t>
  </si>
  <si>
    <t>Cd_Sts#-A</t>
  </si>
  <si>
    <t>Condenser #-B status</t>
  </si>
  <si>
    <t>Cd_Sts#-B</t>
  </si>
  <si>
    <t>Condenser #-C status</t>
  </si>
  <si>
    <t>Cd_Sts#-C</t>
  </si>
  <si>
    <t>Circuit # Low Pressure Switch</t>
  </si>
  <si>
    <t>LP_Sw#</t>
  </si>
  <si>
    <t>Circuit # High Pressure Switch</t>
  </si>
  <si>
    <t>HP_Sw#</t>
  </si>
  <si>
    <t xml:space="preserve">Circuit # Suction pressure </t>
  </si>
  <si>
    <t>Suc_P#</t>
  </si>
  <si>
    <t>4-20mA</t>
  </si>
  <si>
    <t>PSIG</t>
  </si>
  <si>
    <t>0-200 PSIG</t>
  </si>
  <si>
    <t xml:space="preserve">Circuit # Discharge Pressure </t>
  </si>
  <si>
    <t>Dis_P#</t>
  </si>
  <si>
    <t>0-500 PSIG</t>
  </si>
  <si>
    <t>WSBoiler</t>
  </si>
  <si>
    <t>ASBoiler</t>
  </si>
  <si>
    <t xml:space="preserve">Circuit # Liquid Pressure </t>
  </si>
  <si>
    <t>Liq_P#</t>
  </si>
  <si>
    <t xml:space="preserve">Circuit # Suction Temperature </t>
  </si>
  <si>
    <t>Suc_T#</t>
  </si>
  <si>
    <t>PT1000</t>
  </si>
  <si>
    <t xml:space="preserve">Circuit # Discharge Temperature </t>
  </si>
  <si>
    <t>Dis_T#</t>
  </si>
  <si>
    <t xml:space="preserve">Circuit # Liquid Temperature </t>
  </si>
  <si>
    <t>Liq_T#</t>
  </si>
  <si>
    <t xml:space="preserve">Circuit # Low oil level </t>
  </si>
  <si>
    <t>LOL#</t>
  </si>
  <si>
    <t>CU base OUTPUT</t>
  </si>
  <si>
    <t>Gas Sensor Alarm</t>
  </si>
  <si>
    <t>Gas_Alm</t>
  </si>
  <si>
    <t>CU CIRCUIT OUTPUT w/o modbus</t>
  </si>
  <si>
    <t>Compressor #-A Enable</t>
  </si>
  <si>
    <t>Cp_En#-A</t>
  </si>
  <si>
    <t>DO101</t>
  </si>
  <si>
    <t>Compressor #-A Modulation</t>
  </si>
  <si>
    <t>Cp_Mod#-A</t>
  </si>
  <si>
    <t>AO102</t>
  </si>
  <si>
    <t>Compressor #-B Enable</t>
  </si>
  <si>
    <t>Cp_En#-B</t>
  </si>
  <si>
    <t>DO103</t>
  </si>
  <si>
    <t>Compressor #-B Modulation</t>
  </si>
  <si>
    <t>Cp_Mod#-B</t>
  </si>
  <si>
    <t>AO104</t>
  </si>
  <si>
    <t>Compressor #-C Enable</t>
  </si>
  <si>
    <t>Cp_En#-C</t>
  </si>
  <si>
    <t>DO105</t>
  </si>
  <si>
    <t>Compressor #-C Modulation</t>
  </si>
  <si>
    <t>Cp_Mod#-C</t>
  </si>
  <si>
    <t>AO106</t>
  </si>
  <si>
    <t>Condenser fan # Enable</t>
  </si>
  <si>
    <t>Cd-F_En#</t>
  </si>
  <si>
    <t>DO201</t>
  </si>
  <si>
    <t>Condenser fan # Modulation</t>
  </si>
  <si>
    <t>Cd-F_Mod#</t>
  </si>
  <si>
    <t>AO202</t>
  </si>
  <si>
    <t>Circuit # Cooling Electric Expansion Valve Enable</t>
  </si>
  <si>
    <t>EEV-C_En1</t>
  </si>
  <si>
    <t>DO203</t>
  </si>
  <si>
    <t>DO204</t>
  </si>
  <si>
    <t>Circuit # Electric Expansion Valve Enable Vapor Injection</t>
  </si>
  <si>
    <t>EEV-VI_En1</t>
  </si>
  <si>
    <t>DO205</t>
  </si>
  <si>
    <t>Vapor injection</t>
  </si>
  <si>
    <t>DO206</t>
  </si>
  <si>
    <t>Circuit # Reheat Valve</t>
  </si>
  <si>
    <t>Rht-Vlv_Mod1</t>
  </si>
  <si>
    <t>AO301</t>
  </si>
  <si>
    <t>Circuit # Oil Solenoide Valve</t>
  </si>
  <si>
    <t>Oil_Vlv_En1</t>
  </si>
  <si>
    <t>DO302</t>
  </si>
  <si>
    <t>Circuit # Crankcase Heater</t>
  </si>
  <si>
    <t>CCH_En1</t>
  </si>
  <si>
    <t>DO303</t>
  </si>
  <si>
    <t>Low Ambient Valve #-A</t>
  </si>
  <si>
    <t>LA_Mod#-A</t>
  </si>
  <si>
    <t>AO304</t>
  </si>
  <si>
    <t>Low-ambient valve</t>
  </si>
  <si>
    <t>Low Ambient Valve #-B</t>
  </si>
  <si>
    <t>LA_Mod#-B</t>
  </si>
  <si>
    <t>AO305</t>
  </si>
  <si>
    <t>1 EXD-SH2</t>
  </si>
  <si>
    <t>1 EXD-SH2-1-TRANS</t>
  </si>
  <si>
    <t>1_Condenser_Fan</t>
  </si>
  <si>
    <t>2_Condenser_Fan</t>
  </si>
  <si>
    <t>2_Supply_Fan</t>
  </si>
  <si>
    <t>3_Return_Fan</t>
  </si>
  <si>
    <t>3_Supply_Fan</t>
  </si>
  <si>
    <t>AHU_HEAT_COILee</t>
  </si>
  <si>
    <t>C063</t>
  </si>
  <si>
    <t>CD-FAN fans-tech</t>
  </si>
  <si>
    <t>CD-FAN1-C fans-tech</t>
  </si>
  <si>
    <t>ENTH-WHEEL</t>
  </si>
  <si>
    <t>GAS SENSOR</t>
  </si>
  <si>
    <t>Humidifier</t>
  </si>
  <si>
    <t>IB-G</t>
  </si>
  <si>
    <t>SUPPLY DAMPERS</t>
  </si>
  <si>
    <t>VFD-CD</t>
  </si>
  <si>
    <t>VFD-L</t>
  </si>
  <si>
    <t>VFD-l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</si>
</sst>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&quot; T&quot;"/>
    <numFmt numFmtId="165" formatCode="0.0&quot; TR&quot;"/>
    <numFmt numFmtId="166" formatCode="0&quot; W&quot;"/>
    <numFmt numFmtId="167" formatCode="0.0\ &quot;A&quot;"/>
    <numFmt numFmtId="168" formatCode="#\ ?/8"/>
    <numFmt numFmtId="169" formatCode="#\ ?/2"/>
    <numFmt numFmtId="170" formatCode="#\ ?/4"/>
    <numFmt numFmtId="171" formatCode="0&quot; TR&quot;"/>
    <numFmt numFmtId="172" formatCode="0.0&quot; MBH&quot;"/>
    <numFmt numFmtId="173" formatCode="0.0&quot;°F&quot;"/>
    <numFmt numFmtId="174" formatCode="0&quot; MBH&quot;"/>
    <numFmt numFmtId="175" formatCode="0.0&quot; T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  <xf numFmtId="12" fontId="0" fillId="0" borderId="0" xfId="0" applyNumberFormat="1"/>
    <xf numFmtId="0" fontId="4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1" applyNumberFormat="1" applyFont="1"/>
    <xf numFmtId="168" fontId="0" fillId="0" borderId="0" xfId="0" applyNumberFormat="1"/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169" fontId="0" fillId="0" borderId="0" xfId="0" applyNumberFormat="1"/>
    <xf numFmtId="0" fontId="2" fillId="0" borderId="0" xfId="0" applyFont="1" applyAlignment="1">
      <alignment vertical="center"/>
    </xf>
    <xf numFmtId="170" fontId="0" fillId="0" borderId="0" xfId="0" applyNumberFormat="1"/>
    <xf numFmtId="3" fontId="0" fillId="0" borderId="0" xfId="0" applyNumberFormat="1" applyAlignment="1">
      <alignment vertical="center"/>
    </xf>
    <xf numFmtId="171" fontId="0" fillId="0" borderId="0" xfId="0" applyNumberFormat="1"/>
    <xf numFmtId="172" fontId="0" fillId="0" borderId="0" xfId="0" applyNumberFormat="1"/>
    <xf numFmtId="17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175" fontId="0" fillId="0" borderId="0" xfId="0" applyNumberFormat="1"/>
    <xf numFmtId="0" fontId="3" fillId="0" borderId="2" xfId="0" applyFont="1" applyBorder="1"/>
    <xf numFmtId="0" fontId="6" fillId="0" borderId="3" xfId="0" applyFont="1" applyBorder="1" applyProtection="1">
      <protection locked="0"/>
    </xf>
    <xf numFmtId="0" fontId="0" fillId="3" borderId="0" xfId="0" applyFill="1"/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1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border diagonalUp="0" diagonalDown="0" outline="0">
        <left/>
        <right/>
        <top style="thin">
          <color rgb="FF8EA9DB"/>
        </top>
        <bottom style="thin">
          <color rgb="FF8EA9DB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8EA9DB"/>
        </top>
        <bottom style="thin">
          <color rgb="FF8EA9DB"/>
        </bottom>
      </border>
      <protection locked="0" hidden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\ &quot;A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&quot; W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&quot; TR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0&quot; TR&quot;"/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numFmt numFmtId="174" formatCode="0&quot; MBH&quot;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5" formatCode="0.0&quot; TR&quot;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72" formatCode="0.0&quot; MBH&quot;"/>
      <fill>
        <patternFill patternType="none">
          <fgColor indexed="64"/>
          <bgColor auto="1"/>
        </patternFill>
      </fill>
    </dxf>
    <dxf>
      <numFmt numFmtId="172" formatCode="0.0&quot; MBH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71" formatCode="0&quot; TR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168" formatCode="#\ ?/8"/>
    </dxf>
    <dxf>
      <numFmt numFmtId="168" formatCode="#\ ?/8"/>
    </dxf>
    <dxf>
      <numFmt numFmtId="0" formatCode="General"/>
    </dxf>
    <dxf>
      <numFmt numFmtId="168" formatCode="#\ ?/8"/>
    </dxf>
    <dxf>
      <numFmt numFmtId="168" formatCode="#\ ?/8"/>
    </dxf>
    <dxf>
      <numFmt numFmtId="165" formatCode="0.0&quot; TR&quot;"/>
    </dxf>
    <dxf>
      <numFmt numFmtId="165" formatCode="0.0&quot; TR&quot;"/>
    </dxf>
    <dxf>
      <numFmt numFmtId="168" formatCode="#\ ?/8"/>
    </dxf>
    <dxf>
      <numFmt numFmtId="168" formatCode="#\ ?/8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0" formatCode="General"/>
    </dxf>
    <dxf>
      <numFmt numFmtId="175" formatCode="0.0&quot; T&quot;"/>
    </dxf>
    <dxf>
      <numFmt numFmtId="0" formatCode="General"/>
    </dxf>
    <dxf>
      <numFmt numFmtId="164" formatCode="0&quot; T&quot;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7" formatCode="0.0\ &quot;A&quot;"/>
      <fill>
        <patternFill patternType="none">
          <fgColor indexed="64"/>
          <bgColor auto="1"/>
        </patternFill>
      </fill>
    </dxf>
    <dxf>
      <numFmt numFmtId="166" formatCode="0&quot; W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0.0&quot; TR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176" formatCode="#\ ?/?"/>
      <fill>
        <patternFill patternType="none">
          <fgColor indexed="64"/>
          <bgColor auto="1"/>
        </patternFill>
      </fill>
    </dxf>
    <dxf>
      <numFmt numFmtId="176" formatCode="#\ ?/?"/>
      <fill>
        <patternFill patternType="none">
          <fgColor indexed="64"/>
          <bgColor auto="1"/>
        </patternFill>
      </fill>
    </dxf>
    <dxf>
      <numFmt numFmtId="176" formatCode="#\ ?/?"/>
      <fill>
        <patternFill patternType="none">
          <fgColor indexed="64"/>
          <bgColor auto="1"/>
        </patternFill>
      </fill>
    </dxf>
    <dxf>
      <numFmt numFmtId="176" formatCode="#\ ?/?"/>
      <fill>
        <patternFill patternType="none">
          <fgColor indexed="64"/>
          <bgColor auto="1"/>
        </patternFill>
      </fill>
    </dxf>
    <dxf>
      <numFmt numFmtId="176" formatCode="#\ ?/?"/>
      <fill>
        <patternFill patternType="none">
          <fgColor indexed="64"/>
          <bgColor auto="1"/>
        </patternFill>
      </fill>
    </dxf>
    <dxf>
      <numFmt numFmtId="176" formatCode="#\ ?/?"/>
      <fill>
        <patternFill patternType="none">
          <fgColor indexed="64"/>
          <bgColor indexed="65"/>
        </patternFill>
      </fill>
    </dxf>
    <dxf>
      <numFmt numFmtId="176" formatCode="#\ ?/?"/>
      <fill>
        <patternFill patternType="none">
          <fgColor indexed="64"/>
          <bgColor auto="1"/>
        </patternFill>
      </fill>
    </dxf>
    <dxf>
      <numFmt numFmtId="176" formatCode="#\ ?/?"/>
      <fill>
        <patternFill patternType="none">
          <fgColor indexed="64"/>
          <bgColor auto="1"/>
        </patternFill>
      </fill>
    </dxf>
    <dxf>
      <numFmt numFmtId="176" formatCode="#\ ?/?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&quot; T&quot;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thomas_goulet_xnnov_com/Documents/Microsoft%20Teams%20Chat%20Files/XNNOV-RS-Database.xlsm" TargetMode="External"/><Relationship Id="rId2" Type="http://schemas.openxmlformats.org/officeDocument/2006/relationships/externalLinkPath" Target="https://netorgft12474759-my.sharepoint.com/personal/thomas_goulet_xnnov_com/Documents/Microsoft%20Teams%20Chat%20Files/XNNOV-RS-Database.xlsm" TargetMode="External"/><Relationship Id="rId1" Type="http://schemas.openxmlformats.org/officeDocument/2006/relationships/externalLinkPath" Target="/personal/thomas_goulet_xnnov_com/Documents/Microsoft%20Teams%20Chat%20Files/XNNOV-RS-Databa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lection"/>
      <sheetName val="Lists"/>
      <sheetName val="Tables"/>
      <sheetName val="Sheet1"/>
      <sheetName val="Sheet3"/>
      <sheetName val="Nomenclature"/>
      <sheetName val="Sheet4"/>
      <sheetName val="Sheet2"/>
    </sheetNames>
    <sheetDataSet>
      <sheetData sheetId="0"/>
      <sheetData sheetId="1">
        <row r="2">
          <cell r="K2" t="str">
            <v>R454B</v>
          </cell>
          <cell r="M2" t="str">
            <v>Water</v>
          </cell>
          <cell r="O2" t="str">
            <v>Evaporator</v>
          </cell>
          <cell r="P2" t="str">
            <v>Simple</v>
          </cell>
          <cell r="Q2" t="str">
            <v>ASHP18</v>
          </cell>
          <cell r="R2" t="str">
            <v>Hot gas reheat</v>
          </cell>
          <cell r="S2" t="str">
            <v>°F</v>
          </cell>
          <cell r="T2" t="str">
            <v>Direct</v>
          </cell>
          <cell r="U2" t="str">
            <v>0-100%</v>
          </cell>
          <cell r="V2" t="str">
            <v>0-10V</v>
          </cell>
        </row>
        <row r="3">
          <cell r="K3" t="str">
            <v>R513A</v>
          </cell>
          <cell r="M3" t="str">
            <v>PG</v>
          </cell>
          <cell r="O3" t="str">
            <v xml:space="preserve">Condenser </v>
          </cell>
          <cell r="P3" t="str">
            <v>Dual</v>
          </cell>
          <cell r="Q3" t="str">
            <v>ASHP26</v>
          </cell>
          <cell r="R3" t="str">
            <v>Low-ambient valve</v>
          </cell>
          <cell r="S3" t="str">
            <v>°C</v>
          </cell>
          <cell r="T3" t="str">
            <v>BACnet IP</v>
          </cell>
          <cell r="U3" t="str">
            <v>0-10V</v>
          </cell>
          <cell r="V3" t="str">
            <v>2-10V</v>
          </cell>
        </row>
        <row r="4">
          <cell r="K4" t="str">
            <v>R1234ze</v>
          </cell>
          <cell r="M4" t="str">
            <v>EG</v>
          </cell>
          <cell r="O4" t="str">
            <v>Heat Pump</v>
          </cell>
          <cell r="Q4" t="str">
            <v>ASHP35</v>
          </cell>
          <cell r="R4" t="str">
            <v>Energy recovery</v>
          </cell>
          <cell r="S4" t="str">
            <v>PSI</v>
          </cell>
          <cell r="T4" t="str">
            <v>BACnet MS/TP</v>
          </cell>
          <cell r="U4" t="str">
            <v>2-10V</v>
          </cell>
          <cell r="V4" t="str">
            <v>0-5V</v>
          </cell>
        </row>
        <row r="5">
          <cell r="K5" t="str">
            <v>R515B</v>
          </cell>
          <cell r="Q5" t="str">
            <v>ASHP55</v>
          </cell>
          <cell r="R5" t="str">
            <v xml:space="preserve">Cooling </v>
          </cell>
          <cell r="S5" t="str">
            <v>PSIG</v>
          </cell>
          <cell r="T5" t="str">
            <v>ModBus</v>
          </cell>
          <cell r="U5" t="str">
            <v xml:space="preserve"> -40 - 300°F</v>
          </cell>
          <cell r="V5" t="str">
            <v>4-20mA</v>
          </cell>
        </row>
        <row r="6">
          <cell r="K6" t="str">
            <v>R744</v>
          </cell>
          <cell r="R6" t="str">
            <v>Heating</v>
          </cell>
          <cell r="S6" t="str">
            <v>"W.G.</v>
          </cell>
          <cell r="U6" t="str">
            <v xml:space="preserve"> 0 - 100°F</v>
          </cell>
          <cell r="V6" t="str">
            <v>ON/OFF</v>
          </cell>
        </row>
        <row r="7">
          <cell r="K7" t="str">
            <v>R32</v>
          </cell>
          <cell r="R7" t="str">
            <v>Vapor injection</v>
          </cell>
          <cell r="S7" t="str">
            <v>kW</v>
          </cell>
          <cell r="U7" t="str">
            <v xml:space="preserve"> -40 - 300°F</v>
          </cell>
          <cell r="V7" t="str">
            <v>10K T1</v>
          </cell>
        </row>
        <row r="8">
          <cell r="K8" t="str">
            <v>R290</v>
          </cell>
          <cell r="S8" t="str">
            <v>Amps</v>
          </cell>
          <cell r="U8" t="str">
            <v xml:space="preserve"> -40 - 158°F</v>
          </cell>
          <cell r="V8" t="str">
            <v>10K T2</v>
          </cell>
        </row>
        <row r="9">
          <cell r="S9" t="str">
            <v>%</v>
          </cell>
          <cell r="U9" t="str">
            <v xml:space="preserve"> -40 - 185°C</v>
          </cell>
          <cell r="V9" t="str">
            <v>10K T3</v>
          </cell>
        </row>
        <row r="10">
          <cell r="S10" t="str">
            <v>CFM</v>
          </cell>
          <cell r="U10" t="str">
            <v xml:space="preserve"> -18 - 38°C</v>
          </cell>
          <cell r="V10" t="str">
            <v>PT100</v>
          </cell>
        </row>
        <row r="11">
          <cell r="S11" t="str">
            <v>BTU/hr</v>
          </cell>
          <cell r="U11" t="str">
            <v xml:space="preserve"> -40 - 149°C</v>
          </cell>
          <cell r="V11" t="str">
            <v>PT1000</v>
          </cell>
        </row>
        <row r="12">
          <cell r="S12" t="str">
            <v>%rh</v>
          </cell>
          <cell r="U12" t="str">
            <v xml:space="preserve"> -40 - 70°C</v>
          </cell>
        </row>
        <row r="13">
          <cell r="S13" t="str">
            <v>m/s</v>
          </cell>
          <cell r="U13" t="str">
            <v>0-700 PSIG</v>
          </cell>
        </row>
        <row r="14">
          <cell r="S14" t="str">
            <v>Pa</v>
          </cell>
          <cell r="U14" t="str">
            <v>0-300 PSIG</v>
          </cell>
        </row>
        <row r="15">
          <cell r="S15" t="str">
            <v>Hz</v>
          </cell>
          <cell r="U15" t="str">
            <v xml:space="preserve">0-5 "W.C. </v>
          </cell>
        </row>
        <row r="16">
          <cell r="S16" t="str">
            <v>Vdc</v>
          </cell>
          <cell r="U16" t="str">
            <v>0-2 "W.C.</v>
          </cell>
        </row>
        <row r="17">
          <cell r="S17" t="str">
            <v>ppm</v>
          </cell>
          <cell r="U17" t="str">
            <v>0-10 "W.C.</v>
          </cell>
        </row>
        <row r="18">
          <cell r="S18" t="str">
            <v>sec</v>
          </cell>
          <cell r="U18" t="str">
            <v>0-1 "W.C.</v>
          </cell>
        </row>
        <row r="19">
          <cell r="S19" t="str">
            <v>min</v>
          </cell>
          <cell r="U19" t="str">
            <v>20 - 120°F</v>
          </cell>
        </row>
        <row r="20">
          <cell r="S20" t="str">
            <v>Btu/lb</v>
          </cell>
          <cell r="U20" t="str">
            <v>0-15 m/s</v>
          </cell>
        </row>
        <row r="21">
          <cell r="S21" t="str">
            <v>ON/OFF</v>
          </cell>
          <cell r="U21" t="str">
            <v>0-500 Pa</v>
          </cell>
        </row>
        <row r="22">
          <cell r="S22" t="str">
            <v>Ena/Dis</v>
          </cell>
          <cell r="U22" t="str">
            <v>0-1250 Pa</v>
          </cell>
        </row>
        <row r="23">
          <cell r="S23" t="str">
            <v>OFF/ON</v>
          </cell>
          <cell r="U23" t="str">
            <v>0-2500 Pa</v>
          </cell>
        </row>
        <row r="24">
          <cell r="S24" t="str">
            <v>STOP/START</v>
          </cell>
          <cell r="U24" t="str">
            <v>0-5V</v>
          </cell>
        </row>
        <row r="25">
          <cell r="S25" t="str">
            <v>OK/FAULT</v>
          </cell>
          <cell r="U25" t="str">
            <v>4-20mA</v>
          </cell>
        </row>
        <row r="26">
          <cell r="S26" t="str">
            <v>UNOCC/OCC</v>
          </cell>
          <cell r="U26" t="str">
            <v>0-2000 ppm</v>
          </cell>
        </row>
        <row r="27">
          <cell r="S27" t="str">
            <v>LOCAL/REMOTE</v>
          </cell>
          <cell r="U27" t="str">
            <v>0-48 Bar</v>
          </cell>
        </row>
        <row r="28">
          <cell r="S28" t="str">
            <v>COOLING/HEATING</v>
          </cell>
          <cell r="U28" t="str">
            <v>0-20 Bar</v>
          </cell>
        </row>
        <row r="29">
          <cell r="S29" t="str">
            <v>CLOSE/OPEN</v>
          </cell>
          <cell r="U29" t="str">
            <v>0-500 PSIG</v>
          </cell>
        </row>
        <row r="30">
          <cell r="S30" t="str">
            <v>NOT RESET/RESET</v>
          </cell>
          <cell r="U30" t="str">
            <v>0-200 PSIG</v>
          </cell>
        </row>
        <row r="31">
          <cell r="S31" t="str">
            <v>FAULT/OK</v>
          </cell>
          <cell r="U31" t="str">
            <v>4830ppm</v>
          </cell>
        </row>
        <row r="32">
          <cell r="S32" t="str">
            <v>OK/FROST</v>
          </cell>
        </row>
        <row r="33">
          <cell r="S33" t="str">
            <v>Bar</v>
          </cell>
        </row>
        <row r="34">
          <cell r="S34" t="str">
            <v>PPM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4017E-3FE9-4422-896B-7A402CD16E26}" name="SkidDB" displayName="SkidDB" ref="A2:V17" totalsRowShown="0" headerRowDxfId="109" dataDxfId="108">
  <tableColumns count="22">
    <tableColumn id="1" xr3:uid="{4AAFF851-83D3-4460-84BB-89C6CC030F70}" name="Nominal Capacity" dataDxfId="107"/>
    <tableColumn id="2" xr3:uid="{11E03111-4940-48BE-89BE-1C2CB5ECED35}" name="Compressor Manufacturer" dataDxfId="106"/>
    <tableColumn id="3" xr3:uid="{FE49FE74-56B0-41DE-9A5B-BE5E46950390}" name="Control" dataDxfId="105"/>
    <tableColumn id="4" xr3:uid="{2231D146-F2E0-4403-A8A1-5AEBDDB6B31C}" name="Refrigerant" dataDxfId="104"/>
    <tableColumn id="5" xr3:uid="{BAA75473-0127-463D-9FDE-F49034CD444F}" name="Compressor Skid Model Number" dataDxfId="103">
      <calculatedColumnFormula>"CS"&amp;LEFT(C3,1)&amp;IF(D3="R454B",4,IF(D3="R515b",5,"ERRRR"))&amp;LEFT(B3,1)&amp;A3</calculatedColumnFormula>
    </tableColumn>
    <tableColumn id="6" xr3:uid="{8E930D4F-BCF6-44F6-8031-C859D4F736AC}" name="Compressor 1 Qty" dataDxfId="102"/>
    <tableColumn id="7" xr3:uid="{FC748FAC-A148-4BEC-B580-74F3345465F9}" name="Compressor 2 Qty" dataDxfId="101"/>
    <tableColumn id="20" xr3:uid="{9E0B83BE-EB3C-4C59-B1FC-7F75BD90BCC5}" name="Minimum Capacity" dataDxfId="100">
      <calculatedColumnFormula>SkidDB[[#This Row],[Nominal Capacity]]/4</calculatedColumnFormula>
    </tableColumn>
    <tableColumn id="8" xr3:uid="{095C8747-B3E1-4116-9865-802B4F0DA930}" name="Compressor Model 200V" dataDxfId="99"/>
    <tableColumn id="9" xr3:uid="{10AAD99A-4451-4219-936A-50B9179D22A9}" name="Compressor Model 400V" dataDxfId="98"/>
    <tableColumn id="10" xr3:uid="{17E52288-4DE5-4CA9-A5AD-6E5E53BDA8A3}" name="Compressor Model 600V" dataDxfId="97"/>
    <tableColumn id="11" xr3:uid="{1B729617-5A88-4F4E-B313-732F029EE8C5}" name="Compressor Qty" dataDxfId="96"/>
    <tableColumn id="25" xr3:uid="{B11A7752-AA9B-46CB-8201-9E0411F179EF}" name="Condenser Airflow"/>
    <tableColumn id="17" xr3:uid="{B23A3299-DE70-490A-AA99-3F26523AB153}" name="Suction Line Dia" dataDxfId="95"/>
    <tableColumn id="18" xr3:uid="{D4470DFF-EC41-4CCA-90F7-68D5B1AB43DD}" name="Discharge Line Dia" dataDxfId="94"/>
    <tableColumn id="19" xr3:uid="{E3FD4499-971D-446C-B504-D39138DE86A8}" name=" Liquide Line Dia" dataDxfId="93"/>
    <tableColumn id="21" xr3:uid="{94A5436C-1BC7-4AAE-B854-3E291F5BE695}" name="Cooling Air Condenser Model" dataDxfId="92"/>
    <tableColumn id="22" xr3:uid="{800B3DD0-05EE-4EEC-B570-9BC27EC859E2}" name="HP  Air Condenser Model" dataDxfId="91"/>
    <tableColumn id="23" xr3:uid="{32CC8F3A-142E-459A-9E36-CA7C616CCD0B}" name="Cooling Water Condenser Model" dataDxfId="90"/>
    <tableColumn id="24" xr3:uid="{764D4766-BC71-4724-AA62-1CCE3AF77944}" name="HP  Ater Condenser Model" dataDxfId="89"/>
    <tableColumn id="12" xr3:uid="{461D89CA-6972-430C-839C-19A3B6D78C38}" name="Water Evaporator" dataDxfId="88"/>
    <tableColumn id="13" xr3:uid="{CFF25F0D-4BD3-40D4-8867-43C3004C69D2}" name="Condenser Fan Qty" dataDxfId="87">
      <calculatedColumnFormula>SkidDB[[#This Row],[Compressor Qty]]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29F52E-257C-4BA9-BD9B-FE41A235386E}" name="Compressor_Power_Table" displayName="Compressor_Power_Table" ref="A20:F60" totalsRowShown="0" headerRowDxfId="86" dataDxfId="85">
  <autoFilter ref="A20:F60" xr:uid="{2229F52E-257C-4BA9-BD9B-FE41A235386E}"/>
  <sortState xmlns:xlrd2="http://schemas.microsoft.com/office/spreadsheetml/2017/richdata2" ref="A21:F60">
    <sortCondition descending="1" ref="F21:F60"/>
  </sortState>
  <tableColumns count="6">
    <tableColumn id="1" xr3:uid="{BEB40A5D-9669-471E-A64F-10A1F1709E3B}" name="Compressor" dataDxfId="84"/>
    <tableColumn id="2" xr3:uid="{C6437A2C-E418-4409-84FB-1643749A87A5}" name="Nominal Capacity" dataDxfId="83">
      <calculatedColumnFormula>191358/12000</calculatedColumnFormula>
    </tableColumn>
    <tableColumn id="3" xr3:uid="{661E6130-7638-4CF3-BBA8-55B4232B4EBB}" name="Power" dataDxfId="82"/>
    <tableColumn id="4" xr3:uid="{591E33CB-6B2D-48E0-9AF7-0D7C0D87F817}" name="Power Input" dataDxfId="81"/>
    <tableColumn id="5" xr3:uid="{1D8262A1-3EFF-40E4-9E5E-1054221E4818}" name="RLA" dataDxfId="80"/>
    <tableColumn id="6" xr3:uid="{CD400AD6-CA53-4702-927C-FE2308AF0BCF}" name="RLA Conditions" dataDxfId="7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323A7-EE88-40CD-9ED3-6745FCB8D2F4}" name="CondUnitDB" displayName="CondUnitDB" ref="A98:M150" totalsRowShown="0" headerRowDxfId="78">
  <autoFilter ref="A98:M150" xr:uid="{154323A7-EE88-40CD-9ED3-6745FCB8D2F4}"/>
  <tableColumns count="13">
    <tableColumn id="1" xr3:uid="{A9021981-40BC-44E3-9D0B-C42EBDB209B9}" name="Nominal Capacity" dataDxfId="77"/>
    <tableColumn id="2" xr3:uid="{DF38354E-1523-42A9-AC69-8F080CEA3D61}" name="Circuit Qty"/>
    <tableColumn id="12" xr3:uid="{6CC49F63-0130-40A6-8438-A8614A189305}" name="Compressors Qty" dataDxfId="76"/>
    <tableColumn id="3" xr3:uid="{A213E765-1F98-4771-86B1-9724638D3875}" name="Minimum Capacity" dataDxfId="75">
      <calculatedColumnFormula>IFERROR(INDEX(SkidDB[#All],MATCH(CondUnitDB[[#This Row],[C1 Compressor Skid]],SkidDB[[#All],[Compressor Skid Model Number]],0),8),"")</calculatedColumnFormula>
    </tableColumn>
    <tableColumn id="4" xr3:uid="{62AA9CCB-1467-43F6-AA30-649BF7D1C3A1}" name="Tur Down Ratio">
      <calculatedColumnFormula>IFERROR(ROUNDUP(A99/D99,0)&amp;":1","")</calculatedColumnFormula>
    </tableColumn>
    <tableColumn id="13" xr3:uid="{6C388BDE-C996-4ABC-9208-8A4600C63726}" name="Refrigerant" dataDxfId="74">
      <calculatedColumnFormula>IFERROR(INDEX(SkidDB[#All],MATCH(CondUnitDB[[#This Row],[C1 Compressor Skid]],SkidDB[[#All],[Compressor Skid Model Number]],0),4),"")</calculatedColumnFormula>
    </tableColumn>
    <tableColumn id="5" xr3:uid="{A64363DB-B788-43FB-A990-3EC6C738DDCE}" name="Compressor Manufacturer"/>
    <tableColumn id="6" xr3:uid="{97A883FE-C192-4E26-B35F-8C736E8A1285}" name="C1 Compressor Skid"/>
    <tableColumn id="7" xr3:uid="{CCF03416-0DB4-488E-8C58-2F51C7080B0B}" name="C2 Compressor Skid2"/>
    <tableColumn id="8" xr3:uid="{8D149DE0-7934-4B86-B0E7-9E2A248A8DE9}" name="C3 Compressor Skid"/>
    <tableColumn id="9" xr3:uid="{4B69B11E-2511-4A74-B5ED-0EE1D5F40D87}" name="C4 Compressor Skid"/>
    <tableColumn id="10" xr3:uid="{F5251D44-BC52-42DE-843A-65DDE5D481A2}" name="C5 Compressor Skid"/>
    <tableColumn id="11" xr3:uid="{65BEAB37-7B75-4A4D-8920-F69539D7D1FB}" name="C6 Compressor Ski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1AF111-C50D-4B04-82F8-4F6CDB13EF3F}" name="Refrigerant_Table" displayName="Refrigerant_Table" ref="H20:M27" totalsRowShown="0" headerRowDxfId="73">
  <tableColumns count="6">
    <tableColumn id="1" xr3:uid="{4C1BE6E0-0DFE-4F8F-AD3C-AB31635660A5}" name="Refrigerant"/>
    <tableColumn id="2" xr3:uid="{C19E816C-C17E-4F31-9E6B-36E5BCC98ED1}" name="Type"/>
    <tableColumn id="3" xr3:uid="{FD10136F-755C-4F13-BD2C-CABDC0642F98}" name="Composition"/>
    <tableColumn id="4" xr3:uid="{8B840F8F-4DB2-45F4-9488-73CC52FD60B3}" name="ASHRAE Safety Class"/>
    <tableColumn id="5" xr3:uid="{32CA483B-3C47-4092-BD72-1CC0F8E885D6}" name="GWP₁₀₀"/>
    <tableColumn id="6" xr3:uid="{1B3D51CD-92CD-4C62-A96F-EE938451404E}" name="vs. R-410A (GWP 2,088)" dataDxfId="72">
      <calculatedColumnFormula>-(1-(L21/2088))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BE4BA8-55D8-44EF-B1E7-D9F7691A2A67}" name="EEV_Selection" displayName="EEV_Selection" ref="O20:W34" totalsRowShown="0">
  <autoFilter ref="O20:W34" xr:uid="{15BE4BA8-55D8-44EF-B1E7-D9F7691A2A67}"/>
  <tableColumns count="9">
    <tableColumn id="1" xr3:uid="{28AB11B7-6739-4AF2-917C-C08ADE2AC303}" name="Manufacturer"/>
    <tableColumn id="2" xr3:uid="{2910FC3E-05A9-48C9-9811-46778F253792}" name="Model #"/>
    <tableColumn id="3" xr3:uid="{09512E04-977C-4789-8C6D-BFA39E32A7BE}" name="Part #"/>
    <tableColumn id="4" xr3:uid="{F80512E7-9E15-4CF7-AFC9-E7A979F7287B}" name="Flow"/>
    <tableColumn id="5" xr3:uid="{DB237463-81DF-49E4-8B22-CD83A8798E31}" name="Dia In" dataDxfId="71"/>
    <tableColumn id="6" xr3:uid="{EF3A823E-AEA7-4CD2-9FFE-F498A389625C}" name="Dia Out" dataDxfId="70"/>
    <tableColumn id="7" xr3:uid="{FFC47A1F-6D46-43F3-9A66-C107B2EBB623}" name="Max Cap" dataDxfId="69"/>
    <tableColumn id="8" xr3:uid="{AD5D4278-81F6-41E8-9AA1-BB5C1F014518}" name="Min Cap" dataDxfId="68">
      <calculatedColumnFormula>EEV_Selection[[#This Row],[Max Cap]]/10</calculatedColumnFormula>
    </tableColumn>
    <tableColumn id="9" xr3:uid="{BB68F63B-ECB6-4D46-A653-126A5BD6CAA6}" name="Not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BD93F2-AB99-4784-AADF-18539E5CF0E3}" name="Table2" displayName="Table2" ref="O41:U47" totalsRowShown="0">
  <autoFilter ref="O41:U47" xr:uid="{C7BD93F2-AB99-4784-AADF-18539E5CF0E3}"/>
  <tableColumns count="7">
    <tableColumn id="1" xr3:uid="{1B460377-F936-42A6-ACD4-DF441C5B4BDB}" name="Size" dataDxfId="67"/>
    <tableColumn id="6" xr3:uid="{90EFA8AC-EEF8-4EB6-886C-40E0E0FE8E05}" name="Name" dataDxfId="66">
      <calculatedColumnFormula>"Ball Valve "&amp;Table2[[#This Row],[Size]]</calculatedColumnFormula>
    </tableColumn>
    <tableColumn id="2" xr3:uid="{168028A8-CD4B-483D-8634-CF9DC78EF8F1}" name="Danfos"/>
    <tableColumn id="3" xr3:uid="{2BEC9B9A-E344-4A95-9AAA-5015BB8FC007}" name="Copeland"/>
    <tableColumn id="4" xr3:uid="{8D046710-FD17-41D0-9C5C-C29CF8E4E3B5}" name="Sporlan"/>
    <tableColumn id="5" xr3:uid="{7AD1B328-1121-430F-84EA-FF032E80F2EF}" name="CB Supplies"/>
    <tableColumn id="7" xr3:uid="{12809BC8-59FB-4D49-BECB-99E81C7CB759}" name="description" dataDxfId="65">
      <calculatedColumnFormula>Table2[[#This Row],[Name]]&amp;" "&amp;$U$39&amp;" "&amp;INDEX(Table2[[Danfos]:[CB Supplies]],MATCH(Table2[[#This Row],[Name]],Table2[Name],0),MATCH($U$39,Table2[[#Headers],[Danfos]:[CB Supplies]],0))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6F9DAF-7B95-46A3-BA92-03A807807B3A}" name="Table25" displayName="Table25" ref="O50:U56" totalsRowShown="0">
  <autoFilter ref="O50:U56" xr:uid="{A46F9DAF-7B95-46A3-BA92-03A807807B3A}"/>
  <tableColumns count="7">
    <tableColumn id="1" xr3:uid="{3E903364-E232-4079-9D96-0F48A26852D4}" name="Size" dataDxfId="64"/>
    <tableColumn id="6" xr3:uid="{0F6CA3CE-7B76-457A-9CF4-B8ED56D60D0F}" name="Name" dataDxfId="63">
      <calculatedColumnFormula>"Check Valve "&amp;Table25[[#This Row],[Size]]</calculatedColumnFormula>
    </tableColumn>
    <tableColumn id="2" xr3:uid="{B6205E06-830B-4F87-8175-7CB24D9DD9FA}" name="Danfos"/>
    <tableColumn id="3" xr3:uid="{B002555A-8763-4C8D-8B5C-322AE2B877A4}" name="Copeland"/>
    <tableColumn id="4" xr3:uid="{10700B0A-C6D6-4E5D-A84D-FC3511247D69}" name="Sporlan"/>
    <tableColumn id="5" xr3:uid="{D12F8AE5-EE8A-45AF-85F5-49F07A5180B7}" name="CB Supplies"/>
    <tableColumn id="7" xr3:uid="{20F0B458-2F08-4BB3-A83B-32278F7562BC}" name="description" dataDxfId="62">
      <calculatedColumnFormula>Table25[[#This Row],[Name]]&amp;" "&amp;$U$39&amp;" "&amp;INDEX(Table25[[Danfos]:[CB Supplies]],MATCH(Table25[[#This Row],[Name]],Table25[Name],0),MATCH($U$39,Table25[[#Headers],[Danfos]:[CB Supplies]],0))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CABA1F-91BC-4D14-85DB-7E8200A3741E}" name="Capacity_Selection" displayName="Capacity_Selection" ref="A64:Q85" totalsRowShown="0" headerRowDxfId="61" dataDxfId="60">
  <autoFilter ref="A64:Q85" xr:uid="{EFCABA1F-91BC-4D14-85DB-7E8200A3741E}"/>
  <tableColumns count="17">
    <tableColumn id="1" xr3:uid="{585169A7-7A0D-458B-93FB-B4146E2FAFF6}" name="Nominal Capacity" dataDxfId="59"/>
    <tableColumn id="2" xr3:uid="{5D9DFF66-38E5-4A66-A856-191255D8B89F}" name="Application Type" dataDxfId="58"/>
    <tableColumn id="3" xr3:uid="{433EF5FC-E236-4BB2-A82B-CD2DDD7F8832}" name="Configuration" dataDxfId="57"/>
    <tableColumn id="15" xr3:uid="{F7FAFC28-759E-44FD-81B5-935974C47688}" name="Evaporator Capacity" dataDxfId="56">
      <calculatedColumnFormula>219</calculatedColumnFormula>
    </tableColumn>
    <tableColumn id="4" xr3:uid="{3F2F0B73-C83B-4574-B91E-58A903536379}" name="Condenser Capacity" dataDxfId="55"/>
    <tableColumn id="14" xr3:uid="{A81FBECD-565E-4E59-879A-ADB75CBF25D4}" name="Refrigerant" dataDxfId="54"/>
    <tableColumn id="5" xr3:uid="{CE486CD4-5196-4ED0-BDDC-1C555CCC8258}" name="Ent Liquid Temp" dataDxfId="53"/>
    <tableColumn id="6" xr3:uid="{CC9B9A51-3C9D-4BD4-A374-80FABC61F3D3}" name="SST" dataDxfId="52"/>
    <tableColumn id="7" xr3:uid="{DD669B69-272A-43BB-A404-0BFDC66E7051}" name="SH" dataDxfId="51"/>
    <tableColumn id="8" xr3:uid="{AF8FC635-903B-4654-A27C-A1C67E3F3E90}" name="Ent Gas Temp" dataDxfId="50"/>
    <tableColumn id="9" xr3:uid="{A9FB6359-F555-41B4-9B2E-C6E4158B2D79}" name="SDT" dataDxfId="49"/>
    <tableColumn id="10" xr3:uid="{D8FF2433-7361-4E80-B24F-D63A1564F4A5}" name="SC" dataDxfId="48"/>
    <tableColumn id="11" xr3:uid="{1C8B5D81-ADB1-4DFE-B8B3-3765271890DF}" name="Coolant" dataDxfId="47"/>
    <tableColumn id="12" xr3:uid="{5831649C-1122-40ED-BA7B-2B15D25C3C2F}" name="EWT" dataDxfId="46"/>
    <tableColumn id="13" xr3:uid="{00093800-4531-49DD-8488-DCEFEEABE5D0}" name="LWT" dataDxfId="45"/>
    <tableColumn id="16" xr3:uid="{4B6CB1A9-1D8F-4917-B46F-748162FD3926}" name="Evap Capacity (TR)" dataDxfId="44">
      <calculatedColumnFormula>Capacity_Selection[[#This Row],[Evaporator Capacity]]/12</calculatedColumnFormula>
    </tableColumn>
    <tableColumn id="17" xr3:uid="{34189327-A939-455C-8525-AA08135684B5}" name="Cond  Capacity (kW)" dataDxfId="43">
      <calculatedColumnFormula>Capacity_Selection[[#This Row],[Condenser Capacity]]/3.413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CE44BD-94A4-459E-A60B-361843F838D7}" name="HX_Selection" displayName="HX_Selection" ref="A87:P94" totalsRowShown="0" headerRowDxfId="42">
  <tableColumns count="16">
    <tableColumn id="1" xr3:uid="{AE3BC51C-EA08-40BA-ACE9-DD57CA8F73B8}" name="AWHP Capacity" dataDxfId="41"/>
    <tableColumn id="2" xr3:uid="{85AA3E58-A489-46FD-81E1-A5BD27FFAD7B}" name="# Circuit" dataDxfId="40"/>
    <tableColumn id="3" xr3:uid="{B105D3BF-9DBE-4E61-8820-C090826B29D3}" name="# Compressor" dataDxfId="39"/>
    <tableColumn id="4" xr3:uid="{8468A6DB-62EC-4192-A55E-BF33349FDBF3}" name="Mitsubishi Compressor model" dataDxfId="38"/>
    <tableColumn id="5" xr3:uid="{F03FB3B7-73C4-4992-BE2F-2D10403C0EB6}" name="Copeland Compressor model" dataDxfId="37"/>
    <tableColumn id="15" xr3:uid="{001DEED6-30B3-4A99-84AE-4D32BC178811}" name="Air Condenser Model" dataDxfId="36"/>
    <tableColumn id="16" xr3:uid="{646B2CCC-6855-4743-B3C0-E1C7A5192FDA}" name="Air Condenser Qty" dataDxfId="35">
      <calculatedColumnFormula>HX_Selection[[#This Row],['# Circuit]]*2</calculatedColumnFormula>
    </tableColumn>
    <tableColumn id="6" xr3:uid="{1DC6854A-69A0-4BAB-AEA8-B4F75078DDF9}" name="Swep Condenser Model #"/>
    <tableColumn id="7" xr3:uid="{52A35203-139A-448A-B565-05215991DEF8}" name="Swep Evaporator Model #"/>
    <tableColumn id="8" xr3:uid="{A247AC80-72B1-4E13-99B9-FC4CE0474FD7}" name="SWEP HP Model #"/>
    <tableColumn id="9" xr3:uid="{05749902-5F93-497B-A3EE-FCCA7E21E192}" name="Alfa Laval Condenser Model #"/>
    <tableColumn id="10" xr3:uid="{C6CB7497-C083-48A1-90D8-8C843C581FA5}" name="Alfa Laval Evaporator Model #"/>
    <tableColumn id="11" xr3:uid="{1DA5E2F7-612C-48CC-A224-AD0136622CF1}" name="Alfa Laval HP Model #"/>
    <tableColumn id="12" xr3:uid="{7C8CF57C-6DD1-483D-BCF3-B8F2A312A5C3}" name="Danfoss Condenser Model #"/>
    <tableColumn id="13" xr3:uid="{C5CF5370-59F2-4EE4-B295-6FDC5292C97A}" name="Danfoss Evaporator Model #"/>
    <tableColumn id="14" xr3:uid="{881C155C-AD6B-4471-8D92-EB15F1741583}" name="Danfoss HP Model #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6F3589-DCD3-45E7-965E-7FE3588C5523}" name="VFD_Selection" displayName="VFD_Selection" ref="A156:J176" totalsRowShown="0" headerRowDxfId="34" dataDxfId="33">
  <autoFilter ref="A156:J176" xr:uid="{F26F3589-DCD3-45E7-965E-7FE3588C5523}"/>
  <tableColumns count="10">
    <tableColumn id="1" xr3:uid="{6837B9C5-4A61-4B2C-B89F-7B57F9CD88F3}" name="Compressor" dataDxfId="32"/>
    <tableColumn id="10" xr3:uid="{DF47C28D-E189-4ECE-9E52-0F31CE3BCE2B}" name="Manufacturer" dataDxfId="31"/>
    <tableColumn id="2" xr3:uid="{0698E896-6135-40BE-92BC-8BEB31A86503}" name="Nominal Capacity" dataDxfId="30"/>
    <tableColumn id="3" xr3:uid="{82E4F1E3-7293-4706-9CAA-C2FD74FCF1E2}" name="Power" dataDxfId="29"/>
    <tableColumn id="4" xr3:uid="{F6CD1BCC-A8B6-4806-9A40-8E882C161DD9}" name="Power Input" dataDxfId="28"/>
    <tableColumn id="5" xr3:uid="{5978ED98-DBE9-4AB6-BF8C-9254690B2773}" name="RLA" dataDxfId="27"/>
    <tableColumn id="6" xr3:uid="{6F4A84FC-CEF2-4699-87AE-3789C26A0E07}" name="RLA Conditions" dataDxfId="26"/>
    <tableColumn id="7" xr3:uid="{9EA1F471-0988-4F27-A1F5-F88966B5D4C7}" name="VFD Copeland" dataDxfId="25"/>
    <tableColumn id="8" xr3:uid="{B0A2B178-3196-4264-99AE-907D2CF998B7}" name="VFD Schneider" dataDxfId="24"/>
    <tableColumn id="9" xr3:uid="{4A4664F5-4107-474E-A360-F0C4989C5CF1}" name="VFD Mitsubishi" dataDxfId="23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6AB538-8B91-43D4-ABD4-12E6BB05CD5D}" name="CU_Base_Input" displayName="CU_Base_Input" ref="A181:J193" totalsRowShown="0">
  <autoFilter ref="A181:J193" xr:uid="{9A6AB538-8B91-43D4-ABD4-12E6BB05CD5D}"/>
  <tableColumns count="10">
    <tableColumn id="1" xr3:uid="{BD519AC4-1C48-4411-AC23-CFF938118D71}" name="Description"/>
    <tableColumn id="2" xr3:uid="{D17268E5-A480-41CC-972E-6F166D625C13}" name="Label"/>
    <tableColumn id="3" xr3:uid="{6D0AC325-3D90-49A2-8924-5E86B3B627CB}" name="Signal "/>
    <tableColumn id="4" xr3:uid="{040957DA-732D-4FAD-917E-6D2E21CC8F05}" name="IO # S-1000"/>
    <tableColumn id="10" xr3:uid="{57BA95B5-533F-4CE2-9F21-D0D974CD18D8}" name="IO # C-600"/>
    <tableColumn id="5" xr3:uid="{419D78A4-EEFD-4FF8-9F3E-8A86D801DDD9}" name="Type"/>
    <tableColumn id="6" xr3:uid="{BEBF19AD-DB61-41D8-A457-A85E89B55C80}" name="Comm type"/>
    <tableColumn id="7" xr3:uid="{F78E2C30-DB0A-4DC2-A0D8-01DF9DBACDBC}" name="UNIT"/>
    <tableColumn id="8" xr3:uid="{5F1E76DB-86FF-4A0D-9EF1-A6AA3EB240D7}" name="RANGE"/>
    <tableColumn id="9" xr3:uid="{E2E2177C-D67B-4604-9151-257020D13EDD}" name="OPTION" dataDxfId="2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306C7E-2DAF-4F21-B5D1-548AB106AF82}" name="CU_Base_Output" displayName="CU_Base_Output" ref="A217:J221" totalsRowShown="0" tableBorderDxfId="21">
  <autoFilter ref="A217:J221" xr:uid="{74306C7E-2DAF-4F21-B5D1-548AB106AF82}"/>
  <tableColumns count="10">
    <tableColumn id="1" xr3:uid="{FAF104E3-F5EA-45AA-AAC1-9F66D4C92359}" name="Description"/>
    <tableColumn id="2" xr3:uid="{5B66BF45-8828-4AD4-B21A-E1A25BAC3375}" name="Label"/>
    <tableColumn id="3" xr3:uid="{68756809-24F1-41A3-98D6-F7F9562ECAE9}" name="Signal "/>
    <tableColumn id="4" xr3:uid="{F8F751D1-429A-4F93-996E-EFAC8DC8C203}" name="IO # S-1000"/>
    <tableColumn id="10" xr3:uid="{DED8E2D0-9E11-44A4-97EB-3C4577C7A4AD}" name="IO # C-600"/>
    <tableColumn id="5" xr3:uid="{DD936E5F-6110-44B7-907E-F5C5C077F08C}" name="Type"/>
    <tableColumn id="6" xr3:uid="{F08EE87D-E9EC-4432-9D1D-E47DDA473140}" name="Comm type"/>
    <tableColumn id="7" xr3:uid="{D0A14F34-742B-4CE6-BD3F-932F2592C7F0}" name="UNIT"/>
    <tableColumn id="8" xr3:uid="{C1EE89BF-4B94-4A4C-BC2B-2FA8B45EAF9D}" name="RANGE"/>
    <tableColumn id="9" xr3:uid="{1B8487F8-4DB1-46FE-864A-C349C3AD2C5C}" name="OPTION" dataDxfId="20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E267805-D30F-42A3-AF0F-041CAAF72B14}" name="CU_Circuit_Output" displayName="CU_Circuit_Output" ref="A225:J242" totalsRowShown="0" headerRowDxfId="19" dataDxfId="17" headerRowBorderDxfId="18" tableBorderDxfId="16">
  <autoFilter ref="A225:J242" xr:uid="{6E267805-D30F-42A3-AF0F-041CAAF72B14}"/>
  <tableColumns count="10">
    <tableColumn id="1" xr3:uid="{2962E5B6-B008-419A-BBFD-ED10914813D8}" name="Description" dataDxfId="15"/>
    <tableColumn id="2" xr3:uid="{88CA482A-5F6E-483D-ADED-B3516E881D48}" name="Label" dataDxfId="14"/>
    <tableColumn id="3" xr3:uid="{3CF791E7-BC91-4F05-BB6F-8F7C7E6F8DD3}" name="Signal " dataDxfId="13"/>
    <tableColumn id="4" xr3:uid="{D4D7F732-0BD9-4DE4-AFC6-3CBB81F3D545}" name="IO # S-1000" dataDxfId="12"/>
    <tableColumn id="10" xr3:uid="{D5784BEE-73C3-43D6-961E-9DA0598C0A58}" name="IO # C-600" dataDxfId="11"/>
    <tableColumn id="5" xr3:uid="{C728A5A8-7E29-4D1B-9EFD-CD91F5188B5F}" name="Type" dataDxfId="10"/>
    <tableColumn id="6" xr3:uid="{16ACFD22-3E40-4E25-A6E7-BF8AAFC75063}" name="Comm type" dataDxfId="9"/>
    <tableColumn id="7" xr3:uid="{651CF5F9-ED04-4C61-938F-9FD202F6446E}" name="UNIT" dataDxfId="8"/>
    <tableColumn id="8" xr3:uid="{D4DBB103-56C9-4F03-AFE6-E0D988313CDC}" name="RANGE" dataDxfId="7"/>
    <tableColumn id="9" xr3:uid="{2805FA41-189C-4502-8030-2112EC91227A}" name="OPTION" dataDxfId="6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AB6D04B-B232-41D1-9441-2E007398895D}" name="CU_Circuit_Input" displayName="CU_Circuit_Input" ref="A196:J211" totalsRowShown="0" headerRowDxfId="5" headerRowBorderDxfId="4" tableBorderDxfId="3">
  <autoFilter ref="A196:J211" xr:uid="{4AB6D04B-B232-41D1-9441-2E007398895D}"/>
  <tableColumns count="10">
    <tableColumn id="1" xr3:uid="{36E9A426-1459-4FB7-A7F3-8DB4D517D976}" name="Description" dataDxfId="2"/>
    <tableColumn id="2" xr3:uid="{5942A50A-E337-4AEB-A5CC-FA22B228D960}" name="Label" dataDxfId="1"/>
    <tableColumn id="3" xr3:uid="{0FD17380-878F-4B12-AD8F-11CDD8858B5A}" name="Signal "/>
    <tableColumn id="4" xr3:uid="{4DBF9F04-4671-4FE0-A114-1581972D32D4}" name="IO # S-1000"/>
    <tableColumn id="5" xr3:uid="{E3234125-307E-406C-B823-6AECD7933FB9}" name="IO # C-600"/>
    <tableColumn id="6" xr3:uid="{0FD245FD-2B58-43E2-BE38-4AB8E42F002F}" name="Type"/>
    <tableColumn id="7" xr3:uid="{90D4A6C5-14FD-40FE-ADCB-FC38AB888BCA}" name="Comm type"/>
    <tableColumn id="8" xr3:uid="{C405687D-A351-417A-A636-053FCD3B0EBE}" name="UNIT"/>
    <tableColumn id="9" xr3:uid="{073EAC6A-844F-46AD-93EE-0D97E2C40CE3}" name="RANGE"/>
    <tableColumn id="10" xr3:uid="{F4667CBE-F42C-486D-9CF2-45E0124D320F}" name="O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85" zoomScaleNormal="85" workbookViewId="0">
      <selection activeCell="B3" sqref="B3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12" customWidth="1"/>
  </cols>
  <sheetData>
    <row r="1" spans="1:3" ht="24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28</v>
      </c>
      <c r="B2" s="2" t="s">
        <v>361</v>
      </c>
      <c r="C2" s="3">
        <v>2</v>
      </c>
    </row>
    <row r="3" spans="1:3" x14ac:dyDescent="0.25">
      <c r="A3" s="2" t="s">
        <v>28</v>
      </c>
      <c r="B3" s="2" t="s">
        <v>370</v>
      </c>
      <c r="C3" s="3">
        <v>1</v>
      </c>
    </row>
    <row r="4" spans="1:3" x14ac:dyDescent="0.25">
      <c r="A4" s="2" t="s">
        <v>28</v>
      </c>
      <c r="B4" s="2" t="s">
        <v>372</v>
      </c>
      <c r="C4" s="3">
        <v>1</v>
      </c>
    </row>
    <row r="5" spans="1:3" x14ac:dyDescent="0.25">
      <c r="A5" s="2" t="s">
        <v>28</v>
      </c>
      <c r="B5" s="2" t="s">
        <v>365</v>
      </c>
      <c r="C5" s="3">
        <v>1</v>
      </c>
    </row>
  </sheetData>
  <phoneticPr fontId="7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5B0169-B6E3-48A4-8920-F9FDF819426A}">
          <x14:formula1>
            <xm:f>Feuil2!$A:$A</xm:f>
          </x14:formula1>
          <xm:sqref>B2:B86</xm:sqref>
        </x14:dataValidation>
        <x14:dataValidation type="list" allowBlank="1" showInputMessage="1" showErrorMessage="1" xr:uid="{E4D94EC8-1812-4D26-B4E3-0A5AF47946D9}">
          <x14:formula1>
            <xm:f>Feuil1!$A$157:$A$176</xm:f>
          </x14:formula1>
          <xm:sqref>A2:A5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57BF-4B07-41A8-9196-7607957D0FE6}">
  <dimension ref="A1:AB242"/>
  <sheetViews>
    <sheetView topLeftCell="A139" workbookViewId="0">
      <selection activeCell="A160" sqref="A160"/>
    </sheetView>
  </sheetViews>
  <sheetFormatPr baseColWidth="10" defaultColWidth="9.140625" defaultRowHeight="15" x14ac:dyDescent="0.25"/>
  <cols>
    <col min="1" max="1" width="51.42578125" bestFit="1" customWidth="1"/>
    <col min="2" max="2" width="17.7109375" customWidth="1"/>
    <col min="3" max="3" width="14.7109375" customWidth="1"/>
    <col min="4" max="4" width="28.5703125" customWidth="1"/>
    <col min="5" max="5" width="28.140625" customWidth="1"/>
    <col min="6" max="6" width="24.7109375" customWidth="1"/>
    <col min="7" max="7" width="24.42578125" customWidth="1"/>
    <col min="8" max="8" width="17.85546875" customWidth="1"/>
    <col min="9" max="9" width="28.140625" customWidth="1"/>
    <col min="10" max="10" width="27.7109375" customWidth="1"/>
    <col min="11" max="11" width="21" customWidth="1"/>
    <col min="12" max="12" width="27" customWidth="1"/>
    <col min="13" max="13" width="55.28515625" bestFit="1" customWidth="1"/>
    <col min="14" max="14" width="19.85546875" customWidth="1"/>
    <col min="15" max="15" width="17.7109375" customWidth="1"/>
    <col min="16" max="16" width="19.42578125" customWidth="1"/>
    <col min="17" max="17" width="14.5703125" customWidth="1"/>
    <col min="18" max="18" width="10.28515625" customWidth="1"/>
    <col min="19" max="19" width="16.5703125" customWidth="1"/>
    <col min="21" max="21" width="29.28515625" customWidth="1"/>
    <col min="22" max="22" width="14.42578125" customWidth="1"/>
    <col min="23" max="23" width="12.85546875" customWidth="1"/>
    <col min="24" max="24" width="14.7109375" customWidth="1"/>
    <col min="25" max="25" width="9.85546875" customWidth="1"/>
  </cols>
  <sheetData>
    <row r="1" spans="1:24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ht="45" x14ac:dyDescent="0.25">
      <c r="A2" s="4" t="s">
        <v>3</v>
      </c>
      <c r="B2" s="4" t="s">
        <v>4</v>
      </c>
      <c r="C2" t="s">
        <v>5</v>
      </c>
      <c r="D2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</row>
    <row r="3" spans="1:24" x14ac:dyDescent="0.25">
      <c r="A3" s="5">
        <v>13</v>
      </c>
      <c r="B3" t="s">
        <v>25</v>
      </c>
      <c r="C3" t="s">
        <v>26</v>
      </c>
      <c r="D3" t="s">
        <v>27</v>
      </c>
      <c r="E3" t="str">
        <f>"CS"&amp;LEFT(C3,1)&amp;IF(D3="R454B",4,IF(D3="R515b",5,"ERRRR"))&amp;LEFT(B3,1)&amp;A3</f>
        <v>CSV4M13</v>
      </c>
      <c r="F3">
        <v>1</v>
      </c>
      <c r="G3">
        <v>0</v>
      </c>
      <c r="H3">
        <f>SkidDB[[#This Row],[Nominal Capacity]]/4</f>
        <v>3.25</v>
      </c>
      <c r="I3" t="s">
        <v>28</v>
      </c>
      <c r="J3" t="s">
        <v>29</v>
      </c>
      <c r="K3" t="s">
        <v>29</v>
      </c>
      <c r="L3">
        <v>1</v>
      </c>
      <c r="M3">
        <v>9000</v>
      </c>
      <c r="N3" s="6">
        <v>1.375</v>
      </c>
      <c r="O3" s="6">
        <v>1.125</v>
      </c>
      <c r="P3" s="6">
        <v>0.875</v>
      </c>
      <c r="Q3" s="6" t="s">
        <v>30</v>
      </c>
      <c r="R3" s="6" t="s">
        <v>30</v>
      </c>
      <c r="S3" s="6"/>
      <c r="T3" s="6"/>
      <c r="U3" s="6"/>
      <c r="V3" s="6">
        <f>SkidDB[[#This Row],[Compressor Qty]]</f>
        <v>1</v>
      </c>
    </row>
    <row r="4" spans="1:24" x14ac:dyDescent="0.25">
      <c r="A4" s="5">
        <v>15</v>
      </c>
      <c r="B4" t="s">
        <v>25</v>
      </c>
      <c r="C4" t="s">
        <v>26</v>
      </c>
      <c r="D4" t="s">
        <v>27</v>
      </c>
      <c r="E4" t="str">
        <f t="shared" ref="E4:E17" si="0">"CS"&amp;LEFT(C4,1)&amp;IF(D4="R454B",4,IF(D4="R515b",5,"ERRRR"))&amp;LEFT(B4,1)&amp;A4</f>
        <v>CSV4M15</v>
      </c>
      <c r="F4">
        <v>1</v>
      </c>
      <c r="G4">
        <v>0</v>
      </c>
      <c r="H4">
        <f>SkidDB[[#This Row],[Nominal Capacity]]/4</f>
        <v>3.75</v>
      </c>
      <c r="I4" t="s">
        <v>31</v>
      </c>
      <c r="J4" t="s">
        <v>32</v>
      </c>
      <c r="K4" t="s">
        <v>32</v>
      </c>
      <c r="L4">
        <v>1</v>
      </c>
      <c r="M4">
        <v>11000</v>
      </c>
      <c r="N4" s="6">
        <v>1.375</v>
      </c>
      <c r="O4" s="6">
        <v>1.125</v>
      </c>
      <c r="P4" s="6">
        <v>0.875</v>
      </c>
      <c r="Q4" s="6" t="s">
        <v>30</v>
      </c>
      <c r="R4" s="6" t="s">
        <v>30</v>
      </c>
      <c r="S4" s="6"/>
      <c r="T4" s="6"/>
      <c r="U4" s="6"/>
      <c r="V4" s="6">
        <f>SkidDB[[#This Row],[Compressor Qty]]</f>
        <v>1</v>
      </c>
    </row>
    <row r="5" spans="1:24" x14ac:dyDescent="0.25">
      <c r="A5" s="5">
        <v>17</v>
      </c>
      <c r="B5" t="s">
        <v>25</v>
      </c>
      <c r="C5" t="s">
        <v>26</v>
      </c>
      <c r="D5" t="s">
        <v>27</v>
      </c>
      <c r="E5" t="str">
        <f t="shared" si="0"/>
        <v>CSV4M17</v>
      </c>
      <c r="F5">
        <v>1</v>
      </c>
      <c r="G5">
        <v>0</v>
      </c>
      <c r="H5">
        <f>SkidDB[[#This Row],[Nominal Capacity]]/4</f>
        <v>4.25</v>
      </c>
      <c r="I5" t="s">
        <v>33</v>
      </c>
      <c r="J5" t="s">
        <v>34</v>
      </c>
      <c r="K5" t="s">
        <v>34</v>
      </c>
      <c r="L5">
        <v>1</v>
      </c>
      <c r="M5">
        <v>13000</v>
      </c>
      <c r="N5" s="6">
        <v>1.375</v>
      </c>
      <c r="O5" s="6">
        <v>1.125</v>
      </c>
      <c r="P5" s="6">
        <v>0.875</v>
      </c>
      <c r="Q5" s="6" t="s">
        <v>30</v>
      </c>
      <c r="R5" s="6" t="s">
        <v>30</v>
      </c>
      <c r="S5" s="6"/>
      <c r="T5" s="6"/>
      <c r="U5" s="6"/>
      <c r="V5" s="6">
        <f>SkidDB[[#This Row],[Compressor Qty]]</f>
        <v>1</v>
      </c>
    </row>
    <row r="6" spans="1:24" x14ac:dyDescent="0.25">
      <c r="A6" s="5">
        <v>26</v>
      </c>
      <c r="B6" t="s">
        <v>25</v>
      </c>
      <c r="C6" t="s">
        <v>26</v>
      </c>
      <c r="D6" t="s">
        <v>27</v>
      </c>
      <c r="E6" t="str">
        <f t="shared" si="0"/>
        <v>CSV4M26</v>
      </c>
      <c r="F6">
        <v>2</v>
      </c>
      <c r="G6">
        <v>0</v>
      </c>
      <c r="H6">
        <f>SkidDB[[#This Row],[Nominal Capacity]]/4</f>
        <v>6.5</v>
      </c>
      <c r="I6" t="s">
        <v>28</v>
      </c>
      <c r="J6" t="s">
        <v>29</v>
      </c>
      <c r="K6" t="s">
        <v>29</v>
      </c>
      <c r="L6">
        <v>2</v>
      </c>
      <c r="M6">
        <v>18000</v>
      </c>
      <c r="N6" s="6">
        <v>1.625</v>
      </c>
      <c r="O6" s="6">
        <v>1.375</v>
      </c>
      <c r="P6" s="6">
        <v>1.125</v>
      </c>
      <c r="Q6" s="6" t="s">
        <v>35</v>
      </c>
      <c r="R6" s="6" t="s">
        <v>35</v>
      </c>
      <c r="S6" s="6" t="s">
        <v>36</v>
      </c>
      <c r="T6" s="6"/>
      <c r="U6" s="6"/>
      <c r="V6" s="6">
        <f>SkidDB[[#This Row],[Compressor Qty]]</f>
        <v>2</v>
      </c>
    </row>
    <row r="7" spans="1:24" x14ac:dyDescent="0.25">
      <c r="A7" s="5">
        <v>30</v>
      </c>
      <c r="B7" t="s">
        <v>25</v>
      </c>
      <c r="C7" t="s">
        <v>26</v>
      </c>
      <c r="D7" t="s">
        <v>27</v>
      </c>
      <c r="E7" t="str">
        <f t="shared" si="0"/>
        <v>CSV4M30</v>
      </c>
      <c r="F7">
        <v>2</v>
      </c>
      <c r="G7">
        <v>0</v>
      </c>
      <c r="H7">
        <f>SkidDB[[#This Row],[Nominal Capacity]]/4</f>
        <v>7.5</v>
      </c>
      <c r="I7" t="s">
        <v>31</v>
      </c>
      <c r="J7" t="s">
        <v>32</v>
      </c>
      <c r="K7" t="s">
        <v>32</v>
      </c>
      <c r="L7">
        <v>2</v>
      </c>
      <c r="M7">
        <v>22000</v>
      </c>
      <c r="N7" s="6">
        <v>1.625</v>
      </c>
      <c r="O7" s="6">
        <v>1.375</v>
      </c>
      <c r="P7" s="6">
        <v>1.125</v>
      </c>
      <c r="Q7" s="6" t="s">
        <v>35</v>
      </c>
      <c r="R7" s="6" t="s">
        <v>35</v>
      </c>
      <c r="S7" s="7" t="s">
        <v>36</v>
      </c>
      <c r="T7" s="6"/>
      <c r="U7" s="6"/>
      <c r="V7" s="6">
        <f>SkidDB[[#This Row],[Compressor Qty]]</f>
        <v>2</v>
      </c>
    </row>
    <row r="8" spans="1:24" x14ac:dyDescent="0.25">
      <c r="A8" s="5">
        <v>35</v>
      </c>
      <c r="B8" t="s">
        <v>25</v>
      </c>
      <c r="C8" t="s">
        <v>26</v>
      </c>
      <c r="D8" t="s">
        <v>27</v>
      </c>
      <c r="E8" t="str">
        <f t="shared" si="0"/>
        <v>CSV4M35</v>
      </c>
      <c r="F8">
        <v>2</v>
      </c>
      <c r="G8">
        <v>0</v>
      </c>
      <c r="H8">
        <f>SkidDB[[#This Row],[Nominal Capacity]]/4</f>
        <v>8.75</v>
      </c>
      <c r="I8" t="s">
        <v>33</v>
      </c>
      <c r="J8" t="s">
        <v>34</v>
      </c>
      <c r="K8" t="s">
        <v>34</v>
      </c>
      <c r="L8">
        <v>2</v>
      </c>
      <c r="M8">
        <v>26000</v>
      </c>
      <c r="N8" s="6">
        <v>1.625</v>
      </c>
      <c r="O8" s="6">
        <v>1.375</v>
      </c>
      <c r="P8" s="6">
        <v>1.125</v>
      </c>
      <c r="Q8" s="6" t="s">
        <v>37</v>
      </c>
      <c r="R8" s="6" t="s">
        <v>37</v>
      </c>
      <c r="S8" s="6" t="s">
        <v>36</v>
      </c>
      <c r="T8" s="6"/>
      <c r="U8" s="6"/>
      <c r="V8" s="6">
        <f>SkidDB[[#This Row],[Compressor Qty]]</f>
        <v>2</v>
      </c>
    </row>
    <row r="9" spans="1:24" x14ac:dyDescent="0.25">
      <c r="A9" s="5">
        <v>40</v>
      </c>
      <c r="B9" t="s">
        <v>25</v>
      </c>
      <c r="C9" t="s">
        <v>26</v>
      </c>
      <c r="D9" t="s">
        <v>27</v>
      </c>
      <c r="E9" t="str">
        <f t="shared" si="0"/>
        <v>CSV4M40</v>
      </c>
      <c r="F9">
        <v>3</v>
      </c>
      <c r="G9">
        <v>0</v>
      </c>
      <c r="H9">
        <f>SkidDB[[#This Row],[Nominal Capacity]]/4</f>
        <v>10</v>
      </c>
      <c r="I9" t="s">
        <v>28</v>
      </c>
      <c r="J9" t="s">
        <v>29</v>
      </c>
      <c r="K9" t="s">
        <v>29</v>
      </c>
      <c r="L9">
        <v>3</v>
      </c>
      <c r="M9">
        <v>33000</v>
      </c>
      <c r="N9" s="6">
        <v>2.125</v>
      </c>
      <c r="O9" s="6">
        <v>1.625</v>
      </c>
      <c r="P9" s="6">
        <v>1.375</v>
      </c>
      <c r="Q9" s="6" t="s">
        <v>37</v>
      </c>
      <c r="R9" s="6" t="s">
        <v>37</v>
      </c>
      <c r="S9" s="6"/>
      <c r="T9" s="6"/>
      <c r="U9" s="6"/>
      <c r="V9" s="6">
        <f>SkidDB[[#This Row],[Compressor Qty]]</f>
        <v>3</v>
      </c>
    </row>
    <row r="10" spans="1:24" x14ac:dyDescent="0.25">
      <c r="A10" s="5">
        <v>45</v>
      </c>
      <c r="B10" t="s">
        <v>25</v>
      </c>
      <c r="C10" t="s">
        <v>26</v>
      </c>
      <c r="D10" t="s">
        <v>27</v>
      </c>
      <c r="E10" t="str">
        <f t="shared" si="0"/>
        <v>CSV4M45</v>
      </c>
      <c r="F10">
        <v>3</v>
      </c>
      <c r="G10">
        <v>0</v>
      </c>
      <c r="H10">
        <f>SkidDB[[#This Row],[Nominal Capacity]]/4</f>
        <v>11.25</v>
      </c>
      <c r="I10" t="s">
        <v>31</v>
      </c>
      <c r="J10" t="s">
        <v>32</v>
      </c>
      <c r="K10" t="s">
        <v>32</v>
      </c>
      <c r="L10">
        <v>3</v>
      </c>
      <c r="M10">
        <v>36000</v>
      </c>
      <c r="N10" s="6">
        <v>2.125</v>
      </c>
      <c r="O10" s="6">
        <v>1.625</v>
      </c>
      <c r="P10" s="6">
        <v>1.375</v>
      </c>
      <c r="Q10" s="6" t="s">
        <v>38</v>
      </c>
      <c r="R10" s="6" t="s">
        <v>38</v>
      </c>
      <c r="S10" s="6"/>
      <c r="T10" s="6"/>
      <c r="U10" s="6"/>
      <c r="V10" s="6">
        <f>SkidDB[[#This Row],[Compressor Qty]]</f>
        <v>3</v>
      </c>
    </row>
    <row r="11" spans="1:24" x14ac:dyDescent="0.25">
      <c r="A11" s="5">
        <v>50</v>
      </c>
      <c r="B11" t="s">
        <v>25</v>
      </c>
      <c r="C11" t="s">
        <v>26</v>
      </c>
      <c r="D11" t="s">
        <v>27</v>
      </c>
      <c r="E11" t="str">
        <f t="shared" si="0"/>
        <v>CSV4M50</v>
      </c>
      <c r="F11">
        <v>3</v>
      </c>
      <c r="G11">
        <v>0</v>
      </c>
      <c r="H11">
        <f>SkidDB[[#This Row],[Nominal Capacity]]/4</f>
        <v>12.5</v>
      </c>
      <c r="I11" t="s">
        <v>33</v>
      </c>
      <c r="J11" t="s">
        <v>34</v>
      </c>
      <c r="K11" t="s">
        <v>34</v>
      </c>
      <c r="L11">
        <v>3</v>
      </c>
      <c r="M11">
        <v>39000</v>
      </c>
      <c r="N11" s="6">
        <v>2.125</v>
      </c>
      <c r="O11" s="6">
        <v>1.625</v>
      </c>
      <c r="P11" s="6">
        <v>1.375</v>
      </c>
      <c r="Q11" s="6" t="s">
        <v>38</v>
      </c>
      <c r="R11" s="6" t="s">
        <v>38</v>
      </c>
      <c r="S11" s="6"/>
      <c r="T11" s="6"/>
      <c r="U11" s="6"/>
      <c r="V11" s="6">
        <f>SkidDB[[#This Row],[Compressor Qty]]</f>
        <v>3</v>
      </c>
    </row>
    <row r="12" spans="1:24" x14ac:dyDescent="0.25">
      <c r="A12" s="5">
        <v>13</v>
      </c>
      <c r="B12" t="s">
        <v>39</v>
      </c>
      <c r="C12" t="s">
        <v>26</v>
      </c>
      <c r="D12" t="s">
        <v>27</v>
      </c>
      <c r="E12" t="str">
        <f t="shared" si="0"/>
        <v>CSV4C13</v>
      </c>
      <c r="F12">
        <v>1</v>
      </c>
      <c r="G12">
        <v>0</v>
      </c>
      <c r="H12">
        <f>SkidDB[[#This Row],[Nominal Capacity]]/4</f>
        <v>3.25</v>
      </c>
      <c r="I12" s="8" t="s">
        <v>40</v>
      </c>
      <c r="J12" s="8" t="s">
        <v>41</v>
      </c>
      <c r="K12" s="8" t="s">
        <v>41</v>
      </c>
      <c r="L12">
        <v>1</v>
      </c>
      <c r="M12">
        <v>9000</v>
      </c>
      <c r="N12" s="6">
        <v>1.375</v>
      </c>
      <c r="O12" s="6">
        <v>1.125</v>
      </c>
      <c r="P12" s="6">
        <v>0.875</v>
      </c>
      <c r="Q12" s="6" t="s">
        <v>30</v>
      </c>
      <c r="R12" s="6" t="s">
        <v>30</v>
      </c>
      <c r="S12" s="6"/>
      <c r="T12" s="6"/>
      <c r="U12" s="6"/>
      <c r="V12" s="6">
        <f>SkidDB[[#This Row],[Compressor Qty]]</f>
        <v>1</v>
      </c>
    </row>
    <row r="13" spans="1:24" x14ac:dyDescent="0.25">
      <c r="A13" s="5">
        <v>17</v>
      </c>
      <c r="B13" t="s">
        <v>39</v>
      </c>
      <c r="C13" t="s">
        <v>26</v>
      </c>
      <c r="D13" t="s">
        <v>27</v>
      </c>
      <c r="E13" t="str">
        <f t="shared" si="0"/>
        <v>CSV4C17</v>
      </c>
      <c r="F13">
        <v>1</v>
      </c>
      <c r="G13">
        <v>0</v>
      </c>
      <c r="H13">
        <f>SkidDB[[#This Row],[Nominal Capacity]]/4</f>
        <v>4.25</v>
      </c>
      <c r="I13" t="s">
        <v>42</v>
      </c>
      <c r="J13" t="s">
        <v>43</v>
      </c>
      <c r="K13" t="s">
        <v>43</v>
      </c>
      <c r="L13">
        <v>1</v>
      </c>
      <c r="M13">
        <v>13000</v>
      </c>
      <c r="N13" s="6">
        <v>1.375</v>
      </c>
      <c r="O13" s="6">
        <v>1.125</v>
      </c>
      <c r="P13" s="6">
        <v>0.875</v>
      </c>
      <c r="Q13" s="6" t="s">
        <v>30</v>
      </c>
      <c r="R13" s="6" t="s">
        <v>30</v>
      </c>
      <c r="S13" s="6"/>
      <c r="T13" s="6"/>
      <c r="U13" s="6"/>
      <c r="V13" s="6">
        <f>SkidDB[[#This Row],[Compressor Qty]]</f>
        <v>1</v>
      </c>
    </row>
    <row r="14" spans="1:24" x14ac:dyDescent="0.25">
      <c r="A14" s="5">
        <v>26</v>
      </c>
      <c r="B14" t="s">
        <v>39</v>
      </c>
      <c r="C14" t="s">
        <v>26</v>
      </c>
      <c r="D14" t="s">
        <v>27</v>
      </c>
      <c r="E14" t="str">
        <f t="shared" si="0"/>
        <v>CSV4C26</v>
      </c>
      <c r="F14">
        <v>2</v>
      </c>
      <c r="G14">
        <v>0</v>
      </c>
      <c r="H14">
        <f>SkidDB[[#This Row],[Nominal Capacity]]/4</f>
        <v>6.5</v>
      </c>
      <c r="I14" s="8" t="s">
        <v>40</v>
      </c>
      <c r="J14" s="8" t="s">
        <v>41</v>
      </c>
      <c r="K14" s="8" t="s">
        <v>41</v>
      </c>
      <c r="L14">
        <v>2</v>
      </c>
      <c r="M14">
        <v>18000</v>
      </c>
      <c r="N14" s="6">
        <v>1.625</v>
      </c>
      <c r="O14" s="6">
        <v>1.375</v>
      </c>
      <c r="P14" s="6">
        <v>1.125</v>
      </c>
      <c r="Q14" s="6" t="s">
        <v>35</v>
      </c>
      <c r="R14" s="6" t="s">
        <v>35</v>
      </c>
      <c r="S14" s="6"/>
      <c r="T14" s="6"/>
      <c r="U14" s="6"/>
      <c r="V14" s="6">
        <f>SkidDB[[#This Row],[Compressor Qty]]</f>
        <v>2</v>
      </c>
    </row>
    <row r="15" spans="1:24" x14ac:dyDescent="0.25">
      <c r="A15" s="5">
        <v>35</v>
      </c>
      <c r="B15" t="s">
        <v>39</v>
      </c>
      <c r="C15" t="s">
        <v>26</v>
      </c>
      <c r="D15" t="s">
        <v>27</v>
      </c>
      <c r="E15" t="str">
        <f t="shared" si="0"/>
        <v>CSV4C35</v>
      </c>
      <c r="F15">
        <v>2</v>
      </c>
      <c r="G15">
        <v>0</v>
      </c>
      <c r="H15">
        <f>SkidDB[[#This Row],[Nominal Capacity]]/4</f>
        <v>8.75</v>
      </c>
      <c r="I15" t="s">
        <v>42</v>
      </c>
      <c r="J15" t="s">
        <v>43</v>
      </c>
      <c r="K15" t="s">
        <v>43</v>
      </c>
      <c r="L15">
        <v>2</v>
      </c>
      <c r="M15">
        <v>26000</v>
      </c>
      <c r="N15" s="6">
        <v>1.625</v>
      </c>
      <c r="O15" s="6">
        <v>1.375</v>
      </c>
      <c r="P15" s="6">
        <v>1.125</v>
      </c>
      <c r="Q15" s="6" t="s">
        <v>37</v>
      </c>
      <c r="R15" s="6" t="s">
        <v>37</v>
      </c>
      <c r="S15" s="6"/>
      <c r="T15" s="6"/>
      <c r="U15" s="6"/>
      <c r="V15" s="6">
        <f>SkidDB[[#This Row],[Compressor Qty]]</f>
        <v>2</v>
      </c>
    </row>
    <row r="16" spans="1:24" x14ac:dyDescent="0.25">
      <c r="A16" s="5">
        <v>40</v>
      </c>
      <c r="B16" t="s">
        <v>39</v>
      </c>
      <c r="C16" t="s">
        <v>26</v>
      </c>
      <c r="D16" t="s">
        <v>27</v>
      </c>
      <c r="E16" t="str">
        <f t="shared" si="0"/>
        <v>CSV4C40</v>
      </c>
      <c r="F16">
        <v>3</v>
      </c>
      <c r="G16">
        <v>0</v>
      </c>
      <c r="H16">
        <f>SkidDB[[#This Row],[Nominal Capacity]]/4</f>
        <v>10</v>
      </c>
      <c r="I16" s="8" t="s">
        <v>40</v>
      </c>
      <c r="J16" s="8" t="s">
        <v>41</v>
      </c>
      <c r="K16" s="8" t="s">
        <v>41</v>
      </c>
      <c r="L16">
        <v>3</v>
      </c>
      <c r="M16">
        <v>33000</v>
      </c>
      <c r="N16" s="6">
        <v>2.125</v>
      </c>
      <c r="O16" s="6">
        <v>1.625</v>
      </c>
      <c r="P16" s="6">
        <v>1.375</v>
      </c>
      <c r="Q16" s="6" t="s">
        <v>37</v>
      </c>
      <c r="R16" s="6" t="s">
        <v>37</v>
      </c>
      <c r="S16" s="6"/>
      <c r="T16" s="6"/>
      <c r="U16" s="6"/>
      <c r="V16" s="6">
        <f>SkidDB[[#This Row],[Compressor Qty]]</f>
        <v>3</v>
      </c>
    </row>
    <row r="17" spans="1:28" x14ac:dyDescent="0.25">
      <c r="A17" s="5">
        <v>50</v>
      </c>
      <c r="B17" t="s">
        <v>39</v>
      </c>
      <c r="C17" t="s">
        <v>26</v>
      </c>
      <c r="D17" t="s">
        <v>27</v>
      </c>
      <c r="E17" t="str">
        <f t="shared" si="0"/>
        <v>CSV4C50</v>
      </c>
      <c r="F17">
        <v>3</v>
      </c>
      <c r="G17">
        <v>0</v>
      </c>
      <c r="H17">
        <f>SkidDB[[#This Row],[Nominal Capacity]]/4</f>
        <v>12.5</v>
      </c>
      <c r="I17" t="s">
        <v>42</v>
      </c>
      <c r="J17" t="s">
        <v>43</v>
      </c>
      <c r="K17" t="s">
        <v>43</v>
      </c>
      <c r="L17">
        <v>3</v>
      </c>
      <c r="M17">
        <v>39000</v>
      </c>
      <c r="N17" s="6">
        <v>2.125</v>
      </c>
      <c r="O17" s="6">
        <v>1.625</v>
      </c>
      <c r="P17" s="6">
        <v>1.375</v>
      </c>
      <c r="Q17" s="6" t="s">
        <v>38</v>
      </c>
      <c r="R17" s="6" t="s">
        <v>38</v>
      </c>
      <c r="S17" s="6"/>
      <c r="T17" s="6"/>
      <c r="U17" s="6"/>
      <c r="V17" s="6">
        <f>SkidDB[[#This Row],[Compressor Qty]]</f>
        <v>3</v>
      </c>
    </row>
    <row r="18" spans="1:28" x14ac:dyDescent="0.25">
      <c r="A18" s="5"/>
      <c r="Q18" s="6"/>
      <c r="R18" s="6"/>
      <c r="S18" s="6"/>
      <c r="T18" s="6"/>
      <c r="U18" s="6"/>
      <c r="V18" s="6"/>
      <c r="W18" s="6"/>
      <c r="X18" s="6"/>
      <c r="Y18" s="6"/>
    </row>
    <row r="20" spans="1:28" x14ac:dyDescent="0.25">
      <c r="A20" s="4" t="s">
        <v>44</v>
      </c>
      <c r="B20" s="4" t="s">
        <v>3</v>
      </c>
      <c r="C20" s="4" t="s">
        <v>45</v>
      </c>
      <c r="D20" s="4" t="s">
        <v>46</v>
      </c>
      <c r="E20" s="4" t="s">
        <v>47</v>
      </c>
      <c r="F20" s="4" t="s">
        <v>48</v>
      </c>
      <c r="H20" s="9" t="s">
        <v>6</v>
      </c>
      <c r="I20" s="9" t="s">
        <v>49</v>
      </c>
      <c r="J20" s="9" t="s">
        <v>50</v>
      </c>
      <c r="K20" s="9" t="s">
        <v>51</v>
      </c>
      <c r="L20" s="9" t="s">
        <v>52</v>
      </c>
      <c r="M20" s="9" t="s">
        <v>53</v>
      </c>
      <c r="O20" t="s">
        <v>54</v>
      </c>
      <c r="P20" t="s">
        <v>55</v>
      </c>
      <c r="Q20" t="s">
        <v>56</v>
      </c>
      <c r="R20" t="s">
        <v>57</v>
      </c>
      <c r="S20" t="s">
        <v>58</v>
      </c>
      <c r="T20" t="s">
        <v>59</v>
      </c>
      <c r="U20" t="s">
        <v>60</v>
      </c>
      <c r="V20" t="s">
        <v>61</v>
      </c>
      <c r="W20" t="s">
        <v>62</v>
      </c>
    </row>
    <row r="21" spans="1:28" x14ac:dyDescent="0.25">
      <c r="A21" t="s">
        <v>63</v>
      </c>
      <c r="B21" s="10">
        <f>115327/12000</f>
        <v>9.6105833333333326</v>
      </c>
      <c r="C21" t="s">
        <v>64</v>
      </c>
      <c r="D21" s="11">
        <v>11077</v>
      </c>
      <c r="E21" s="12">
        <v>33.6</v>
      </c>
      <c r="F21" t="s">
        <v>65</v>
      </c>
      <c r="H21" t="s">
        <v>66</v>
      </c>
      <c r="I21" t="s">
        <v>67</v>
      </c>
      <c r="J21" t="s">
        <v>68</v>
      </c>
      <c r="K21" t="s">
        <v>69</v>
      </c>
      <c r="L21">
        <v>1</v>
      </c>
      <c r="M21" s="13">
        <f>-(1-(L21/2088))</f>
        <v>-0.99952107279693492</v>
      </c>
      <c r="O21" t="s">
        <v>70</v>
      </c>
      <c r="P21" t="s">
        <v>71</v>
      </c>
      <c r="Q21" t="s">
        <v>72</v>
      </c>
      <c r="R21" t="s">
        <v>73</v>
      </c>
      <c r="S21" s="14">
        <v>0.375</v>
      </c>
      <c r="T21" s="14">
        <v>0.625</v>
      </c>
      <c r="U21" s="10">
        <f>22*3413/12000</f>
        <v>6.2571666666666665</v>
      </c>
      <c r="V21" s="10">
        <f>EEV_Selection[[#This Row],[Max Cap]]/10</f>
        <v>0.6257166666666667</v>
      </c>
      <c r="W21" s="15" t="s">
        <v>74</v>
      </c>
    </row>
    <row r="22" spans="1:28" x14ac:dyDescent="0.25">
      <c r="A22" t="s">
        <v>75</v>
      </c>
      <c r="B22" s="10">
        <f>115327/12000</f>
        <v>9.6105833333333326</v>
      </c>
      <c r="C22" t="s">
        <v>76</v>
      </c>
      <c r="D22" s="11">
        <v>11044</v>
      </c>
      <c r="E22" s="12">
        <v>20</v>
      </c>
      <c r="F22" t="s">
        <v>65</v>
      </c>
      <c r="H22" t="s">
        <v>77</v>
      </c>
      <c r="I22" t="s">
        <v>67</v>
      </c>
      <c r="J22" t="s">
        <v>78</v>
      </c>
      <c r="K22" t="s">
        <v>79</v>
      </c>
      <c r="L22">
        <v>3</v>
      </c>
      <c r="M22" s="13">
        <f t="shared" ref="M22:M27" si="1">-(1-(L22/2088))</f>
        <v>-0.99856321839080464</v>
      </c>
      <c r="O22" t="s">
        <v>70</v>
      </c>
      <c r="P22" t="s">
        <v>80</v>
      </c>
      <c r="Q22" t="s">
        <v>81</v>
      </c>
      <c r="R22" t="s">
        <v>82</v>
      </c>
      <c r="S22" s="14">
        <v>0.625</v>
      </c>
      <c r="T22" s="14">
        <v>0.625</v>
      </c>
      <c r="U22" s="10">
        <f>22*3413/12000</f>
        <v>6.2571666666666665</v>
      </c>
      <c r="V22" s="10">
        <f>EEV_Selection[[#This Row],[Max Cap]]/10</f>
        <v>0.6257166666666667</v>
      </c>
    </row>
    <row r="23" spans="1:28" x14ac:dyDescent="0.25">
      <c r="A23" t="s">
        <v>75</v>
      </c>
      <c r="B23" s="10">
        <f>115327/12000</f>
        <v>9.6105833333333326</v>
      </c>
      <c r="C23" t="s">
        <v>83</v>
      </c>
      <c r="D23" s="11">
        <v>11044</v>
      </c>
      <c r="E23" s="12">
        <v>23.9</v>
      </c>
      <c r="F23" t="s">
        <v>65</v>
      </c>
      <c r="H23" t="s">
        <v>84</v>
      </c>
      <c r="I23" t="s">
        <v>85</v>
      </c>
      <c r="J23" t="s">
        <v>86</v>
      </c>
      <c r="K23" t="s">
        <v>87</v>
      </c>
      <c r="L23">
        <v>7</v>
      </c>
      <c r="M23" s="13">
        <f t="shared" si="1"/>
        <v>-0.99664750957854409</v>
      </c>
      <c r="O23" t="s">
        <v>70</v>
      </c>
      <c r="P23" t="s">
        <v>88</v>
      </c>
      <c r="Q23" t="s">
        <v>89</v>
      </c>
      <c r="R23" t="s">
        <v>73</v>
      </c>
      <c r="S23" s="14">
        <v>0.625</v>
      </c>
      <c r="T23" s="14">
        <v>0.875</v>
      </c>
      <c r="U23" s="10">
        <f>67*3413/12000</f>
        <v>19.055916666666668</v>
      </c>
      <c r="V23" s="10">
        <f>EEV_Selection[[#This Row],[Max Cap]]/10</f>
        <v>1.9055916666666668</v>
      </c>
    </row>
    <row r="24" spans="1:28" x14ac:dyDescent="0.25">
      <c r="A24" t="s">
        <v>28</v>
      </c>
      <c r="B24" s="10">
        <f>160781/12000</f>
        <v>13.398416666666666</v>
      </c>
      <c r="C24" t="s">
        <v>64</v>
      </c>
      <c r="D24" s="11">
        <v>14125</v>
      </c>
      <c r="E24" s="12">
        <v>42.46</v>
      </c>
      <c r="F24" t="s">
        <v>65</v>
      </c>
      <c r="H24" t="s">
        <v>27</v>
      </c>
      <c r="I24" t="s">
        <v>90</v>
      </c>
      <c r="J24" t="s">
        <v>91</v>
      </c>
      <c r="K24" t="s">
        <v>87</v>
      </c>
      <c r="L24">
        <v>466</v>
      </c>
      <c r="M24" s="13">
        <f t="shared" si="1"/>
        <v>-0.77681992337164751</v>
      </c>
      <c r="O24" t="s">
        <v>70</v>
      </c>
      <c r="P24" t="s">
        <v>92</v>
      </c>
      <c r="Q24" t="s">
        <v>93</v>
      </c>
      <c r="R24" t="s">
        <v>82</v>
      </c>
      <c r="S24" s="14">
        <v>0.875</v>
      </c>
      <c r="T24" s="14">
        <v>0.875</v>
      </c>
      <c r="U24" s="10">
        <f>67*3413/12000</f>
        <v>19.055916666666668</v>
      </c>
      <c r="V24" s="10">
        <f>EEV_Selection[[#This Row],[Max Cap]]/10</f>
        <v>1.9055916666666668</v>
      </c>
      <c r="W24" s="15" t="s">
        <v>94</v>
      </c>
    </row>
    <row r="25" spans="1:28" x14ac:dyDescent="0.25">
      <c r="A25" t="s">
        <v>29</v>
      </c>
      <c r="B25" s="10">
        <f>160781/12000</f>
        <v>13.398416666666666</v>
      </c>
      <c r="C25" t="s">
        <v>83</v>
      </c>
      <c r="D25" s="11">
        <v>13392</v>
      </c>
      <c r="E25" s="12">
        <v>19.899999999999999</v>
      </c>
      <c r="F25" t="s">
        <v>65</v>
      </c>
      <c r="H25" t="s">
        <v>95</v>
      </c>
      <c r="I25" t="s">
        <v>96</v>
      </c>
      <c r="J25" t="s">
        <v>97</v>
      </c>
      <c r="K25" t="s">
        <v>69</v>
      </c>
      <c r="L25">
        <v>299</v>
      </c>
      <c r="M25" s="13">
        <f t="shared" si="1"/>
        <v>-0.85680076628352486</v>
      </c>
      <c r="O25" t="s">
        <v>70</v>
      </c>
      <c r="P25" t="s">
        <v>98</v>
      </c>
      <c r="Q25" t="s">
        <v>99</v>
      </c>
      <c r="R25" t="s">
        <v>73</v>
      </c>
      <c r="S25" s="14">
        <v>0.875</v>
      </c>
      <c r="T25" s="14">
        <v>1.125</v>
      </c>
      <c r="U25" s="10">
        <f>161*3413/12000</f>
        <v>45.791083333333333</v>
      </c>
      <c r="V25" s="10">
        <f>EEV_Selection[[#This Row],[Max Cap]]/10</f>
        <v>4.5791083333333331</v>
      </c>
    </row>
    <row r="26" spans="1:28" x14ac:dyDescent="0.25">
      <c r="A26" t="s">
        <v>29</v>
      </c>
      <c r="B26" s="10">
        <f>160781/12000</f>
        <v>13.398416666666666</v>
      </c>
      <c r="C26" t="s">
        <v>76</v>
      </c>
      <c r="D26" s="11">
        <v>13392</v>
      </c>
      <c r="E26" s="12">
        <v>16.600000000000001</v>
      </c>
      <c r="F26" t="s">
        <v>65</v>
      </c>
      <c r="H26" t="s">
        <v>100</v>
      </c>
      <c r="I26" t="s">
        <v>90</v>
      </c>
      <c r="J26" t="s">
        <v>101</v>
      </c>
      <c r="K26" t="s">
        <v>69</v>
      </c>
      <c r="L26">
        <v>573</v>
      </c>
      <c r="M26" s="13">
        <f t="shared" si="1"/>
        <v>-0.72557471264367823</v>
      </c>
      <c r="O26" t="s">
        <v>70</v>
      </c>
      <c r="P26" t="s">
        <v>102</v>
      </c>
      <c r="Q26" t="s">
        <v>103</v>
      </c>
      <c r="R26" t="s">
        <v>82</v>
      </c>
      <c r="S26" s="14">
        <v>1.125</v>
      </c>
      <c r="T26" s="14">
        <v>1.125</v>
      </c>
      <c r="U26" s="10">
        <f>161*3413/12000</f>
        <v>45.791083333333333</v>
      </c>
      <c r="V26" s="10">
        <f>EEV_Selection[[#This Row],[Max Cap]]/10</f>
        <v>4.5791083333333331</v>
      </c>
      <c r="W26" s="15" t="s">
        <v>104</v>
      </c>
    </row>
    <row r="27" spans="1:28" x14ac:dyDescent="0.25">
      <c r="A27" t="s">
        <v>31</v>
      </c>
      <c r="B27" s="10">
        <f>171559/12000</f>
        <v>14.296583333333333</v>
      </c>
      <c r="C27" t="s">
        <v>64</v>
      </c>
      <c r="D27" s="11">
        <v>15935</v>
      </c>
      <c r="E27" s="12">
        <v>52.5</v>
      </c>
      <c r="F27" t="s">
        <v>65</v>
      </c>
      <c r="H27" t="s">
        <v>105</v>
      </c>
      <c r="I27" t="s">
        <v>106</v>
      </c>
      <c r="J27" t="s">
        <v>86</v>
      </c>
      <c r="K27" t="s">
        <v>87</v>
      </c>
      <c r="L27">
        <v>675</v>
      </c>
      <c r="M27" s="13">
        <f t="shared" si="1"/>
        <v>-0.67672413793103448</v>
      </c>
      <c r="O27" t="s">
        <v>70</v>
      </c>
      <c r="P27" t="s">
        <v>107</v>
      </c>
      <c r="Q27" t="s">
        <v>108</v>
      </c>
      <c r="R27" t="s">
        <v>73</v>
      </c>
      <c r="S27" s="14">
        <v>1.125</v>
      </c>
      <c r="T27" s="14">
        <v>1.375</v>
      </c>
      <c r="U27" s="10">
        <f>441*3413/12000</f>
        <v>125.42775</v>
      </c>
      <c r="V27" s="10">
        <f>EEV_Selection[[#This Row],[Max Cap]]/10</f>
        <v>12.542775000000001</v>
      </c>
    </row>
    <row r="28" spans="1:28" x14ac:dyDescent="0.25">
      <c r="A28" t="s">
        <v>32</v>
      </c>
      <c r="B28" s="10">
        <f>171559/12000</f>
        <v>14.296583333333333</v>
      </c>
      <c r="C28" t="s">
        <v>76</v>
      </c>
      <c r="D28" s="11">
        <v>16104</v>
      </c>
      <c r="E28" s="12">
        <v>23.4</v>
      </c>
      <c r="F28" t="s">
        <v>65</v>
      </c>
      <c r="H28" s="16"/>
      <c r="O28" t="s">
        <v>70</v>
      </c>
      <c r="P28" t="s">
        <v>109</v>
      </c>
      <c r="Q28" t="s">
        <v>110</v>
      </c>
      <c r="R28" t="s">
        <v>82</v>
      </c>
      <c r="S28" s="14">
        <v>1.375</v>
      </c>
      <c r="T28" s="14">
        <v>1.375</v>
      </c>
      <c r="U28" s="10">
        <f>441*3413/12000</f>
        <v>125.42775</v>
      </c>
      <c r="V28" s="10">
        <f>EEV_Selection[[#This Row],[Max Cap]]/10</f>
        <v>12.542775000000001</v>
      </c>
      <c r="AA28" s="17"/>
      <c r="AB28" s="17"/>
    </row>
    <row r="29" spans="1:28" x14ac:dyDescent="0.25">
      <c r="A29" t="s">
        <v>32</v>
      </c>
      <c r="B29" s="10">
        <f>171559/12000</f>
        <v>14.296583333333333</v>
      </c>
      <c r="C29" t="s">
        <v>83</v>
      </c>
      <c r="D29" s="11">
        <v>16104</v>
      </c>
      <c r="E29" s="12">
        <v>28.05</v>
      </c>
      <c r="F29" t="s">
        <v>65</v>
      </c>
      <c r="H29" s="16"/>
      <c r="O29" t="s">
        <v>111</v>
      </c>
      <c r="P29" t="s">
        <v>112</v>
      </c>
      <c r="Q29" s="14"/>
      <c r="R29" t="s">
        <v>82</v>
      </c>
      <c r="S29" s="18">
        <v>0.5</v>
      </c>
      <c r="T29" s="18">
        <v>0.5</v>
      </c>
      <c r="U29" s="10">
        <v>34.700000000000003</v>
      </c>
      <c r="V29" s="10">
        <v>2.5659999999999998</v>
      </c>
    </row>
    <row r="30" spans="1:28" x14ac:dyDescent="0.25">
      <c r="A30" t="s">
        <v>33</v>
      </c>
      <c r="B30" s="10">
        <f>191358/12000</f>
        <v>15.9465</v>
      </c>
      <c r="C30" t="s">
        <v>64</v>
      </c>
      <c r="D30" s="11">
        <v>17908</v>
      </c>
      <c r="E30" s="12">
        <v>53.54</v>
      </c>
      <c r="F30" t="s">
        <v>65</v>
      </c>
      <c r="H30" s="19"/>
      <c r="O30" t="s">
        <v>111</v>
      </c>
      <c r="P30" t="s">
        <v>113</v>
      </c>
      <c r="R30" t="s">
        <v>82</v>
      </c>
      <c r="S30" s="14">
        <v>0.625</v>
      </c>
      <c r="T30" s="14">
        <v>0.625</v>
      </c>
      <c r="U30" s="10">
        <v>36.92</v>
      </c>
      <c r="V30" s="10">
        <v>1.714</v>
      </c>
    </row>
    <row r="31" spans="1:28" x14ac:dyDescent="0.25">
      <c r="A31" t="s">
        <v>34</v>
      </c>
      <c r="B31" s="10">
        <f>191358/12000</f>
        <v>15.9465</v>
      </c>
      <c r="C31" t="s">
        <v>83</v>
      </c>
      <c r="D31" s="11">
        <v>17791</v>
      </c>
      <c r="E31" s="12">
        <v>29.86</v>
      </c>
      <c r="F31" t="s">
        <v>65</v>
      </c>
      <c r="H31" s="16"/>
      <c r="O31" t="s">
        <v>111</v>
      </c>
      <c r="P31" t="s">
        <v>114</v>
      </c>
      <c r="R31" t="s">
        <v>82</v>
      </c>
      <c r="S31" s="14">
        <v>0.82499999999999996</v>
      </c>
      <c r="T31" s="14">
        <v>0.82499999999999996</v>
      </c>
      <c r="U31" s="10">
        <v>39.19</v>
      </c>
      <c r="V31" s="10">
        <v>1.8</v>
      </c>
      <c r="W31" s="15" t="s">
        <v>115</v>
      </c>
    </row>
    <row r="32" spans="1:28" x14ac:dyDescent="0.25">
      <c r="A32" t="s">
        <v>34</v>
      </c>
      <c r="B32" s="10">
        <f>191358/12000</f>
        <v>15.9465</v>
      </c>
      <c r="C32" t="s">
        <v>76</v>
      </c>
      <c r="D32" s="11">
        <v>17791</v>
      </c>
      <c r="E32" s="12">
        <v>24.9</v>
      </c>
      <c r="F32" t="s">
        <v>65</v>
      </c>
      <c r="H32" s="19"/>
      <c r="O32" t="s">
        <v>111</v>
      </c>
      <c r="P32" t="s">
        <v>116</v>
      </c>
      <c r="R32" t="s">
        <v>82</v>
      </c>
      <c r="S32" s="18">
        <v>0.5</v>
      </c>
      <c r="T32" s="18">
        <v>0.5</v>
      </c>
      <c r="U32" s="10">
        <v>49.49</v>
      </c>
      <c r="V32" s="10">
        <v>3.72</v>
      </c>
    </row>
    <row r="33" spans="1:23" x14ac:dyDescent="0.25">
      <c r="A33" t="s">
        <v>117</v>
      </c>
      <c r="B33" s="10">
        <f>197196.7/12000</f>
        <v>16.433058333333335</v>
      </c>
      <c r="C33" t="s">
        <v>76</v>
      </c>
      <c r="D33" s="11">
        <v>21296</v>
      </c>
      <c r="E33" s="12">
        <v>29.09</v>
      </c>
      <c r="F33" t="s">
        <v>65</v>
      </c>
      <c r="H33" s="16"/>
      <c r="O33" t="s">
        <v>111</v>
      </c>
      <c r="P33" t="s">
        <v>118</v>
      </c>
      <c r="R33" t="s">
        <v>82</v>
      </c>
      <c r="S33" s="14">
        <v>0.625</v>
      </c>
      <c r="T33" s="14">
        <v>0.625</v>
      </c>
      <c r="U33" s="10">
        <v>52.01</v>
      </c>
      <c r="V33" s="10">
        <v>4.34</v>
      </c>
    </row>
    <row r="34" spans="1:23" x14ac:dyDescent="0.25">
      <c r="A34" t="s">
        <v>117</v>
      </c>
      <c r="B34" s="10">
        <f>197196.7/12000</f>
        <v>16.433058333333335</v>
      </c>
      <c r="C34" t="s">
        <v>83</v>
      </c>
      <c r="D34" s="11">
        <v>21296</v>
      </c>
      <c r="E34" s="12">
        <v>34.85</v>
      </c>
      <c r="F34" t="s">
        <v>65</v>
      </c>
      <c r="H34" s="16"/>
      <c r="O34" t="s">
        <v>111</v>
      </c>
      <c r="P34" t="s">
        <v>119</v>
      </c>
      <c r="R34" t="s">
        <v>82</v>
      </c>
      <c r="S34" s="20">
        <v>0.75</v>
      </c>
      <c r="T34" s="20">
        <v>0.75</v>
      </c>
      <c r="U34" s="10">
        <v>64.02</v>
      </c>
      <c r="V34" s="10">
        <v>5.31</v>
      </c>
    </row>
    <row r="35" spans="1:23" x14ac:dyDescent="0.25">
      <c r="A35" s="8" t="s">
        <v>40</v>
      </c>
      <c r="B35" s="10">
        <f>161.5/12</f>
        <v>13.458333333333334</v>
      </c>
      <c r="C35" t="s">
        <v>64</v>
      </c>
      <c r="D35" s="11">
        <v>15450</v>
      </c>
      <c r="E35" s="12">
        <v>43.5</v>
      </c>
      <c r="F35" t="s">
        <v>65</v>
      </c>
      <c r="H35" s="16"/>
    </row>
    <row r="36" spans="1:23" x14ac:dyDescent="0.25">
      <c r="A36" s="8" t="s">
        <v>41</v>
      </c>
      <c r="B36" s="10">
        <f>156000/12000</f>
        <v>13</v>
      </c>
      <c r="C36" t="s">
        <v>83</v>
      </c>
      <c r="D36" s="11">
        <v>14800</v>
      </c>
      <c r="E36" s="12">
        <f>20*460/480</f>
        <v>19.166666666666668</v>
      </c>
      <c r="F36" t="s">
        <v>65</v>
      </c>
      <c r="H36" s="19"/>
    </row>
    <row r="37" spans="1:23" x14ac:dyDescent="0.25">
      <c r="A37" s="8" t="s">
        <v>41</v>
      </c>
      <c r="B37" s="10">
        <f>156000/12000</f>
        <v>13</v>
      </c>
      <c r="C37" t="s">
        <v>76</v>
      </c>
      <c r="D37" s="11">
        <v>14800</v>
      </c>
      <c r="E37" s="12">
        <f>20*460/575</f>
        <v>16</v>
      </c>
      <c r="F37" t="s">
        <v>65</v>
      </c>
      <c r="H37" s="16"/>
    </row>
    <row r="38" spans="1:23" x14ac:dyDescent="0.25">
      <c r="A38" t="s">
        <v>42</v>
      </c>
      <c r="B38" s="10">
        <f>223/12</f>
        <v>18.583333333333332</v>
      </c>
      <c r="C38" t="s">
        <v>64</v>
      </c>
      <c r="D38" s="11">
        <v>22200</v>
      </c>
      <c r="E38" s="12">
        <v>80.599999999999994</v>
      </c>
      <c r="F38" t="s">
        <v>65</v>
      </c>
      <c r="H38" s="19"/>
    </row>
    <row r="39" spans="1:23" x14ac:dyDescent="0.25">
      <c r="A39" t="s">
        <v>43</v>
      </c>
      <c r="B39" s="10">
        <f>224/12</f>
        <v>18.666666666666668</v>
      </c>
      <c r="C39" t="s">
        <v>83</v>
      </c>
      <c r="D39" s="11">
        <v>22800</v>
      </c>
      <c r="E39" s="12">
        <f>39.9*460/480</f>
        <v>38.237499999999997</v>
      </c>
      <c r="F39" t="s">
        <v>65</v>
      </c>
      <c r="H39" s="16"/>
      <c r="U39" t="s">
        <v>39</v>
      </c>
    </row>
    <row r="40" spans="1:23" x14ac:dyDescent="0.25">
      <c r="A40" t="s">
        <v>43</v>
      </c>
      <c r="B40" s="10">
        <f>224/12</f>
        <v>18.666666666666668</v>
      </c>
      <c r="C40" t="s">
        <v>76</v>
      </c>
      <c r="D40" s="11">
        <v>22800</v>
      </c>
      <c r="E40" s="12">
        <f>39.9*460/575</f>
        <v>31.92</v>
      </c>
      <c r="F40" t="s">
        <v>65</v>
      </c>
      <c r="H40" s="16"/>
      <c r="O40" t="s">
        <v>120</v>
      </c>
    </row>
    <row r="41" spans="1:23" x14ac:dyDescent="0.25">
      <c r="A41" t="s">
        <v>63</v>
      </c>
      <c r="B41" s="10">
        <f>115327/12000</f>
        <v>9.6105833333333326</v>
      </c>
      <c r="C41" t="s">
        <v>64</v>
      </c>
      <c r="D41" s="11">
        <v>10139</v>
      </c>
      <c r="E41" s="12">
        <v>31.19</v>
      </c>
      <c r="F41" t="s">
        <v>121</v>
      </c>
      <c r="H41" s="16"/>
      <c r="O41" t="s">
        <v>122</v>
      </c>
      <c r="P41" t="s">
        <v>123</v>
      </c>
      <c r="Q41" t="s">
        <v>124</v>
      </c>
      <c r="R41" t="s">
        <v>39</v>
      </c>
      <c r="S41" t="s">
        <v>125</v>
      </c>
      <c r="T41" t="s">
        <v>126</v>
      </c>
      <c r="U41" t="s">
        <v>127</v>
      </c>
    </row>
    <row r="42" spans="1:23" x14ac:dyDescent="0.25">
      <c r="A42" t="s">
        <v>75</v>
      </c>
      <c r="B42" s="10">
        <f>115327/12000</f>
        <v>9.6105833333333326</v>
      </c>
      <c r="C42" t="s">
        <v>76</v>
      </c>
      <c r="D42" s="11">
        <v>10474</v>
      </c>
      <c r="E42" s="12">
        <v>19.100000000000001</v>
      </c>
      <c r="F42" t="s">
        <v>121</v>
      </c>
      <c r="H42" s="19"/>
      <c r="O42" s="14">
        <v>0.625</v>
      </c>
      <c r="P42" s="14" t="str">
        <f>"Ball Valve "&amp;Table2[[#This Row],[Size]]</f>
        <v>Ball Valve 0,625</v>
      </c>
      <c r="Q42">
        <v>445</v>
      </c>
      <c r="R42" t="s">
        <v>128</v>
      </c>
      <c r="S42" t="s">
        <v>129</v>
      </c>
      <c r="T42" t="s">
        <v>129</v>
      </c>
      <c r="U42" t="str">
        <f>Table2[[#This Row],[Name]]&amp;" "&amp;$U$39&amp;" "&amp;INDEX(Table2[[Danfos]:[CB Supplies]],MATCH(Table2[[#This Row],[Name]],Table2[Name],0),MATCH($U$39,Table2[[#Headers],[Danfos]:[CB Supplies]],0))</f>
        <v>Ball Valve 0,625 Copeland eer</v>
      </c>
    </row>
    <row r="43" spans="1:23" x14ac:dyDescent="0.25">
      <c r="A43" t="s">
        <v>75</v>
      </c>
      <c r="B43" s="10">
        <f>115327/12000</f>
        <v>9.6105833333333326</v>
      </c>
      <c r="C43" t="s">
        <v>83</v>
      </c>
      <c r="D43" s="11">
        <v>10474</v>
      </c>
      <c r="E43" s="12">
        <v>22.9</v>
      </c>
      <c r="F43" t="s">
        <v>121</v>
      </c>
      <c r="H43" s="16"/>
      <c r="O43" s="14">
        <v>0.82499999999999996</v>
      </c>
      <c r="P43" s="14" t="str">
        <f>"Ball Valve "&amp;Table2[[#This Row],[Size]]</f>
        <v>Ball Valve 0,825</v>
      </c>
      <c r="Q43">
        <v>234</v>
      </c>
      <c r="R43" t="s">
        <v>129</v>
      </c>
      <c r="S43" t="s">
        <v>129</v>
      </c>
      <c r="U43" t="str">
        <f>Table2[[#This Row],[Name]]&amp;" "&amp;$U$39&amp;" "&amp;INDEX(Table2[[Danfos]:[CB Supplies]],MATCH(Table2[[#This Row],[Name]],Table2[Name],0),MATCH($U$39,Table2[[#Headers],[Danfos]:[CB Supplies]],0))</f>
        <v>Ball Valve 0,825 Copeland ere</v>
      </c>
      <c r="W43" t="s">
        <v>44</v>
      </c>
    </row>
    <row r="44" spans="1:23" x14ac:dyDescent="0.25">
      <c r="A44" t="s">
        <v>28</v>
      </c>
      <c r="B44" s="10">
        <f>160781/12000</f>
        <v>13.398416666666666</v>
      </c>
      <c r="C44" t="s">
        <v>64</v>
      </c>
      <c r="D44" s="11">
        <v>13407</v>
      </c>
      <c r="E44" s="12">
        <v>40</v>
      </c>
      <c r="F44" t="s">
        <v>121</v>
      </c>
      <c r="H44" s="19"/>
      <c r="O44" s="14">
        <v>1.125</v>
      </c>
      <c r="P44" s="14" t="str">
        <f>"Ball Valve "&amp;Table2[[#This Row],[Size]]</f>
        <v>Ball Valve 1,125</v>
      </c>
      <c r="U44" t="str">
        <f>Table2[[#This Row],[Name]]&amp;" "&amp;$U$39&amp;" "&amp;INDEX(Table2[[Danfos]:[CB Supplies]],MATCH(Table2[[#This Row],[Name]],Table2[Name],0),MATCH($U$39,Table2[[#Headers],[Danfos]:[CB Supplies]],0))</f>
        <v xml:space="preserve">Ball Valve 1,125 Copeland </v>
      </c>
      <c r="W44" t="s">
        <v>130</v>
      </c>
    </row>
    <row r="45" spans="1:23" x14ac:dyDescent="0.25">
      <c r="A45" t="s">
        <v>29</v>
      </c>
      <c r="B45" s="10">
        <f>160781/12000</f>
        <v>13.398416666666666</v>
      </c>
      <c r="C45" t="s">
        <v>83</v>
      </c>
      <c r="D45" s="11">
        <v>12689</v>
      </c>
      <c r="E45" s="12">
        <v>18.850000000000001</v>
      </c>
      <c r="F45" t="s">
        <v>121</v>
      </c>
      <c r="H45" s="16"/>
      <c r="O45" s="14">
        <v>1.375</v>
      </c>
      <c r="P45" s="14" t="str">
        <f>"Ball Valve "&amp;Table2[[#This Row],[Size]]</f>
        <v>Ball Valve 1,375</v>
      </c>
      <c r="U45" t="str">
        <f>Table2[[#This Row],[Name]]&amp;" "&amp;$U$39&amp;" "&amp;INDEX(Table2[[Danfos]:[CB Supplies]],MATCH(Table2[[#This Row],[Name]],Table2[Name],0),MATCH($U$39,Table2[[#Headers],[Danfos]:[CB Supplies]],0))</f>
        <v xml:space="preserve">Ball Valve 1,375 Copeland </v>
      </c>
      <c r="W45" t="s">
        <v>120</v>
      </c>
    </row>
    <row r="46" spans="1:23" x14ac:dyDescent="0.25">
      <c r="A46" t="s">
        <v>29</v>
      </c>
      <c r="B46" s="10">
        <f>160781/12000</f>
        <v>13.398416666666666</v>
      </c>
      <c r="C46" t="s">
        <v>76</v>
      </c>
      <c r="D46" s="11">
        <v>12689</v>
      </c>
      <c r="E46" s="12">
        <v>15.7</v>
      </c>
      <c r="F46" t="s">
        <v>121</v>
      </c>
      <c r="H46" s="16"/>
      <c r="O46" s="14">
        <v>1.625</v>
      </c>
      <c r="P46" s="14" t="str">
        <f>"Ball Valve "&amp;Table2[[#This Row],[Size]]</f>
        <v>Ball Valve 1,625</v>
      </c>
      <c r="U46" t="str">
        <f>Table2[[#This Row],[Name]]&amp;" "&amp;$U$39&amp;" "&amp;INDEX(Table2[[Danfos]:[CB Supplies]],MATCH(Table2[[#This Row],[Name]],Table2[Name],0),MATCH($U$39,Table2[[#Headers],[Danfos]:[CB Supplies]],0))</f>
        <v xml:space="preserve">Ball Valve 1,625 Copeland </v>
      </c>
      <c r="W46" t="s">
        <v>131</v>
      </c>
    </row>
    <row r="47" spans="1:23" x14ac:dyDescent="0.25">
      <c r="A47" t="s">
        <v>31</v>
      </c>
      <c r="B47" s="10">
        <f>171559/12000</f>
        <v>14.296583333333333</v>
      </c>
      <c r="C47" t="s">
        <v>64</v>
      </c>
      <c r="D47" s="11">
        <v>14982</v>
      </c>
      <c r="E47" s="12">
        <v>47.99</v>
      </c>
      <c r="F47" t="s">
        <v>121</v>
      </c>
      <c r="H47" s="16"/>
      <c r="O47" s="14">
        <v>2.125</v>
      </c>
      <c r="P47" s="14" t="str">
        <f>"Ball Valve "&amp;Table2[[#This Row],[Size]]</f>
        <v>Ball Valve 2,125</v>
      </c>
      <c r="U47" t="str">
        <f>Table2[[#This Row],[Name]]&amp;" "&amp;$U$39&amp;" "&amp;INDEX(Table2[[Danfos]:[CB Supplies]],MATCH(Table2[[#This Row],[Name]],Table2[Name],0),MATCH($U$39,Table2[[#Headers],[Danfos]:[CB Supplies]],0))</f>
        <v xml:space="preserve">Ball Valve 2,125 Copeland </v>
      </c>
      <c r="W47" t="s">
        <v>132</v>
      </c>
    </row>
    <row r="48" spans="1:23" x14ac:dyDescent="0.25">
      <c r="A48" t="s">
        <v>32</v>
      </c>
      <c r="B48" s="10">
        <f>171559/12000</f>
        <v>14.296583333333333</v>
      </c>
      <c r="C48" t="s">
        <v>76</v>
      </c>
      <c r="D48" s="11">
        <v>15250</v>
      </c>
      <c r="E48" s="12">
        <v>22.18</v>
      </c>
      <c r="F48" t="s">
        <v>121</v>
      </c>
      <c r="H48" s="19"/>
      <c r="W48" t="s">
        <v>133</v>
      </c>
    </row>
    <row r="49" spans="1:23" x14ac:dyDescent="0.25">
      <c r="A49" t="s">
        <v>32</v>
      </c>
      <c r="B49" s="10">
        <f>171559/12000</f>
        <v>14.296583333333333</v>
      </c>
      <c r="C49" t="s">
        <v>83</v>
      </c>
      <c r="D49" s="11">
        <v>15250</v>
      </c>
      <c r="E49" s="12">
        <v>26.57</v>
      </c>
      <c r="F49" t="s">
        <v>121</v>
      </c>
      <c r="H49" s="21"/>
      <c r="O49" t="s">
        <v>131</v>
      </c>
      <c r="W49" t="s">
        <v>134</v>
      </c>
    </row>
    <row r="50" spans="1:23" x14ac:dyDescent="0.25">
      <c r="A50" t="s">
        <v>33</v>
      </c>
      <c r="B50" s="10">
        <f>191358/12000</f>
        <v>15.9465</v>
      </c>
      <c r="C50" t="s">
        <v>64</v>
      </c>
      <c r="D50" s="11">
        <v>13687</v>
      </c>
      <c r="E50" s="12">
        <v>48.58</v>
      </c>
      <c r="F50" t="s">
        <v>121</v>
      </c>
      <c r="H50" s="19"/>
      <c r="O50" t="s">
        <v>122</v>
      </c>
      <c r="P50" t="s">
        <v>123</v>
      </c>
      <c r="Q50" t="s">
        <v>124</v>
      </c>
      <c r="R50" t="s">
        <v>39</v>
      </c>
      <c r="S50" t="s">
        <v>125</v>
      </c>
      <c r="T50" t="s">
        <v>126</v>
      </c>
      <c r="U50" t="s">
        <v>127</v>
      </c>
      <c r="W50" t="s">
        <v>135</v>
      </c>
    </row>
    <row r="51" spans="1:23" x14ac:dyDescent="0.25">
      <c r="A51" t="s">
        <v>34</v>
      </c>
      <c r="B51" s="10">
        <f>191358/12000</f>
        <v>15.9465</v>
      </c>
      <c r="C51" t="s">
        <v>83</v>
      </c>
      <c r="D51" s="11">
        <v>16845</v>
      </c>
      <c r="E51" s="12">
        <v>28.19</v>
      </c>
      <c r="F51" t="s">
        <v>121</v>
      </c>
      <c r="O51" s="14">
        <v>0.625</v>
      </c>
      <c r="P51" s="14" t="str">
        <f>"Check Valve "&amp;Table25[[#This Row],[Size]]</f>
        <v>Check Valve 0,625</v>
      </c>
      <c r="Q51">
        <v>445</v>
      </c>
      <c r="R51" t="s">
        <v>128</v>
      </c>
      <c r="S51" t="s">
        <v>129</v>
      </c>
      <c r="T51" t="s">
        <v>129</v>
      </c>
      <c r="U51" t="str">
        <f>Table25[[#This Row],[Name]]&amp;" "&amp;$U$39&amp;" "&amp;INDEX(Table25[[Danfos]:[CB Supplies]],MATCH(Table25[[#This Row],[Name]],Table25[Name],0),MATCH($U$39,Table25[[#Headers],[Danfos]:[CB Supplies]],0))</f>
        <v>Check Valve 0,625 Copeland eer</v>
      </c>
    </row>
    <row r="52" spans="1:23" x14ac:dyDescent="0.25">
      <c r="A52" t="s">
        <v>34</v>
      </c>
      <c r="B52" s="10">
        <f>191358/12000</f>
        <v>15.9465</v>
      </c>
      <c r="C52" t="s">
        <v>76</v>
      </c>
      <c r="D52" s="11">
        <v>16845</v>
      </c>
      <c r="E52" s="12">
        <v>23.5</v>
      </c>
      <c r="F52" t="s">
        <v>121</v>
      </c>
      <c r="O52" s="14">
        <v>0.82499999999999996</v>
      </c>
      <c r="P52" s="14" t="str">
        <f>"Check Valve "&amp;Table25[[#This Row],[Size]]</f>
        <v>Check Valve 0,825</v>
      </c>
      <c r="Q52">
        <v>234</v>
      </c>
      <c r="R52" t="s">
        <v>129</v>
      </c>
      <c r="S52" t="s">
        <v>129</v>
      </c>
      <c r="U52" t="str">
        <f>Table25[[#This Row],[Name]]&amp;" "&amp;$U$39&amp;" "&amp;INDEX(Table25[[Danfos]:[CB Supplies]],MATCH(Table25[[#This Row],[Name]],Table25[Name],0),MATCH($U$39,Table25[[#Headers],[Danfos]:[CB Supplies]],0))</f>
        <v>Check Valve 0,825 Copeland ere</v>
      </c>
    </row>
    <row r="53" spans="1:23" x14ac:dyDescent="0.25">
      <c r="A53" t="s">
        <v>117</v>
      </c>
      <c r="B53" s="10">
        <f>197196.7/12000</f>
        <v>16.433058333333335</v>
      </c>
      <c r="C53" t="s">
        <v>76</v>
      </c>
      <c r="D53" s="11">
        <v>20112</v>
      </c>
      <c r="E53" s="12">
        <v>27.47</v>
      </c>
      <c r="F53" t="s">
        <v>121</v>
      </c>
      <c r="O53" s="14">
        <v>1.125</v>
      </c>
      <c r="P53" s="14" t="str">
        <f>"Check Valve "&amp;Table25[[#This Row],[Size]]</f>
        <v>Check Valve 1,125</v>
      </c>
      <c r="U53" t="str">
        <f>Table25[[#This Row],[Name]]&amp;" "&amp;$U$39&amp;" "&amp;INDEX(Table25[[Danfos]:[CB Supplies]],MATCH(Table25[[#This Row],[Name]],Table25[Name],0),MATCH($U$39,Table25[[#Headers],[Danfos]:[CB Supplies]],0))</f>
        <v xml:space="preserve">Check Valve 1,125 Copeland </v>
      </c>
    </row>
    <row r="54" spans="1:23" x14ac:dyDescent="0.25">
      <c r="A54" t="s">
        <v>117</v>
      </c>
      <c r="B54" s="10">
        <f>197196.7/12000</f>
        <v>16.433058333333335</v>
      </c>
      <c r="C54" t="s">
        <v>83</v>
      </c>
      <c r="D54" s="11">
        <v>20112</v>
      </c>
      <c r="E54" s="12">
        <v>32.909999999999997</v>
      </c>
      <c r="F54" t="s">
        <v>121</v>
      </c>
      <c r="O54" s="14">
        <v>1.375</v>
      </c>
      <c r="P54" s="14" t="str">
        <f>"Check Valve "&amp;Table25[[#This Row],[Size]]</f>
        <v>Check Valve 1,375</v>
      </c>
      <c r="U54" t="str">
        <f>Table25[[#This Row],[Name]]&amp;" "&amp;$U$39&amp;" "&amp;INDEX(Table25[[Danfos]:[CB Supplies]],MATCH(Table25[[#This Row],[Name]],Table25[Name],0),MATCH($U$39,Table25[[#Headers],[Danfos]:[CB Supplies]],0))</f>
        <v xml:space="preserve">Check Valve 1,375 Copeland </v>
      </c>
    </row>
    <row r="55" spans="1:23" x14ac:dyDescent="0.25">
      <c r="A55" s="8" t="s">
        <v>40</v>
      </c>
      <c r="B55" s="10">
        <f>161.5/12</f>
        <v>13.458333333333334</v>
      </c>
      <c r="C55" t="s">
        <v>64</v>
      </c>
      <c r="D55" s="11">
        <v>14400</v>
      </c>
      <c r="E55" s="12">
        <v>40.4</v>
      </c>
      <c r="F55" t="s">
        <v>121</v>
      </c>
      <c r="O55" s="14">
        <v>1.625</v>
      </c>
      <c r="P55" s="14" t="str">
        <f>"Check Valve "&amp;Table25[[#This Row],[Size]]</f>
        <v>Check Valve 1,625</v>
      </c>
      <c r="U55" t="str">
        <f>Table25[[#This Row],[Name]]&amp;" "&amp;$U$39&amp;" "&amp;INDEX(Table25[[Danfos]:[CB Supplies]],MATCH(Table25[[#This Row],[Name]],Table25[Name],0),MATCH($U$39,Table25[[#Headers],[Danfos]:[CB Supplies]],0))</f>
        <v xml:space="preserve">Check Valve 1,625 Copeland </v>
      </c>
    </row>
    <row r="56" spans="1:23" x14ac:dyDescent="0.25">
      <c r="A56" s="8" t="s">
        <v>41</v>
      </c>
      <c r="B56" s="10">
        <f>156000/12000</f>
        <v>13</v>
      </c>
      <c r="C56" t="s">
        <v>83</v>
      </c>
      <c r="D56" s="11">
        <v>14100</v>
      </c>
      <c r="E56" s="12">
        <f>19*460/480</f>
        <v>18.208333333333332</v>
      </c>
      <c r="F56" t="s">
        <v>121</v>
      </c>
      <c r="O56" s="14">
        <v>2.125</v>
      </c>
      <c r="P56" s="14" t="str">
        <f>"Check Valve "&amp;Table25[[#This Row],[Size]]</f>
        <v>Check Valve 2,125</v>
      </c>
      <c r="U56" t="str">
        <f>Table25[[#This Row],[Name]]&amp;" "&amp;$U$39&amp;" "&amp;INDEX(Table25[[Danfos]:[CB Supplies]],MATCH(Table25[[#This Row],[Name]],Table25[Name],0),MATCH($U$39,Table25[[#Headers],[Danfos]:[CB Supplies]],0))</f>
        <v xml:space="preserve">Check Valve 2,125 Copeland </v>
      </c>
    </row>
    <row r="57" spans="1:23" x14ac:dyDescent="0.25">
      <c r="A57" s="8" t="s">
        <v>41</v>
      </c>
      <c r="B57" s="10">
        <f>156000/12000</f>
        <v>13</v>
      </c>
      <c r="C57" t="s">
        <v>76</v>
      </c>
      <c r="D57" s="11">
        <v>14100</v>
      </c>
      <c r="E57" s="12">
        <f>19*460/575</f>
        <v>15.2</v>
      </c>
      <c r="F57" t="s">
        <v>121</v>
      </c>
    </row>
    <row r="58" spans="1:23" x14ac:dyDescent="0.25">
      <c r="A58" t="s">
        <v>42</v>
      </c>
      <c r="B58" s="10">
        <f>223/12</f>
        <v>18.583333333333332</v>
      </c>
      <c r="C58" t="s">
        <v>64</v>
      </c>
      <c r="D58" s="11">
        <v>21600</v>
      </c>
      <c r="E58" s="12">
        <v>74.099999999999994</v>
      </c>
      <c r="F58" t="s">
        <v>121</v>
      </c>
    </row>
    <row r="59" spans="1:23" x14ac:dyDescent="0.25">
      <c r="A59" t="s">
        <v>43</v>
      </c>
      <c r="B59" s="10">
        <f>224/12</f>
        <v>18.666666666666668</v>
      </c>
      <c r="C59" t="s">
        <v>83</v>
      </c>
      <c r="D59" s="11">
        <v>21400</v>
      </c>
      <c r="E59" s="12">
        <f>36.7*460/480</f>
        <v>35.170833333333334</v>
      </c>
      <c r="F59" t="s">
        <v>121</v>
      </c>
    </row>
    <row r="60" spans="1:23" x14ac:dyDescent="0.25">
      <c r="A60" t="s">
        <v>43</v>
      </c>
      <c r="B60" s="10">
        <f>224/12</f>
        <v>18.666666666666668</v>
      </c>
      <c r="C60" t="s">
        <v>76</v>
      </c>
      <c r="D60" s="11">
        <v>21400</v>
      </c>
      <c r="E60" s="12">
        <f>36.7*460/575</f>
        <v>29.36</v>
      </c>
      <c r="F60" t="s">
        <v>121</v>
      </c>
    </row>
    <row r="64" spans="1:23" ht="30" x14ac:dyDescent="0.25">
      <c r="A64" s="4" t="s">
        <v>3</v>
      </c>
      <c r="B64" s="4" t="s">
        <v>136</v>
      </c>
      <c r="C64" s="4" t="s">
        <v>137</v>
      </c>
      <c r="D64" s="4" t="s">
        <v>138</v>
      </c>
      <c r="E64" s="4" t="s">
        <v>139</v>
      </c>
      <c r="F64" s="4" t="s">
        <v>6</v>
      </c>
      <c r="G64" s="4" t="s">
        <v>140</v>
      </c>
      <c r="H64" s="4" t="s">
        <v>141</v>
      </c>
      <c r="I64" s="4" t="s">
        <v>142</v>
      </c>
      <c r="J64" s="4" t="s">
        <v>143</v>
      </c>
      <c r="K64" s="4" t="s">
        <v>144</v>
      </c>
      <c r="L64" s="4" t="s">
        <v>145</v>
      </c>
      <c r="M64" s="4" t="s">
        <v>146</v>
      </c>
      <c r="N64" s="4" t="s">
        <v>147</v>
      </c>
      <c r="O64" s="4" t="s">
        <v>148</v>
      </c>
      <c r="P64" s="4" t="s">
        <v>149</v>
      </c>
      <c r="Q64" s="4" t="s">
        <v>150</v>
      </c>
    </row>
    <row r="65" spans="1:17" x14ac:dyDescent="0.25">
      <c r="A65" s="22">
        <v>18</v>
      </c>
      <c r="B65" t="s">
        <v>151</v>
      </c>
      <c r="C65" t="s">
        <v>152</v>
      </c>
      <c r="D65" s="23">
        <f>219</f>
        <v>219</v>
      </c>
      <c r="E65" s="23"/>
      <c r="F65" t="s">
        <v>27</v>
      </c>
      <c r="G65" s="24">
        <v>100</v>
      </c>
      <c r="H65" s="24">
        <v>41</v>
      </c>
      <c r="I65" s="24">
        <v>5</v>
      </c>
      <c r="J65" s="24" t="s">
        <v>153</v>
      </c>
      <c r="K65" s="24" t="s">
        <v>153</v>
      </c>
      <c r="L65" s="24" t="s">
        <v>153</v>
      </c>
      <c r="M65" s="25" t="s">
        <v>154</v>
      </c>
      <c r="N65" s="24">
        <v>54</v>
      </c>
      <c r="O65" s="24">
        <v>44</v>
      </c>
      <c r="P65" s="26">
        <f>Capacity_Selection[[#This Row],[Evaporator Capacity]]/12</f>
        <v>18.25</v>
      </c>
      <c r="Q65" s="27">
        <f>Capacity_Selection[[#This Row],[Condenser Capacity]]/3.413</f>
        <v>0</v>
      </c>
    </row>
    <row r="66" spans="1:17" x14ac:dyDescent="0.25">
      <c r="A66" s="22">
        <v>25</v>
      </c>
      <c r="B66" t="s">
        <v>151</v>
      </c>
      <c r="C66" t="s">
        <v>152</v>
      </c>
      <c r="D66" s="23">
        <f>147*2</f>
        <v>294</v>
      </c>
      <c r="E66" s="23"/>
      <c r="F66" t="s">
        <v>27</v>
      </c>
      <c r="G66" s="24">
        <v>100</v>
      </c>
      <c r="H66" s="24">
        <v>41</v>
      </c>
      <c r="I66" s="24">
        <v>5</v>
      </c>
      <c r="J66" s="24" t="s">
        <v>153</v>
      </c>
      <c r="K66" s="24" t="s">
        <v>153</v>
      </c>
      <c r="L66" s="24" t="s">
        <v>153</v>
      </c>
      <c r="M66" s="25" t="s">
        <v>154</v>
      </c>
      <c r="N66" s="24">
        <v>54</v>
      </c>
      <c r="O66" s="24">
        <v>44</v>
      </c>
      <c r="P66" s="26">
        <f>Capacity_Selection[[#This Row],[Evaporator Capacity]]/12</f>
        <v>24.5</v>
      </c>
      <c r="Q66" s="27">
        <f>Capacity_Selection[[#This Row],[Condenser Capacity]]/3.413</f>
        <v>0</v>
      </c>
    </row>
    <row r="67" spans="1:17" x14ac:dyDescent="0.25">
      <c r="A67" s="22">
        <v>36</v>
      </c>
      <c r="B67" t="s">
        <v>151</v>
      </c>
      <c r="C67" t="s">
        <v>152</v>
      </c>
      <c r="D67" s="23">
        <f>219*2</f>
        <v>438</v>
      </c>
      <c r="E67" s="23"/>
      <c r="F67" t="s">
        <v>27</v>
      </c>
      <c r="G67" s="24">
        <v>100</v>
      </c>
      <c r="H67" s="24">
        <v>41</v>
      </c>
      <c r="I67" s="24">
        <v>5</v>
      </c>
      <c r="J67" s="24" t="s">
        <v>153</v>
      </c>
      <c r="K67" s="24" t="s">
        <v>153</v>
      </c>
      <c r="L67" s="24" t="s">
        <v>153</v>
      </c>
      <c r="M67" s="25" t="s">
        <v>154</v>
      </c>
      <c r="N67" s="24">
        <v>54</v>
      </c>
      <c r="O67" s="24">
        <v>44</v>
      </c>
      <c r="P67" s="26">
        <f>Capacity_Selection[[#This Row],[Evaporator Capacity]]/12</f>
        <v>36.5</v>
      </c>
      <c r="Q67" s="27">
        <f>Capacity_Selection[[#This Row],[Condenser Capacity]]/3.413</f>
        <v>0</v>
      </c>
    </row>
    <row r="68" spans="1:17" x14ac:dyDescent="0.25">
      <c r="A68" s="22">
        <v>55</v>
      </c>
      <c r="B68" t="s">
        <v>151</v>
      </c>
      <c r="C68" t="s">
        <v>152</v>
      </c>
      <c r="D68" s="23">
        <f>219*3</f>
        <v>657</v>
      </c>
      <c r="E68" s="23"/>
      <c r="F68" t="s">
        <v>27</v>
      </c>
      <c r="G68" s="24">
        <v>100</v>
      </c>
      <c r="H68" s="24">
        <v>41</v>
      </c>
      <c r="I68" s="24">
        <v>5</v>
      </c>
      <c r="J68" s="24" t="s">
        <v>153</v>
      </c>
      <c r="K68" s="24" t="s">
        <v>153</v>
      </c>
      <c r="L68" s="24" t="s">
        <v>153</v>
      </c>
      <c r="M68" s="25" t="s">
        <v>154</v>
      </c>
      <c r="N68" s="24">
        <v>54</v>
      </c>
      <c r="O68" s="24">
        <v>44</v>
      </c>
      <c r="P68" s="26">
        <f>Capacity_Selection[[#This Row],[Evaporator Capacity]]/12</f>
        <v>54.75</v>
      </c>
      <c r="Q68" s="27">
        <f>Capacity_Selection[[#This Row],[Condenser Capacity]]/3.413</f>
        <v>0</v>
      </c>
    </row>
    <row r="69" spans="1:17" x14ac:dyDescent="0.25">
      <c r="A69" s="22">
        <f>A66*2</f>
        <v>50</v>
      </c>
      <c r="B69" t="s">
        <v>151</v>
      </c>
      <c r="C69" t="s">
        <v>155</v>
      </c>
      <c r="D69" s="23">
        <f>147*4</f>
        <v>588</v>
      </c>
      <c r="E69" s="23"/>
      <c r="F69" t="s">
        <v>27</v>
      </c>
      <c r="G69" s="24">
        <v>100</v>
      </c>
      <c r="H69" s="24">
        <v>41</v>
      </c>
      <c r="I69" s="24">
        <v>5</v>
      </c>
      <c r="J69" s="24" t="s">
        <v>153</v>
      </c>
      <c r="K69" s="24" t="s">
        <v>153</v>
      </c>
      <c r="L69" s="24" t="s">
        <v>153</v>
      </c>
      <c r="M69" s="25" t="s">
        <v>154</v>
      </c>
      <c r="N69" s="24">
        <v>54</v>
      </c>
      <c r="O69" s="24">
        <v>44</v>
      </c>
      <c r="P69" s="26">
        <f>Capacity_Selection[[#This Row],[Evaporator Capacity]]/12</f>
        <v>49</v>
      </c>
      <c r="Q69" s="27">
        <f>Capacity_Selection[[#This Row],[Condenser Capacity]]/3.413</f>
        <v>0</v>
      </c>
    </row>
    <row r="70" spans="1:17" x14ac:dyDescent="0.25">
      <c r="A70" s="22">
        <f t="shared" ref="A70:A71" si="2">A67*2</f>
        <v>72</v>
      </c>
      <c r="B70" t="s">
        <v>151</v>
      </c>
      <c r="C70" t="s">
        <v>155</v>
      </c>
      <c r="D70" s="23">
        <f>219*4</f>
        <v>876</v>
      </c>
      <c r="E70" s="23"/>
      <c r="F70" t="s">
        <v>27</v>
      </c>
      <c r="G70" s="24">
        <v>100</v>
      </c>
      <c r="H70" s="24">
        <v>41</v>
      </c>
      <c r="I70" s="24">
        <v>5</v>
      </c>
      <c r="J70" s="24" t="s">
        <v>153</v>
      </c>
      <c r="K70" s="24" t="s">
        <v>153</v>
      </c>
      <c r="L70" s="24" t="s">
        <v>153</v>
      </c>
      <c r="M70" s="25" t="s">
        <v>154</v>
      </c>
      <c r="N70" s="24">
        <v>54</v>
      </c>
      <c r="O70" s="24">
        <v>44</v>
      </c>
      <c r="P70" s="26">
        <f>Capacity_Selection[[#This Row],[Evaporator Capacity]]/12</f>
        <v>73</v>
      </c>
      <c r="Q70" s="27">
        <f>Capacity_Selection[[#This Row],[Condenser Capacity]]/3.413</f>
        <v>0</v>
      </c>
    </row>
    <row r="71" spans="1:17" x14ac:dyDescent="0.25">
      <c r="A71" s="22">
        <f t="shared" si="2"/>
        <v>110</v>
      </c>
      <c r="B71" t="s">
        <v>151</v>
      </c>
      <c r="C71" t="s">
        <v>155</v>
      </c>
      <c r="D71" s="23">
        <f>219*6</f>
        <v>1314</v>
      </c>
      <c r="E71" s="23"/>
      <c r="F71" t="s">
        <v>27</v>
      </c>
      <c r="G71" s="24">
        <v>100</v>
      </c>
      <c r="H71" s="24">
        <v>41</v>
      </c>
      <c r="I71" s="24">
        <v>5</v>
      </c>
      <c r="J71" s="24" t="s">
        <v>153</v>
      </c>
      <c r="K71" s="24" t="s">
        <v>153</v>
      </c>
      <c r="L71" s="24" t="s">
        <v>153</v>
      </c>
      <c r="M71" s="25" t="s">
        <v>154</v>
      </c>
      <c r="N71" s="24">
        <v>54</v>
      </c>
      <c r="O71" s="24">
        <v>44</v>
      </c>
      <c r="P71" s="26">
        <f>Capacity_Selection[[#This Row],[Evaporator Capacity]]/12</f>
        <v>109.5</v>
      </c>
      <c r="Q71" s="27">
        <f>Capacity_Selection[[#This Row],[Condenser Capacity]]/3.413</f>
        <v>0</v>
      </c>
    </row>
    <row r="72" spans="1:17" x14ac:dyDescent="0.25">
      <c r="A72" s="22">
        <v>18</v>
      </c>
      <c r="B72" t="s">
        <v>156</v>
      </c>
      <c r="C72" t="s">
        <v>152</v>
      </c>
      <c r="D72" s="24" t="s">
        <v>153</v>
      </c>
      <c r="E72" s="23">
        <f>280</f>
        <v>280</v>
      </c>
      <c r="F72" t="s">
        <v>27</v>
      </c>
      <c r="G72" s="24" t="s">
        <v>153</v>
      </c>
      <c r="H72" s="24" t="s">
        <v>153</v>
      </c>
      <c r="I72" s="24" t="s">
        <v>153</v>
      </c>
      <c r="J72" s="24">
        <v>170</v>
      </c>
      <c r="K72" s="24">
        <v>110</v>
      </c>
      <c r="L72" s="24">
        <v>10</v>
      </c>
      <c r="M72" s="25" t="s">
        <v>154</v>
      </c>
      <c r="N72" s="24">
        <v>95</v>
      </c>
      <c r="O72" s="24">
        <v>105</v>
      </c>
      <c r="P72" s="24" t="s">
        <v>153</v>
      </c>
      <c r="Q72" s="27">
        <f>Capacity_Selection[[#This Row],[Condenser Capacity]]/3.413</f>
        <v>82.039261646645187</v>
      </c>
    </row>
    <row r="73" spans="1:17" x14ac:dyDescent="0.25">
      <c r="A73" s="22">
        <v>25</v>
      </c>
      <c r="B73" t="s">
        <v>156</v>
      </c>
      <c r="C73" t="s">
        <v>152</v>
      </c>
      <c r="D73" s="24" t="s">
        <v>153</v>
      </c>
      <c r="E73" s="23">
        <f>189*2</f>
        <v>378</v>
      </c>
      <c r="F73" t="s">
        <v>27</v>
      </c>
      <c r="G73" s="24" t="s">
        <v>153</v>
      </c>
      <c r="H73" s="24" t="s">
        <v>153</v>
      </c>
      <c r="I73" s="24" t="s">
        <v>153</v>
      </c>
      <c r="J73" s="24">
        <v>170</v>
      </c>
      <c r="K73" s="24">
        <v>110</v>
      </c>
      <c r="L73" s="24">
        <v>10</v>
      </c>
      <c r="M73" s="25" t="s">
        <v>154</v>
      </c>
      <c r="N73" s="24">
        <v>95</v>
      </c>
      <c r="O73" s="24">
        <v>105</v>
      </c>
      <c r="P73" s="24" t="s">
        <v>153</v>
      </c>
      <c r="Q73" s="27">
        <f>Capacity_Selection[[#This Row],[Condenser Capacity]]/3.413</f>
        <v>110.753003222971</v>
      </c>
    </row>
    <row r="74" spans="1:17" x14ac:dyDescent="0.25">
      <c r="A74" s="22">
        <v>36</v>
      </c>
      <c r="B74" t="s">
        <v>156</v>
      </c>
      <c r="C74" t="s">
        <v>152</v>
      </c>
      <c r="D74" s="24" t="s">
        <v>153</v>
      </c>
      <c r="E74" s="23">
        <f>280*2</f>
        <v>560</v>
      </c>
      <c r="F74" t="s">
        <v>27</v>
      </c>
      <c r="G74" s="24" t="s">
        <v>153</v>
      </c>
      <c r="H74" s="24" t="s">
        <v>153</v>
      </c>
      <c r="I74" s="24" t="s">
        <v>153</v>
      </c>
      <c r="J74" s="24">
        <v>170</v>
      </c>
      <c r="K74" s="24">
        <v>110</v>
      </c>
      <c r="L74" s="24">
        <v>10</v>
      </c>
      <c r="M74" s="25" t="s">
        <v>154</v>
      </c>
      <c r="N74" s="24">
        <v>95</v>
      </c>
      <c r="O74" s="24">
        <v>105</v>
      </c>
      <c r="P74" s="24" t="s">
        <v>153</v>
      </c>
      <c r="Q74" s="27">
        <f>Capacity_Selection[[#This Row],[Condenser Capacity]]/3.413</f>
        <v>164.07852329329037</v>
      </c>
    </row>
    <row r="75" spans="1:17" x14ac:dyDescent="0.25">
      <c r="A75" s="22">
        <v>55</v>
      </c>
      <c r="B75" t="s">
        <v>156</v>
      </c>
      <c r="C75" t="s">
        <v>152</v>
      </c>
      <c r="D75" s="24" t="s">
        <v>153</v>
      </c>
      <c r="E75" s="23">
        <f>280*3</f>
        <v>840</v>
      </c>
      <c r="F75" t="s">
        <v>27</v>
      </c>
      <c r="G75" s="24" t="s">
        <v>153</v>
      </c>
      <c r="H75" s="24" t="s">
        <v>153</v>
      </c>
      <c r="I75" s="24" t="s">
        <v>153</v>
      </c>
      <c r="J75" s="24">
        <v>170</v>
      </c>
      <c r="K75" s="24">
        <v>110</v>
      </c>
      <c r="L75" s="24">
        <v>10</v>
      </c>
      <c r="M75" s="25" t="s">
        <v>154</v>
      </c>
      <c r="N75" s="24">
        <v>95</v>
      </c>
      <c r="O75" s="24">
        <v>105</v>
      </c>
      <c r="P75" s="24" t="s">
        <v>153</v>
      </c>
      <c r="Q75" s="27">
        <f>Capacity_Selection[[#This Row],[Condenser Capacity]]/3.413</f>
        <v>246.11778493993555</v>
      </c>
    </row>
    <row r="76" spans="1:17" x14ac:dyDescent="0.25">
      <c r="A76" s="22">
        <f>A73*2</f>
        <v>50</v>
      </c>
      <c r="B76" t="s">
        <v>156</v>
      </c>
      <c r="C76" t="s">
        <v>155</v>
      </c>
      <c r="D76" s="24" t="s">
        <v>153</v>
      </c>
      <c r="E76" s="23">
        <f>E73*2</f>
        <v>756</v>
      </c>
      <c r="F76" t="s">
        <v>27</v>
      </c>
      <c r="G76" s="24" t="s">
        <v>153</v>
      </c>
      <c r="H76" s="24" t="s">
        <v>153</v>
      </c>
      <c r="I76" s="24" t="s">
        <v>153</v>
      </c>
      <c r="J76" s="24">
        <v>170</v>
      </c>
      <c r="K76" s="24">
        <v>110</v>
      </c>
      <c r="L76" s="24">
        <v>10</v>
      </c>
      <c r="M76" s="25" t="s">
        <v>154</v>
      </c>
      <c r="N76" s="24">
        <v>95</v>
      </c>
      <c r="O76" s="24">
        <v>105</v>
      </c>
      <c r="P76" s="24" t="s">
        <v>153</v>
      </c>
      <c r="Q76" s="27">
        <f>Capacity_Selection[[#This Row],[Condenser Capacity]]/3.413</f>
        <v>221.50600644594201</v>
      </c>
    </row>
    <row r="77" spans="1:17" x14ac:dyDescent="0.25">
      <c r="A77" s="22">
        <f t="shared" ref="A77:A78" si="3">A74*2</f>
        <v>72</v>
      </c>
      <c r="B77" t="s">
        <v>156</v>
      </c>
      <c r="C77" t="s">
        <v>155</v>
      </c>
      <c r="D77" s="24" t="s">
        <v>153</v>
      </c>
      <c r="E77" s="23">
        <f t="shared" ref="E77:E78" si="4">E74*2</f>
        <v>1120</v>
      </c>
      <c r="F77" t="s">
        <v>27</v>
      </c>
      <c r="G77" s="24" t="s">
        <v>153</v>
      </c>
      <c r="H77" s="24" t="s">
        <v>153</v>
      </c>
      <c r="I77" s="24" t="s">
        <v>153</v>
      </c>
      <c r="J77" s="24">
        <v>170</v>
      </c>
      <c r="K77" s="24">
        <v>110</v>
      </c>
      <c r="L77" s="24">
        <v>10</v>
      </c>
      <c r="M77" s="25" t="s">
        <v>154</v>
      </c>
      <c r="N77" s="24">
        <v>95</v>
      </c>
      <c r="O77" s="24">
        <v>105</v>
      </c>
      <c r="P77" s="24" t="s">
        <v>153</v>
      </c>
      <c r="Q77" s="27">
        <f>Capacity_Selection[[#This Row],[Condenser Capacity]]/3.413</f>
        <v>328.15704658658075</v>
      </c>
    </row>
    <row r="78" spans="1:17" x14ac:dyDescent="0.25">
      <c r="A78" s="22">
        <f t="shared" si="3"/>
        <v>110</v>
      </c>
      <c r="B78" t="s">
        <v>156</v>
      </c>
      <c r="C78" t="s">
        <v>155</v>
      </c>
      <c r="D78" s="24" t="s">
        <v>153</v>
      </c>
      <c r="E78" s="23">
        <f t="shared" si="4"/>
        <v>1680</v>
      </c>
      <c r="F78" t="s">
        <v>27</v>
      </c>
      <c r="G78" s="24" t="s">
        <v>153</v>
      </c>
      <c r="H78" s="24" t="s">
        <v>153</v>
      </c>
      <c r="I78" s="24" t="s">
        <v>153</v>
      </c>
      <c r="J78" s="24">
        <v>170</v>
      </c>
      <c r="K78" s="24">
        <v>110</v>
      </c>
      <c r="L78" s="24">
        <v>10</v>
      </c>
      <c r="M78" s="25" t="s">
        <v>154</v>
      </c>
      <c r="N78" s="24">
        <v>95</v>
      </c>
      <c r="O78" s="24">
        <v>105</v>
      </c>
      <c r="P78" s="24" t="s">
        <v>153</v>
      </c>
      <c r="Q78" s="27">
        <f>Capacity_Selection[[#This Row],[Condenser Capacity]]/3.413</f>
        <v>492.23556987987109</v>
      </c>
    </row>
    <row r="79" spans="1:17" x14ac:dyDescent="0.25">
      <c r="A79" s="22">
        <v>18</v>
      </c>
      <c r="B79" t="s">
        <v>157</v>
      </c>
      <c r="C79" t="s">
        <v>152</v>
      </c>
      <c r="D79" s="23">
        <f>219</f>
        <v>219</v>
      </c>
      <c r="E79" s="23">
        <f>280</f>
        <v>280</v>
      </c>
      <c r="F79" t="s">
        <v>27</v>
      </c>
      <c r="G79" s="24">
        <v>100</v>
      </c>
      <c r="H79" s="24">
        <v>41</v>
      </c>
      <c r="I79" s="24">
        <v>5</v>
      </c>
      <c r="J79" s="24">
        <v>170</v>
      </c>
      <c r="K79" s="24">
        <v>110</v>
      </c>
      <c r="L79" s="24">
        <v>10</v>
      </c>
      <c r="M79" s="25" t="s">
        <v>154</v>
      </c>
      <c r="N79" s="24">
        <v>95</v>
      </c>
      <c r="O79" s="24">
        <v>105</v>
      </c>
      <c r="P79" s="26">
        <f>Capacity_Selection[[#This Row],[Evaporator Capacity]]/12</f>
        <v>18.25</v>
      </c>
      <c r="Q79" s="27">
        <f>Capacity_Selection[[#This Row],[Condenser Capacity]]/3.413</f>
        <v>82.039261646645187</v>
      </c>
    </row>
    <row r="80" spans="1:17" x14ac:dyDescent="0.25">
      <c r="A80" s="22">
        <v>25</v>
      </c>
      <c r="B80" t="s">
        <v>157</v>
      </c>
      <c r="C80" t="s">
        <v>152</v>
      </c>
      <c r="D80" s="23">
        <f>147*2</f>
        <v>294</v>
      </c>
      <c r="E80" s="23">
        <f>189*2</f>
        <v>378</v>
      </c>
      <c r="F80" t="s">
        <v>27</v>
      </c>
      <c r="G80" s="24">
        <v>100</v>
      </c>
      <c r="H80" s="24">
        <v>41</v>
      </c>
      <c r="I80" s="24">
        <v>5</v>
      </c>
      <c r="J80" s="24">
        <v>170</v>
      </c>
      <c r="K80" s="24">
        <v>110</v>
      </c>
      <c r="L80" s="24">
        <v>10</v>
      </c>
      <c r="M80" s="25" t="s">
        <v>154</v>
      </c>
      <c r="N80" s="24">
        <v>95</v>
      </c>
      <c r="O80" s="24">
        <v>105</v>
      </c>
      <c r="P80" s="26">
        <f>Capacity_Selection[[#This Row],[Evaporator Capacity]]/12</f>
        <v>24.5</v>
      </c>
      <c r="Q80" s="27">
        <f>Capacity_Selection[[#This Row],[Condenser Capacity]]/3.413</f>
        <v>110.753003222971</v>
      </c>
    </row>
    <row r="81" spans="1:17" x14ac:dyDescent="0.25">
      <c r="A81" s="22">
        <v>36</v>
      </c>
      <c r="B81" t="s">
        <v>157</v>
      </c>
      <c r="C81" t="s">
        <v>152</v>
      </c>
      <c r="D81" s="23">
        <f>219*2</f>
        <v>438</v>
      </c>
      <c r="E81" s="23">
        <f>280*2</f>
        <v>560</v>
      </c>
      <c r="F81" t="s">
        <v>27</v>
      </c>
      <c r="G81" s="24">
        <v>100</v>
      </c>
      <c r="H81" s="24">
        <v>41</v>
      </c>
      <c r="I81" s="24">
        <v>5</v>
      </c>
      <c r="J81" s="24">
        <v>170</v>
      </c>
      <c r="K81" s="24">
        <v>110</v>
      </c>
      <c r="L81" s="24">
        <v>10</v>
      </c>
      <c r="M81" s="25" t="s">
        <v>154</v>
      </c>
      <c r="N81" s="24">
        <v>95</v>
      </c>
      <c r="O81" s="24">
        <v>105</v>
      </c>
      <c r="P81" s="26">
        <f>Capacity_Selection[[#This Row],[Evaporator Capacity]]/12</f>
        <v>36.5</v>
      </c>
      <c r="Q81" s="27">
        <f>Capacity_Selection[[#This Row],[Condenser Capacity]]/3.413</f>
        <v>164.07852329329037</v>
      </c>
    </row>
    <row r="82" spans="1:17" x14ac:dyDescent="0.25">
      <c r="A82" s="22">
        <v>55</v>
      </c>
      <c r="B82" t="s">
        <v>157</v>
      </c>
      <c r="C82" t="s">
        <v>152</v>
      </c>
      <c r="D82" s="23">
        <f>219*3</f>
        <v>657</v>
      </c>
      <c r="E82" s="23">
        <f>280*3</f>
        <v>840</v>
      </c>
      <c r="F82" t="s">
        <v>27</v>
      </c>
      <c r="G82" s="24">
        <v>100</v>
      </c>
      <c r="H82" s="24">
        <v>41</v>
      </c>
      <c r="I82" s="24">
        <v>5</v>
      </c>
      <c r="J82" s="24">
        <v>170</v>
      </c>
      <c r="K82" s="24">
        <v>110</v>
      </c>
      <c r="L82" s="24">
        <v>10</v>
      </c>
      <c r="M82" s="25" t="s">
        <v>154</v>
      </c>
      <c r="N82" s="24">
        <v>95</v>
      </c>
      <c r="O82" s="24">
        <v>105</v>
      </c>
      <c r="P82" s="26">
        <f>Capacity_Selection[[#This Row],[Evaporator Capacity]]/12</f>
        <v>54.75</v>
      </c>
      <c r="Q82" s="27">
        <f>Capacity_Selection[[#This Row],[Condenser Capacity]]/3.413</f>
        <v>246.11778493993555</v>
      </c>
    </row>
    <row r="83" spans="1:17" x14ac:dyDescent="0.25">
      <c r="A83" s="22">
        <f>A80*2</f>
        <v>50</v>
      </c>
      <c r="B83" t="s">
        <v>157</v>
      </c>
      <c r="C83" t="s">
        <v>155</v>
      </c>
      <c r="D83" s="23">
        <f>147*4</f>
        <v>588</v>
      </c>
      <c r="E83" s="23">
        <f>E80*2</f>
        <v>756</v>
      </c>
      <c r="F83" t="s">
        <v>27</v>
      </c>
      <c r="G83" s="24">
        <v>100</v>
      </c>
      <c r="H83" s="24">
        <v>41</v>
      </c>
      <c r="I83" s="24">
        <v>5</v>
      </c>
      <c r="J83" s="24">
        <v>170</v>
      </c>
      <c r="K83" s="24">
        <v>110</v>
      </c>
      <c r="L83" s="24">
        <v>10</v>
      </c>
      <c r="M83" s="25" t="s">
        <v>154</v>
      </c>
      <c r="N83" s="24">
        <v>95</v>
      </c>
      <c r="O83" s="24">
        <v>105</v>
      </c>
      <c r="P83" s="26">
        <f>Capacity_Selection[[#This Row],[Evaporator Capacity]]/12</f>
        <v>49</v>
      </c>
      <c r="Q83" s="27">
        <f>Capacity_Selection[[#This Row],[Condenser Capacity]]/3.413</f>
        <v>221.50600644594201</v>
      </c>
    </row>
    <row r="84" spans="1:17" x14ac:dyDescent="0.25">
      <c r="A84" s="22">
        <f t="shared" ref="A84:A85" si="5">A81*2</f>
        <v>72</v>
      </c>
      <c r="B84" t="s">
        <v>157</v>
      </c>
      <c r="C84" t="s">
        <v>155</v>
      </c>
      <c r="D84" s="23">
        <f>219*4</f>
        <v>876</v>
      </c>
      <c r="E84" s="23">
        <f t="shared" ref="E84:E85" si="6">E81*2</f>
        <v>1120</v>
      </c>
      <c r="F84" t="s">
        <v>27</v>
      </c>
      <c r="G84" s="24">
        <v>100</v>
      </c>
      <c r="H84" s="24">
        <v>41</v>
      </c>
      <c r="I84" s="24">
        <v>5</v>
      </c>
      <c r="J84" s="24">
        <v>170</v>
      </c>
      <c r="K84" s="24">
        <v>110</v>
      </c>
      <c r="L84" s="24">
        <v>10</v>
      </c>
      <c r="M84" s="25" t="s">
        <v>154</v>
      </c>
      <c r="N84" s="24">
        <v>95</v>
      </c>
      <c r="O84" s="24">
        <v>105</v>
      </c>
      <c r="P84" s="26">
        <f>Capacity_Selection[[#This Row],[Evaporator Capacity]]/12</f>
        <v>73</v>
      </c>
      <c r="Q84" s="27">
        <f>Capacity_Selection[[#This Row],[Condenser Capacity]]/3.413</f>
        <v>328.15704658658075</v>
      </c>
    </row>
    <row r="85" spans="1:17" x14ac:dyDescent="0.25">
      <c r="A85" s="22">
        <f t="shared" si="5"/>
        <v>110</v>
      </c>
      <c r="B85" t="s">
        <v>157</v>
      </c>
      <c r="C85" t="s">
        <v>155</v>
      </c>
      <c r="D85" s="23">
        <f>219*6</f>
        <v>1314</v>
      </c>
      <c r="E85" s="23">
        <f t="shared" si="6"/>
        <v>1680</v>
      </c>
      <c r="F85" t="s">
        <v>27</v>
      </c>
      <c r="G85" s="24">
        <v>100</v>
      </c>
      <c r="H85" s="24">
        <v>41</v>
      </c>
      <c r="I85" s="24">
        <v>5</v>
      </c>
      <c r="J85" s="24">
        <v>170</v>
      </c>
      <c r="K85" s="24">
        <v>110</v>
      </c>
      <c r="L85" s="24">
        <v>10</v>
      </c>
      <c r="M85" s="25" t="s">
        <v>154</v>
      </c>
      <c r="N85" s="24">
        <v>95</v>
      </c>
      <c r="O85" s="24">
        <v>105</v>
      </c>
      <c r="P85" s="26">
        <f>Capacity_Selection[[#This Row],[Evaporator Capacity]]/12</f>
        <v>109.5</v>
      </c>
      <c r="Q85" s="27">
        <f>Capacity_Selection[[#This Row],[Condenser Capacity]]/3.413</f>
        <v>492.23556987987109</v>
      </c>
    </row>
    <row r="87" spans="1:17" ht="45" x14ac:dyDescent="0.25">
      <c r="A87" s="4" t="s">
        <v>158</v>
      </c>
      <c r="B87" s="4" t="s">
        <v>159</v>
      </c>
      <c r="C87" s="4" t="s">
        <v>160</v>
      </c>
      <c r="D87" s="4" t="s">
        <v>161</v>
      </c>
      <c r="E87" s="4" t="s">
        <v>162</v>
      </c>
      <c r="F87" s="4" t="s">
        <v>163</v>
      </c>
      <c r="G87" s="4" t="s">
        <v>164</v>
      </c>
      <c r="H87" s="4" t="s">
        <v>165</v>
      </c>
      <c r="I87" s="4" t="s">
        <v>166</v>
      </c>
      <c r="J87" s="4" t="s">
        <v>167</v>
      </c>
      <c r="K87" s="4" t="s">
        <v>168</v>
      </c>
      <c r="L87" s="4" t="s">
        <v>169</v>
      </c>
      <c r="M87" s="4" t="s">
        <v>170</v>
      </c>
      <c r="N87" s="4" t="s">
        <v>171</v>
      </c>
      <c r="O87" s="4" t="s">
        <v>172</v>
      </c>
      <c r="P87" s="4" t="s">
        <v>173</v>
      </c>
    </row>
    <row r="88" spans="1:17" x14ac:dyDescent="0.25">
      <c r="A88" s="22">
        <v>18</v>
      </c>
      <c r="B88">
        <v>1</v>
      </c>
      <c r="C88">
        <v>1</v>
      </c>
      <c r="D88" t="s">
        <v>174</v>
      </c>
      <c r="E88" t="s">
        <v>175</v>
      </c>
      <c r="F88" t="s">
        <v>30</v>
      </c>
      <c r="G88">
        <f>HX_Selection[[#This Row],['# Circuit]]*2</f>
        <v>2</v>
      </c>
    </row>
    <row r="89" spans="1:17" x14ac:dyDescent="0.25">
      <c r="A89" s="22">
        <v>25</v>
      </c>
      <c r="B89">
        <v>1</v>
      </c>
      <c r="C89">
        <v>2</v>
      </c>
      <c r="D89" t="s">
        <v>176</v>
      </c>
      <c r="E89" s="8" t="s">
        <v>177</v>
      </c>
      <c r="F89" t="s">
        <v>35</v>
      </c>
      <c r="G89" s="8">
        <f>HX_Selection[[#This Row],['# Circuit]]*2</f>
        <v>2</v>
      </c>
    </row>
    <row r="90" spans="1:17" x14ac:dyDescent="0.25">
      <c r="A90" s="22">
        <v>36</v>
      </c>
      <c r="B90">
        <v>1</v>
      </c>
      <c r="C90">
        <v>2</v>
      </c>
      <c r="D90" t="s">
        <v>174</v>
      </c>
      <c r="E90" t="s">
        <v>175</v>
      </c>
      <c r="F90" t="s">
        <v>37</v>
      </c>
      <c r="G90">
        <f>HX_Selection[[#This Row],['# Circuit]]*2</f>
        <v>2</v>
      </c>
      <c r="I90" t="s">
        <v>36</v>
      </c>
      <c r="J90" t="s">
        <v>36</v>
      </c>
    </row>
    <row r="91" spans="1:17" x14ac:dyDescent="0.25">
      <c r="A91" s="22">
        <v>55</v>
      </c>
      <c r="B91">
        <v>1</v>
      </c>
      <c r="C91">
        <v>3</v>
      </c>
      <c r="D91" t="s">
        <v>174</v>
      </c>
      <c r="E91" t="s">
        <v>175</v>
      </c>
      <c r="F91" t="s">
        <v>38</v>
      </c>
      <c r="G91">
        <f>HX_Selection[[#This Row],['# Circuit]]*2</f>
        <v>2</v>
      </c>
    </row>
    <row r="92" spans="1:17" x14ac:dyDescent="0.25">
      <c r="A92" s="22">
        <f>A89*2</f>
        <v>50</v>
      </c>
      <c r="B92">
        <v>2</v>
      </c>
      <c r="C92">
        <v>4</v>
      </c>
      <c r="D92" t="s">
        <v>176</v>
      </c>
      <c r="E92" s="8" t="s">
        <v>177</v>
      </c>
      <c r="F92" t="s">
        <v>35</v>
      </c>
      <c r="G92" s="8">
        <f>HX_Selection[[#This Row],['# Circuit]]*2</f>
        <v>4</v>
      </c>
    </row>
    <row r="93" spans="1:17" x14ac:dyDescent="0.25">
      <c r="A93" s="22">
        <f t="shared" ref="A93:A94" si="7">A90*2</f>
        <v>72</v>
      </c>
      <c r="B93">
        <v>2</v>
      </c>
      <c r="C93">
        <v>4</v>
      </c>
      <c r="D93" t="s">
        <v>174</v>
      </c>
      <c r="E93" t="s">
        <v>175</v>
      </c>
      <c r="F93" t="s">
        <v>37</v>
      </c>
      <c r="G93">
        <f>HX_Selection[[#This Row],['# Circuit]]*2</f>
        <v>4</v>
      </c>
      <c r="H93" t="s">
        <v>178</v>
      </c>
      <c r="I93" t="s">
        <v>179</v>
      </c>
      <c r="J93" t="s">
        <v>180</v>
      </c>
    </row>
    <row r="94" spans="1:17" x14ac:dyDescent="0.25">
      <c r="A94" s="22">
        <f t="shared" si="7"/>
        <v>110</v>
      </c>
      <c r="B94">
        <v>2</v>
      </c>
      <c r="C94">
        <v>4</v>
      </c>
      <c r="D94" t="s">
        <v>174</v>
      </c>
      <c r="E94" t="s">
        <v>175</v>
      </c>
      <c r="F94" t="s">
        <v>38</v>
      </c>
      <c r="G94">
        <f>HX_Selection[[#This Row],['# Circuit]]*2</f>
        <v>4</v>
      </c>
      <c r="H94" t="s">
        <v>181</v>
      </c>
      <c r="I94" t="s">
        <v>182</v>
      </c>
      <c r="J94" t="s">
        <v>182</v>
      </c>
    </row>
    <row r="98" spans="1:13" ht="30" x14ac:dyDescent="0.25">
      <c r="A98" s="4" t="s">
        <v>3</v>
      </c>
      <c r="B98" s="4" t="s">
        <v>183</v>
      </c>
      <c r="C98" s="4" t="s">
        <v>184</v>
      </c>
      <c r="D98" s="4" t="s">
        <v>10</v>
      </c>
      <c r="E98" s="4" t="s">
        <v>185</v>
      </c>
      <c r="F98" s="4" t="s">
        <v>6</v>
      </c>
      <c r="G98" s="4" t="s">
        <v>4</v>
      </c>
      <c r="H98" s="4" t="s">
        <v>186</v>
      </c>
      <c r="I98" s="4" t="s">
        <v>187</v>
      </c>
      <c r="J98" s="4" t="s">
        <v>188</v>
      </c>
      <c r="K98" s="4" t="s">
        <v>189</v>
      </c>
      <c r="L98" s="4" t="s">
        <v>190</v>
      </c>
      <c r="M98" s="4" t="s">
        <v>191</v>
      </c>
    </row>
    <row r="99" spans="1:13" x14ac:dyDescent="0.25">
      <c r="A99" s="5">
        <v>13</v>
      </c>
      <c r="B99">
        <v>1</v>
      </c>
      <c r="C99">
        <v>1</v>
      </c>
      <c r="D99" s="28">
        <f>IFERROR(INDEX(SkidDB[#All],MATCH(CondUnitDB[[#This Row],[C1 Compressor Skid]],SkidDB[[#All],[Compressor Skid Model Number]],0),8),"")</f>
        <v>3.25</v>
      </c>
      <c r="E99" t="str">
        <f t="shared" ref="E99:E150" si="8">IFERROR(ROUNDUP(A99/D99,0)&amp;":1","")</f>
        <v>4:1</v>
      </c>
      <c r="F99" t="str">
        <f>IFERROR(INDEX(SkidDB[#All],MATCH(CondUnitDB[[#This Row],[C1 Compressor Skid]],SkidDB[[#All],[Compressor Skid Model Number]],0),4),"")</f>
        <v>R454B</v>
      </c>
      <c r="G99" t="s">
        <v>25</v>
      </c>
      <c r="H99" t="s">
        <v>192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s="5">
        <v>15</v>
      </c>
      <c r="B100">
        <v>1</v>
      </c>
      <c r="C100">
        <v>1</v>
      </c>
      <c r="D100" s="28">
        <f>IFERROR(INDEX(SkidDB[#All],MATCH(CondUnitDB[[#This Row],[C1 Compressor Skid]],SkidDB[[#All],[Compressor Skid Model Number]],0),8),"")</f>
        <v>3.75</v>
      </c>
      <c r="E100" t="str">
        <f t="shared" si="8"/>
        <v>4:1</v>
      </c>
      <c r="F100" t="str">
        <f>IFERROR(INDEX(SkidDB[#All],MATCH(CondUnitDB[[#This Row],[C1 Compressor Skid]],SkidDB[[#All],[Compressor Skid Model Number]],0),4),"")</f>
        <v>R454B</v>
      </c>
      <c r="G100" t="s">
        <v>25</v>
      </c>
      <c r="H100" t="s">
        <v>193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5">
        <v>17</v>
      </c>
      <c r="B101">
        <v>1</v>
      </c>
      <c r="C101">
        <v>1</v>
      </c>
      <c r="D101" s="28">
        <f>IFERROR(INDEX(SkidDB[#All],MATCH(CondUnitDB[[#This Row],[C1 Compressor Skid]],SkidDB[[#All],[Compressor Skid Model Number]],0),8),"")</f>
        <v>4.25</v>
      </c>
      <c r="E101" t="str">
        <f t="shared" si="8"/>
        <v>4:1</v>
      </c>
      <c r="F101" t="str">
        <f>IFERROR(INDEX(SkidDB[#All],MATCH(CondUnitDB[[#This Row],[C1 Compressor Skid]],SkidDB[[#All],[Compressor Skid Model Number]],0),4),"")</f>
        <v>R454B</v>
      </c>
      <c r="G101" t="s">
        <v>25</v>
      </c>
      <c r="H101" t="s">
        <v>194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s="5">
        <v>25</v>
      </c>
      <c r="B102">
        <v>1</v>
      </c>
      <c r="C102">
        <v>2</v>
      </c>
      <c r="D102" s="28">
        <f>IFERROR(INDEX(SkidDB[#All],MATCH(CondUnitDB[[#This Row],[C1 Compressor Skid]],SkidDB[[#All],[Compressor Skid Model Number]],0),8),"")</f>
        <v>6.5</v>
      </c>
      <c r="E102" t="str">
        <f t="shared" si="8"/>
        <v>4:1</v>
      </c>
      <c r="F102" t="str">
        <f>IFERROR(INDEX(SkidDB[#All],MATCH(CondUnitDB[[#This Row],[C1 Compressor Skid]],SkidDB[[#All],[Compressor Skid Model Number]],0),4),"")</f>
        <v>R454B</v>
      </c>
      <c r="G102" t="s">
        <v>25</v>
      </c>
      <c r="H102" t="s">
        <v>195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s="5">
        <v>26</v>
      </c>
      <c r="B103">
        <v>2</v>
      </c>
      <c r="C103">
        <v>2</v>
      </c>
      <c r="D103" s="28">
        <f>IFERROR(INDEX(SkidDB[#All],MATCH(CondUnitDB[[#This Row],[C1 Compressor Skid]],SkidDB[[#All],[Compressor Skid Model Number]],0),8),"")</f>
        <v>3.25</v>
      </c>
      <c r="E103" t="str">
        <f t="shared" si="8"/>
        <v>8:1</v>
      </c>
      <c r="F103" t="str">
        <f>IFERROR(INDEX(SkidDB[#All],MATCH(CondUnitDB[[#This Row],[C1 Compressor Skid]],SkidDB[[#All],[Compressor Skid Model Number]],0),4),"")</f>
        <v>R454B</v>
      </c>
      <c r="G103" t="s">
        <v>25</v>
      </c>
      <c r="H103" t="s">
        <v>192</v>
      </c>
      <c r="I103" t="s">
        <v>192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s="5">
        <v>30</v>
      </c>
      <c r="B104">
        <v>1</v>
      </c>
      <c r="C104">
        <v>2</v>
      </c>
      <c r="D104" s="28">
        <f>IFERROR(INDEX(SkidDB[#All],MATCH(CondUnitDB[[#This Row],[C1 Compressor Skid]],SkidDB[[#All],[Compressor Skid Model Number]],0),8),"")</f>
        <v>7.5</v>
      </c>
      <c r="E104" t="str">
        <f t="shared" si="8"/>
        <v>4:1</v>
      </c>
      <c r="F104" t="str">
        <f>IFERROR(INDEX(SkidDB[#All],MATCH(CondUnitDB[[#This Row],[C1 Compressor Skid]],SkidDB[[#All],[Compressor Skid Model Number]],0),4),"")</f>
        <v>R454B</v>
      </c>
      <c r="G104" t="s">
        <v>25</v>
      </c>
      <c r="H104" t="s">
        <v>196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5">
        <v>32</v>
      </c>
      <c r="B105">
        <v>2</v>
      </c>
      <c r="C105">
        <v>2</v>
      </c>
      <c r="D105" s="28">
        <f>IFERROR(INDEX(SkidDB[#All],MATCH(CondUnitDB[[#This Row],[C1 Compressor Skid]],SkidDB[[#All],[Compressor Skid Model Number]],0),8),"")</f>
        <v>3.75</v>
      </c>
      <c r="E105" t="str">
        <f t="shared" si="8"/>
        <v>9:1</v>
      </c>
      <c r="F105" t="str">
        <f>IFERROR(INDEX(SkidDB[#All],MATCH(CondUnitDB[[#This Row],[C1 Compressor Skid]],SkidDB[[#All],[Compressor Skid Model Number]],0),4),"")</f>
        <v>R454B</v>
      </c>
      <c r="G105" t="s">
        <v>25</v>
      </c>
      <c r="H105" t="s">
        <v>193</v>
      </c>
      <c r="I105" t="s">
        <v>193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s="5">
        <v>35</v>
      </c>
      <c r="B106">
        <v>1</v>
      </c>
      <c r="C106">
        <v>2</v>
      </c>
      <c r="D106" s="28">
        <f>IFERROR(INDEX(SkidDB[#All],MATCH(CondUnitDB[[#This Row],[C1 Compressor Skid]],SkidDB[[#All],[Compressor Skid Model Number]],0),8),"")</f>
        <v>8.75</v>
      </c>
      <c r="E106" t="str">
        <f t="shared" si="8"/>
        <v>4:1</v>
      </c>
      <c r="F106" t="str">
        <f>IFERROR(INDEX(SkidDB[#All],MATCH(CondUnitDB[[#This Row],[C1 Compressor Skid]],SkidDB[[#All],[Compressor Skid Model Number]],0),4),"")</f>
        <v>R454B</v>
      </c>
      <c r="G106" t="s">
        <v>25</v>
      </c>
      <c r="H106" t="s">
        <v>197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s="5">
        <v>36</v>
      </c>
      <c r="B107">
        <v>2</v>
      </c>
      <c r="C107">
        <v>2</v>
      </c>
      <c r="D107" s="28">
        <f>IFERROR(INDEX(SkidDB[#All],MATCH(CondUnitDB[[#This Row],[C1 Compressor Skid]],SkidDB[[#All],[Compressor Skid Model Number]],0),8),"")</f>
        <v>4.25</v>
      </c>
      <c r="E107" t="str">
        <f t="shared" si="8"/>
        <v>9:1</v>
      </c>
      <c r="F107" t="str">
        <f>IFERROR(INDEX(SkidDB[#All],MATCH(CondUnitDB[[#This Row],[C1 Compressor Skid]],SkidDB[[#All],[Compressor Skid Model Number]],0),4),"")</f>
        <v>R454B</v>
      </c>
      <c r="G107" t="s">
        <v>25</v>
      </c>
      <c r="H107" t="s">
        <v>194</v>
      </c>
      <c r="I107" t="s">
        <v>194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s="5">
        <v>40</v>
      </c>
      <c r="B108">
        <v>1</v>
      </c>
      <c r="C108">
        <v>3</v>
      </c>
      <c r="D108" s="28">
        <f>IFERROR(INDEX(SkidDB[#All],MATCH(CondUnitDB[[#This Row],[C1 Compressor Skid]],SkidDB[[#All],[Compressor Skid Model Number]],0),8),"")</f>
        <v>10</v>
      </c>
      <c r="E108" t="str">
        <f t="shared" si="8"/>
        <v>4:1</v>
      </c>
      <c r="F108" t="str">
        <f>IFERROR(INDEX(SkidDB[#All],MATCH(CondUnitDB[[#This Row],[C1 Compressor Skid]],SkidDB[[#All],[Compressor Skid Model Number]],0),4),"")</f>
        <v>R454B</v>
      </c>
      <c r="G108" t="s">
        <v>25</v>
      </c>
      <c r="H108" t="s">
        <v>198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s="5">
        <v>45</v>
      </c>
      <c r="B109">
        <v>1</v>
      </c>
      <c r="C109">
        <v>3</v>
      </c>
      <c r="D109" s="28">
        <f>IFERROR(INDEX(SkidDB[#All],MATCH(CondUnitDB[[#This Row],[C1 Compressor Skid]],SkidDB[[#All],[Compressor Skid Model Number]],0),8),"")</f>
        <v>11.25</v>
      </c>
      <c r="E109" t="str">
        <f t="shared" si="8"/>
        <v>4:1</v>
      </c>
      <c r="F109" t="str">
        <f>IFERROR(INDEX(SkidDB[#All],MATCH(CondUnitDB[[#This Row],[C1 Compressor Skid]],SkidDB[[#All],[Compressor Skid Model Number]],0),4),"")</f>
        <v>R454B</v>
      </c>
      <c r="G109" t="s">
        <v>25</v>
      </c>
      <c r="H109" t="s">
        <v>199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s="5">
        <v>50</v>
      </c>
      <c r="B110">
        <v>1</v>
      </c>
      <c r="C110">
        <v>3</v>
      </c>
      <c r="D110" s="28">
        <f>IFERROR(INDEX(SkidDB[#All],MATCH(CondUnitDB[[#This Row],[C1 Compressor Skid]],SkidDB[[#All],[Compressor Skid Model Number]],0),8),"")</f>
        <v>12.5</v>
      </c>
      <c r="E110" t="str">
        <f t="shared" si="8"/>
        <v>4:1</v>
      </c>
      <c r="F110" t="str">
        <f>IFERROR(INDEX(SkidDB[#All],MATCH(CondUnitDB[[#This Row],[C1 Compressor Skid]],SkidDB[[#All],[Compressor Skid Model Number]],0),4),"")</f>
        <v>R454B</v>
      </c>
      <c r="G110" t="s">
        <v>25</v>
      </c>
      <c r="H110" t="s">
        <v>200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s="5">
        <v>60</v>
      </c>
      <c r="B111">
        <v>2</v>
      </c>
      <c r="C111">
        <v>4</v>
      </c>
      <c r="D111" s="28">
        <f>IFERROR(INDEX(SkidDB[#All],MATCH(CondUnitDB[[#This Row],[C1 Compressor Skid]],SkidDB[[#All],[Compressor Skid Model Number]],0),8),"")</f>
        <v>7.5</v>
      </c>
      <c r="E111" t="str">
        <f t="shared" si="8"/>
        <v>8:1</v>
      </c>
      <c r="F111" t="str">
        <f>IFERROR(INDEX(SkidDB[#All],MATCH(CondUnitDB[[#This Row],[C1 Compressor Skid]],SkidDB[[#All],[Compressor Skid Model Number]],0),4),"")</f>
        <v>R454B</v>
      </c>
      <c r="G111" t="s">
        <v>25</v>
      </c>
      <c r="H111" t="s">
        <v>196</v>
      </c>
      <c r="I111" t="s">
        <v>196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s="5">
        <v>70</v>
      </c>
      <c r="B112">
        <v>2</v>
      </c>
      <c r="C112">
        <v>4</v>
      </c>
      <c r="D112" s="28">
        <f>IFERROR(INDEX(SkidDB[#All],MATCH(CondUnitDB[[#This Row],[C1 Compressor Skid]],SkidDB[[#All],[Compressor Skid Model Number]],0),8),"")</f>
        <v>8.75</v>
      </c>
      <c r="E112" t="str">
        <f t="shared" si="8"/>
        <v>8:1</v>
      </c>
      <c r="F112" t="str">
        <f>IFERROR(INDEX(SkidDB[#All],MATCH(CondUnitDB[[#This Row],[C1 Compressor Skid]],SkidDB[[#All],[Compressor Skid Model Number]],0),4),"")</f>
        <v>R454B</v>
      </c>
      <c r="G112" t="s">
        <v>25</v>
      </c>
      <c r="H112" t="s">
        <v>197</v>
      </c>
      <c r="I112" t="s">
        <v>197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s="5">
        <v>80</v>
      </c>
      <c r="B113">
        <v>2</v>
      </c>
      <c r="C113">
        <v>5</v>
      </c>
      <c r="D113" s="28">
        <f>IFERROR(INDEX(SkidDB[#All],MATCH(CondUnitDB[[#This Row],[C1 Compressor Skid]],SkidDB[[#All],[Compressor Skid Model Number]],0),8),"")</f>
        <v>12.5</v>
      </c>
      <c r="E113" t="str">
        <f t="shared" si="8"/>
        <v>7:1</v>
      </c>
      <c r="F113" t="str">
        <f>IFERROR(INDEX(SkidDB[#All],MATCH(CondUnitDB[[#This Row],[C1 Compressor Skid]],SkidDB[[#All],[Compressor Skid Model Number]],0),4),"")</f>
        <v>R454B</v>
      </c>
      <c r="G113" t="s">
        <v>25</v>
      </c>
      <c r="H113" t="s">
        <v>200</v>
      </c>
      <c r="I113" t="s">
        <v>197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 s="5">
        <v>90</v>
      </c>
      <c r="B114">
        <v>2</v>
      </c>
      <c r="C114">
        <v>6</v>
      </c>
      <c r="D114" s="28">
        <f>IFERROR(INDEX(SkidDB[#All],MATCH(CondUnitDB[[#This Row],[C1 Compressor Skid]],SkidDB[[#All],[Compressor Skid Model Number]],0),8),"")</f>
        <v>11.25</v>
      </c>
      <c r="E114" t="str">
        <f t="shared" si="8"/>
        <v>8:1</v>
      </c>
      <c r="F114" t="str">
        <f>IFERROR(INDEX(SkidDB[#All],MATCH(CondUnitDB[[#This Row],[C1 Compressor Skid]],SkidDB[[#All],[Compressor Skid Model Number]],0),4),"")</f>
        <v>R454B</v>
      </c>
      <c r="G114" t="s">
        <v>25</v>
      </c>
      <c r="H114" t="s">
        <v>199</v>
      </c>
      <c r="I114" t="s">
        <v>199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s="5">
        <v>100</v>
      </c>
      <c r="B115">
        <v>2</v>
      </c>
      <c r="C115">
        <v>6</v>
      </c>
      <c r="D115" s="28">
        <f>IFERROR(INDEX(SkidDB[#All],MATCH(CondUnitDB[[#This Row],[C1 Compressor Skid]],SkidDB[[#All],[Compressor Skid Model Number]],0),8),"")</f>
        <v>12.5</v>
      </c>
      <c r="E115" t="str">
        <f t="shared" si="8"/>
        <v>8:1</v>
      </c>
      <c r="F115" t="str">
        <f>IFERROR(INDEX(SkidDB[#All],MATCH(CondUnitDB[[#This Row],[C1 Compressor Skid]],SkidDB[[#All],[Compressor Skid Model Number]],0),4),"")</f>
        <v>R454B</v>
      </c>
      <c r="G115" t="s">
        <v>25</v>
      </c>
      <c r="H115" t="s">
        <v>200</v>
      </c>
      <c r="I115" t="s">
        <v>200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s="5">
        <v>120</v>
      </c>
      <c r="B116">
        <v>3</v>
      </c>
      <c r="C116">
        <v>7</v>
      </c>
      <c r="D116" s="28">
        <f>IFERROR(INDEX(SkidDB[#All],MATCH(CondUnitDB[[#This Row],[C1 Compressor Skid]],SkidDB[[#All],[Compressor Skid Model Number]],0),8),"")</f>
        <v>12.5</v>
      </c>
      <c r="E116" t="str">
        <f t="shared" si="8"/>
        <v>10:1</v>
      </c>
      <c r="F116" t="str">
        <f>IFERROR(INDEX(SkidDB[#All],MATCH(CondUnitDB[[#This Row],[C1 Compressor Skid]],SkidDB[[#All],[Compressor Skid Model Number]],0),4),"")</f>
        <v>R454B</v>
      </c>
      <c r="G116" t="s">
        <v>25</v>
      </c>
      <c r="H116" t="s">
        <v>200</v>
      </c>
      <c r="I116" t="s">
        <v>197</v>
      </c>
      <c r="J116" t="s">
        <v>197</v>
      </c>
      <c r="K116">
        <v>0</v>
      </c>
      <c r="L116">
        <v>0</v>
      </c>
      <c r="M116">
        <v>0</v>
      </c>
    </row>
    <row r="117" spans="1:13" x14ac:dyDescent="0.25">
      <c r="A117" s="5">
        <v>135</v>
      </c>
      <c r="B117">
        <v>3</v>
      </c>
      <c r="C117">
        <v>8</v>
      </c>
      <c r="D117" s="28">
        <f>IFERROR(INDEX(SkidDB[#All],MATCH(CondUnitDB[[#This Row],[C1 Compressor Skid]],SkidDB[[#All],[Compressor Skid Model Number]],0),8),"")</f>
        <v>12.5</v>
      </c>
      <c r="E117" t="str">
        <f t="shared" si="8"/>
        <v>11:1</v>
      </c>
      <c r="F117" t="str">
        <f>IFERROR(INDEX(SkidDB[#All],MATCH(CondUnitDB[[#This Row],[C1 Compressor Skid]],SkidDB[[#All],[Compressor Skid Model Number]],0),4),"")</f>
        <v>R454B</v>
      </c>
      <c r="G117" t="s">
        <v>25</v>
      </c>
      <c r="H117" t="s">
        <v>200</v>
      </c>
      <c r="I117" t="s">
        <v>200</v>
      </c>
      <c r="J117" t="s">
        <v>197</v>
      </c>
      <c r="K117">
        <v>0</v>
      </c>
      <c r="L117">
        <v>0</v>
      </c>
      <c r="M117">
        <v>0</v>
      </c>
    </row>
    <row r="118" spans="1:13" x14ac:dyDescent="0.25">
      <c r="A118" s="5">
        <v>150</v>
      </c>
      <c r="B118">
        <v>3</v>
      </c>
      <c r="C118">
        <v>9</v>
      </c>
      <c r="D118" s="28">
        <f>IFERROR(INDEX(SkidDB[#All],MATCH(CondUnitDB[[#This Row],[C1 Compressor Skid]],SkidDB[[#All],[Compressor Skid Model Number]],0),8),"")</f>
        <v>12.5</v>
      </c>
      <c r="E118" t="str">
        <f t="shared" si="8"/>
        <v>12:1</v>
      </c>
      <c r="F118" t="str">
        <f>IFERROR(INDEX(SkidDB[#All],MATCH(CondUnitDB[[#This Row],[C1 Compressor Skid]],SkidDB[[#All],[Compressor Skid Model Number]],0),4),"")</f>
        <v>R454B</v>
      </c>
      <c r="G118" t="s">
        <v>25</v>
      </c>
      <c r="H118" t="s">
        <v>200</v>
      </c>
      <c r="I118" t="s">
        <v>200</v>
      </c>
      <c r="J118" t="s">
        <v>200</v>
      </c>
      <c r="K118">
        <v>0</v>
      </c>
      <c r="L118">
        <v>0</v>
      </c>
      <c r="M118">
        <v>0</v>
      </c>
    </row>
    <row r="119" spans="1:13" x14ac:dyDescent="0.25">
      <c r="A119" s="5">
        <v>170</v>
      </c>
      <c r="B119">
        <v>4</v>
      </c>
      <c r="C119">
        <v>10</v>
      </c>
      <c r="D119" s="28">
        <f>IFERROR(INDEX(SkidDB[#All],MATCH(CondUnitDB[[#This Row],[C1 Compressor Skid]],SkidDB[[#All],[Compressor Skid Model Number]],0),8),"")</f>
        <v>12.5</v>
      </c>
      <c r="E119" t="str">
        <f t="shared" si="8"/>
        <v>14:1</v>
      </c>
      <c r="F119" t="str">
        <f>IFERROR(INDEX(SkidDB[#All],MATCH(CondUnitDB[[#This Row],[C1 Compressor Skid]],SkidDB[[#All],[Compressor Skid Model Number]],0),4),"")</f>
        <v>R454B</v>
      </c>
      <c r="G119" t="s">
        <v>25</v>
      </c>
      <c r="H119" t="s">
        <v>200</v>
      </c>
      <c r="I119" t="s">
        <v>200</v>
      </c>
      <c r="J119" t="s">
        <v>197</v>
      </c>
      <c r="K119" t="s">
        <v>197</v>
      </c>
      <c r="L119">
        <v>0</v>
      </c>
      <c r="M119">
        <v>0</v>
      </c>
    </row>
    <row r="120" spans="1:13" x14ac:dyDescent="0.25">
      <c r="A120" s="5">
        <v>185</v>
      </c>
      <c r="B120">
        <v>4</v>
      </c>
      <c r="C120">
        <v>11</v>
      </c>
      <c r="D120" s="28">
        <f>IFERROR(INDEX(SkidDB[#All],MATCH(CondUnitDB[[#This Row],[C1 Compressor Skid]],SkidDB[[#All],[Compressor Skid Model Number]],0),8),"")</f>
        <v>12.5</v>
      </c>
      <c r="E120" t="str">
        <f t="shared" si="8"/>
        <v>15:1</v>
      </c>
      <c r="F120" t="str">
        <f>IFERROR(INDEX(SkidDB[#All],MATCH(CondUnitDB[[#This Row],[C1 Compressor Skid]],SkidDB[[#All],[Compressor Skid Model Number]],0),4),"")</f>
        <v>R454B</v>
      </c>
      <c r="G120" t="s">
        <v>25</v>
      </c>
      <c r="H120" t="s">
        <v>200</v>
      </c>
      <c r="I120" t="s">
        <v>200</v>
      </c>
      <c r="J120" t="s">
        <v>200</v>
      </c>
      <c r="K120" t="s">
        <v>197</v>
      </c>
      <c r="L120">
        <v>0</v>
      </c>
      <c r="M120">
        <v>0</v>
      </c>
    </row>
    <row r="121" spans="1:13" x14ac:dyDescent="0.25">
      <c r="A121" s="5">
        <v>200</v>
      </c>
      <c r="B121">
        <v>4</v>
      </c>
      <c r="C121">
        <v>12</v>
      </c>
      <c r="D121" s="28">
        <f>IFERROR(INDEX(SkidDB[#All],MATCH(CondUnitDB[[#This Row],[C1 Compressor Skid]],SkidDB[[#All],[Compressor Skid Model Number]],0),8),"")</f>
        <v>12.5</v>
      </c>
      <c r="E121" t="str">
        <f t="shared" si="8"/>
        <v>16:1</v>
      </c>
      <c r="F121" t="str">
        <f>IFERROR(INDEX(SkidDB[#All],MATCH(CondUnitDB[[#This Row],[C1 Compressor Skid]],SkidDB[[#All],[Compressor Skid Model Number]],0),4),"")</f>
        <v>R454B</v>
      </c>
      <c r="G121" t="s">
        <v>25</v>
      </c>
      <c r="H121" t="s">
        <v>200</v>
      </c>
      <c r="I121" t="s">
        <v>200</v>
      </c>
      <c r="J121" t="s">
        <v>200</v>
      </c>
      <c r="K121" t="s">
        <v>200</v>
      </c>
      <c r="L121">
        <v>0</v>
      </c>
      <c r="M121">
        <v>0</v>
      </c>
    </row>
    <row r="122" spans="1:13" x14ac:dyDescent="0.25">
      <c r="A122" s="5">
        <v>220</v>
      </c>
      <c r="B122">
        <v>5</v>
      </c>
      <c r="C122">
        <v>13</v>
      </c>
      <c r="D122" s="28">
        <f>IFERROR(INDEX(SkidDB[#All],MATCH(CondUnitDB[[#This Row],[C1 Compressor Skid]],SkidDB[[#All],[Compressor Skid Model Number]],0),8),"")</f>
        <v>12.5</v>
      </c>
      <c r="E122" t="str">
        <f t="shared" si="8"/>
        <v>18:1</v>
      </c>
      <c r="F122" t="str">
        <f>IFERROR(INDEX(SkidDB[#All],MATCH(CondUnitDB[[#This Row],[C1 Compressor Skid]],SkidDB[[#All],[Compressor Skid Model Number]],0),4),"")</f>
        <v>R454B</v>
      </c>
      <c r="G122" t="s">
        <v>25</v>
      </c>
      <c r="H122" t="s">
        <v>200</v>
      </c>
      <c r="I122" t="s">
        <v>200</v>
      </c>
      <c r="J122" t="s">
        <v>200</v>
      </c>
      <c r="K122" t="s">
        <v>197</v>
      </c>
      <c r="L122" t="s">
        <v>197</v>
      </c>
      <c r="M122">
        <v>0</v>
      </c>
    </row>
    <row r="123" spans="1:13" x14ac:dyDescent="0.25">
      <c r="A123" s="5">
        <v>235</v>
      </c>
      <c r="B123">
        <v>5</v>
      </c>
      <c r="C123">
        <v>14</v>
      </c>
      <c r="D123" s="28">
        <f>IFERROR(INDEX(SkidDB[#All],MATCH(CondUnitDB[[#This Row],[C1 Compressor Skid]],SkidDB[[#All],[Compressor Skid Model Number]],0),8),"")</f>
        <v>12.5</v>
      </c>
      <c r="E123" t="str">
        <f t="shared" si="8"/>
        <v>19:1</v>
      </c>
      <c r="F123" t="str">
        <f>IFERROR(INDEX(SkidDB[#All],MATCH(CondUnitDB[[#This Row],[C1 Compressor Skid]],SkidDB[[#All],[Compressor Skid Model Number]],0),4),"")</f>
        <v>R454B</v>
      </c>
      <c r="G123" t="s">
        <v>25</v>
      </c>
      <c r="H123" t="s">
        <v>200</v>
      </c>
      <c r="I123" t="s">
        <v>200</v>
      </c>
      <c r="J123" t="s">
        <v>200</v>
      </c>
      <c r="K123" t="s">
        <v>200</v>
      </c>
      <c r="L123" t="s">
        <v>197</v>
      </c>
      <c r="M123">
        <v>0</v>
      </c>
    </row>
    <row r="124" spans="1:13" x14ac:dyDescent="0.25">
      <c r="A124" s="5">
        <v>250</v>
      </c>
      <c r="B124">
        <v>5</v>
      </c>
      <c r="C124">
        <v>15</v>
      </c>
      <c r="D124" s="28">
        <f>IFERROR(INDEX(SkidDB[#All],MATCH(CondUnitDB[[#This Row],[C1 Compressor Skid]],SkidDB[[#All],[Compressor Skid Model Number]],0),8),"")</f>
        <v>12.5</v>
      </c>
      <c r="E124" t="str">
        <f t="shared" si="8"/>
        <v>20:1</v>
      </c>
      <c r="F124" t="str">
        <f>IFERROR(INDEX(SkidDB[#All],MATCH(CondUnitDB[[#This Row],[C1 Compressor Skid]],SkidDB[[#All],[Compressor Skid Model Number]],0),4),"")</f>
        <v>R454B</v>
      </c>
      <c r="G124" t="s">
        <v>25</v>
      </c>
      <c r="H124" t="s">
        <v>200</v>
      </c>
      <c r="I124" t="s">
        <v>200</v>
      </c>
      <c r="J124" t="s">
        <v>200</v>
      </c>
      <c r="K124" t="s">
        <v>200</v>
      </c>
      <c r="L124" t="s">
        <v>200</v>
      </c>
      <c r="M124">
        <v>0</v>
      </c>
    </row>
    <row r="125" spans="1:13" x14ac:dyDescent="0.25">
      <c r="A125" s="5">
        <v>265</v>
      </c>
      <c r="B125">
        <v>6</v>
      </c>
      <c r="C125">
        <v>16</v>
      </c>
      <c r="D125" s="28">
        <f>IFERROR(INDEX(SkidDB[#All],MATCH(CondUnitDB[[#This Row],[C1 Compressor Skid]],SkidDB[[#All],[Compressor Skid Model Number]],0),8),"")</f>
        <v>12.5</v>
      </c>
      <c r="E125" t="str">
        <f t="shared" si="8"/>
        <v>22:1</v>
      </c>
      <c r="F125" t="str">
        <f>IFERROR(INDEX(SkidDB[#All],MATCH(CondUnitDB[[#This Row],[C1 Compressor Skid]],SkidDB[[#All],[Compressor Skid Model Number]],0),4),"")</f>
        <v>R454B</v>
      </c>
      <c r="G125" t="s">
        <v>25</v>
      </c>
      <c r="H125" t="s">
        <v>200</v>
      </c>
      <c r="I125" t="s">
        <v>200</v>
      </c>
      <c r="J125" t="s">
        <v>200</v>
      </c>
      <c r="K125" t="s">
        <v>200</v>
      </c>
      <c r="L125" t="s">
        <v>197</v>
      </c>
      <c r="M125" t="s">
        <v>197</v>
      </c>
    </row>
    <row r="126" spans="1:13" x14ac:dyDescent="0.25">
      <c r="A126" s="5">
        <v>280</v>
      </c>
      <c r="B126">
        <v>6</v>
      </c>
      <c r="C126">
        <v>17</v>
      </c>
      <c r="D126" s="28">
        <f>IFERROR(INDEX(SkidDB[#All],MATCH(CondUnitDB[[#This Row],[C1 Compressor Skid]],SkidDB[[#All],[Compressor Skid Model Number]],0),8),"")</f>
        <v>12.5</v>
      </c>
      <c r="E126" t="str">
        <f t="shared" si="8"/>
        <v>23:1</v>
      </c>
      <c r="F126" t="str">
        <f>IFERROR(INDEX(SkidDB[#All],MATCH(CondUnitDB[[#This Row],[C1 Compressor Skid]],SkidDB[[#All],[Compressor Skid Model Number]],0),4),"")</f>
        <v>R454B</v>
      </c>
      <c r="G126" t="s">
        <v>25</v>
      </c>
      <c r="H126" t="s">
        <v>200</v>
      </c>
      <c r="I126" t="s">
        <v>200</v>
      </c>
      <c r="J126" t="s">
        <v>200</v>
      </c>
      <c r="K126" t="s">
        <v>200</v>
      </c>
      <c r="L126" t="s">
        <v>200</v>
      </c>
      <c r="M126" t="s">
        <v>197</v>
      </c>
    </row>
    <row r="127" spans="1:13" x14ac:dyDescent="0.25">
      <c r="A127" s="5">
        <v>300</v>
      </c>
      <c r="B127">
        <v>6</v>
      </c>
      <c r="C127">
        <v>18</v>
      </c>
      <c r="D127" s="28">
        <f>IFERROR(INDEX(SkidDB[#All],MATCH(CondUnitDB[[#This Row],[C1 Compressor Skid]],SkidDB[[#All],[Compressor Skid Model Number]],0),8),"")</f>
        <v>12.5</v>
      </c>
      <c r="E127" t="str">
        <f t="shared" si="8"/>
        <v>24:1</v>
      </c>
      <c r="F127" t="str">
        <f>IFERROR(INDEX(SkidDB[#All],MATCH(CondUnitDB[[#This Row],[C1 Compressor Skid]],SkidDB[[#All],[Compressor Skid Model Number]],0),4),"")</f>
        <v>R454B</v>
      </c>
      <c r="G127" t="s">
        <v>25</v>
      </c>
      <c r="H127" t="s">
        <v>200</v>
      </c>
      <c r="I127" t="s">
        <v>200</v>
      </c>
      <c r="J127" t="s">
        <v>200</v>
      </c>
      <c r="K127" t="s">
        <v>200</v>
      </c>
      <c r="L127" t="s">
        <v>200</v>
      </c>
      <c r="M127" t="s">
        <v>200</v>
      </c>
    </row>
    <row r="128" spans="1:13" x14ac:dyDescent="0.25">
      <c r="A128" s="5">
        <v>13</v>
      </c>
      <c r="B128">
        <v>1</v>
      </c>
      <c r="C128">
        <v>1</v>
      </c>
      <c r="D128" s="28">
        <f>IFERROR(INDEX(SkidDB[#All],MATCH(CondUnitDB[[#This Row],[C1 Compressor Skid]],SkidDB[[#All],[Compressor Skid Model Number]],0),8),"")</f>
        <v>3.25</v>
      </c>
      <c r="E128" t="str">
        <f t="shared" si="8"/>
        <v>4:1</v>
      </c>
      <c r="F128" t="str">
        <f>IFERROR(INDEX(SkidDB[#All],MATCH(CondUnitDB[[#This Row],[C1 Compressor Skid]],SkidDB[[#All],[Compressor Skid Model Number]],0),4),"")</f>
        <v>R454B</v>
      </c>
      <c r="G128" t="s">
        <v>39</v>
      </c>
      <c r="H128" t="s">
        <v>201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s="5">
        <v>17</v>
      </c>
      <c r="B129">
        <v>1</v>
      </c>
      <c r="C129">
        <v>1</v>
      </c>
      <c r="D129" s="28">
        <f>IFERROR(INDEX(SkidDB[#All],MATCH(CondUnitDB[[#This Row],[C1 Compressor Skid]],SkidDB[[#All],[Compressor Skid Model Number]],0),8),"")</f>
        <v>4.25</v>
      </c>
      <c r="E129" t="str">
        <f t="shared" si="8"/>
        <v>4:1</v>
      </c>
      <c r="F129" t="str">
        <f>IFERROR(INDEX(SkidDB[#All],MATCH(CondUnitDB[[#This Row],[C1 Compressor Skid]],SkidDB[[#All],[Compressor Skid Model Number]],0),4),"")</f>
        <v>R454B</v>
      </c>
      <c r="G129" t="s">
        <v>39</v>
      </c>
      <c r="H129" t="s">
        <v>202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s="5">
        <v>25</v>
      </c>
      <c r="B130">
        <v>1</v>
      </c>
      <c r="C130">
        <v>2</v>
      </c>
      <c r="D130" s="28">
        <f>IFERROR(INDEX(SkidDB[#All],MATCH(CondUnitDB[[#This Row],[C1 Compressor Skid]],SkidDB[[#All],[Compressor Skid Model Number]],0),8),"")</f>
        <v>6.5</v>
      </c>
      <c r="E130" t="str">
        <f t="shared" si="8"/>
        <v>4:1</v>
      </c>
      <c r="F130" t="str">
        <f>IFERROR(INDEX(SkidDB[#All],MATCH(CondUnitDB[[#This Row],[C1 Compressor Skid]],SkidDB[[#All],[Compressor Skid Model Number]],0),4),"")</f>
        <v>R454B</v>
      </c>
      <c r="G130" t="s">
        <v>39</v>
      </c>
      <c r="H130" t="s">
        <v>203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s="5">
        <v>26</v>
      </c>
      <c r="B131">
        <v>2</v>
      </c>
      <c r="C131">
        <v>2</v>
      </c>
      <c r="D131" s="28">
        <f>IFERROR(INDEX(SkidDB[#All],MATCH(CondUnitDB[[#This Row],[C1 Compressor Skid]],SkidDB[[#All],[Compressor Skid Model Number]],0),8),"")</f>
        <v>3.25</v>
      </c>
      <c r="E131" t="str">
        <f t="shared" si="8"/>
        <v>8:1</v>
      </c>
      <c r="F131" t="str">
        <f>IFERROR(INDEX(SkidDB[#All],MATCH(CondUnitDB[[#This Row],[C1 Compressor Skid]],SkidDB[[#All],[Compressor Skid Model Number]],0),4),"")</f>
        <v>R454B</v>
      </c>
      <c r="G131" t="s">
        <v>39</v>
      </c>
      <c r="H131" t="s">
        <v>201</v>
      </c>
      <c r="I131" t="s">
        <v>201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s="5">
        <v>35</v>
      </c>
      <c r="B132">
        <v>1</v>
      </c>
      <c r="C132">
        <v>2</v>
      </c>
      <c r="D132" s="28">
        <f>IFERROR(INDEX(SkidDB[#All],MATCH(CondUnitDB[[#This Row],[C1 Compressor Skid]],SkidDB[[#All],[Compressor Skid Model Number]],0),8),"")</f>
        <v>8.75</v>
      </c>
      <c r="E132" t="str">
        <f t="shared" si="8"/>
        <v>4:1</v>
      </c>
      <c r="F132" t="str">
        <f>IFERROR(INDEX(SkidDB[#All],MATCH(CondUnitDB[[#This Row],[C1 Compressor Skid]],SkidDB[[#All],[Compressor Skid Model Number]],0),4),"")</f>
        <v>R454B</v>
      </c>
      <c r="G132" t="s">
        <v>39</v>
      </c>
      <c r="H132" t="s">
        <v>204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s="5">
        <v>36</v>
      </c>
      <c r="B133">
        <v>2</v>
      </c>
      <c r="C133">
        <v>2</v>
      </c>
      <c r="D133" s="28">
        <f>IFERROR(INDEX(SkidDB[#All],MATCH(CondUnitDB[[#This Row],[C1 Compressor Skid]],SkidDB[[#All],[Compressor Skid Model Number]],0),8),"")</f>
        <v>4.25</v>
      </c>
      <c r="E133" t="str">
        <f t="shared" si="8"/>
        <v>9:1</v>
      </c>
      <c r="F133" t="str">
        <f>IFERROR(INDEX(SkidDB[#All],MATCH(CondUnitDB[[#This Row],[C1 Compressor Skid]],SkidDB[[#All],[Compressor Skid Model Number]],0),4),"")</f>
        <v>R454B</v>
      </c>
      <c r="G133" t="s">
        <v>39</v>
      </c>
      <c r="H133" t="s">
        <v>202</v>
      </c>
      <c r="I133" t="s">
        <v>202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s="5">
        <v>40</v>
      </c>
      <c r="B134">
        <v>1</v>
      </c>
      <c r="C134">
        <v>3</v>
      </c>
      <c r="D134" s="28">
        <f>IFERROR(INDEX(SkidDB[#All],MATCH(CondUnitDB[[#This Row],[C1 Compressor Skid]],SkidDB[[#All],[Compressor Skid Model Number]],0),8),"")</f>
        <v>10</v>
      </c>
      <c r="E134" t="str">
        <f t="shared" si="8"/>
        <v>4:1</v>
      </c>
      <c r="F134" t="str">
        <f>IFERROR(INDEX(SkidDB[#All],MATCH(CondUnitDB[[#This Row],[C1 Compressor Skid]],SkidDB[[#All],[Compressor Skid Model Number]],0),4),"")</f>
        <v>R454B</v>
      </c>
      <c r="G134" t="s">
        <v>39</v>
      </c>
      <c r="H134" t="s">
        <v>205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s="5">
        <v>50</v>
      </c>
      <c r="B135">
        <v>1</v>
      </c>
      <c r="C135">
        <v>3</v>
      </c>
      <c r="D135" s="28">
        <f>IFERROR(INDEX(SkidDB[#All],MATCH(CondUnitDB[[#This Row],[C1 Compressor Skid]],SkidDB[[#All],[Compressor Skid Model Number]],0),8),"")</f>
        <v>12.5</v>
      </c>
      <c r="E135" t="str">
        <f t="shared" si="8"/>
        <v>4:1</v>
      </c>
      <c r="F135" t="str">
        <f>IFERROR(INDEX(SkidDB[#All],MATCH(CondUnitDB[[#This Row],[C1 Compressor Skid]],SkidDB[[#All],[Compressor Skid Model Number]],0),4),"")</f>
        <v>R454B</v>
      </c>
      <c r="G135" t="s">
        <v>39</v>
      </c>
      <c r="H135" t="s">
        <v>206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s="5">
        <v>70</v>
      </c>
      <c r="B136">
        <v>2</v>
      </c>
      <c r="C136">
        <v>4</v>
      </c>
      <c r="D136" s="28">
        <f>IFERROR(INDEX(SkidDB[#All],MATCH(CondUnitDB[[#This Row],[C1 Compressor Skid]],SkidDB[[#All],[Compressor Skid Model Number]],0),8),"")</f>
        <v>8.75</v>
      </c>
      <c r="E136" t="str">
        <f t="shared" si="8"/>
        <v>8:1</v>
      </c>
      <c r="F136" t="str">
        <f>IFERROR(INDEX(SkidDB[#All],MATCH(CondUnitDB[[#This Row],[C1 Compressor Skid]],SkidDB[[#All],[Compressor Skid Model Number]],0),4),"")</f>
        <v>R454B</v>
      </c>
      <c r="G136" t="s">
        <v>39</v>
      </c>
      <c r="H136" t="s">
        <v>204</v>
      </c>
      <c r="I136" t="s">
        <v>204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 s="5">
        <v>80</v>
      </c>
      <c r="B137">
        <v>2</v>
      </c>
      <c r="C137">
        <v>5</v>
      </c>
      <c r="D137" s="28">
        <f>IFERROR(INDEX(SkidDB[#All],MATCH(CondUnitDB[[#This Row],[C1 Compressor Skid]],SkidDB[[#All],[Compressor Skid Model Number]],0),8),"")</f>
        <v>12.5</v>
      </c>
      <c r="E137" t="str">
        <f t="shared" si="8"/>
        <v>7:1</v>
      </c>
      <c r="F137" t="str">
        <f>IFERROR(INDEX(SkidDB[#All],MATCH(CondUnitDB[[#This Row],[C1 Compressor Skid]],SkidDB[[#All],[Compressor Skid Model Number]],0),4),"")</f>
        <v>R454B</v>
      </c>
      <c r="G137" t="s">
        <v>39</v>
      </c>
      <c r="H137" t="s">
        <v>206</v>
      </c>
      <c r="I137" t="s">
        <v>204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s="5">
        <v>100</v>
      </c>
      <c r="B138">
        <v>2</v>
      </c>
      <c r="C138">
        <v>6</v>
      </c>
      <c r="D138" s="28">
        <f>IFERROR(INDEX(SkidDB[#All],MATCH(CondUnitDB[[#This Row],[C1 Compressor Skid]],SkidDB[[#All],[Compressor Skid Model Number]],0),8),"")</f>
        <v>12.5</v>
      </c>
      <c r="E138" t="str">
        <f t="shared" si="8"/>
        <v>8:1</v>
      </c>
      <c r="F138" t="str">
        <f>IFERROR(INDEX(SkidDB[#All],MATCH(CondUnitDB[[#This Row],[C1 Compressor Skid]],SkidDB[[#All],[Compressor Skid Model Number]],0),4),"")</f>
        <v>R454B</v>
      </c>
      <c r="G138" t="s">
        <v>39</v>
      </c>
      <c r="H138" t="s">
        <v>206</v>
      </c>
      <c r="I138" t="s">
        <v>206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 s="5">
        <v>120</v>
      </c>
      <c r="B139">
        <v>3</v>
      </c>
      <c r="C139">
        <v>7</v>
      </c>
      <c r="D139" s="28">
        <f>IFERROR(INDEX(SkidDB[#All],MATCH(CondUnitDB[[#This Row],[C1 Compressor Skid]],SkidDB[[#All],[Compressor Skid Model Number]],0),8),"")</f>
        <v>12.5</v>
      </c>
      <c r="E139" t="str">
        <f>IFERROR(ROUNDUP(A139/D139,0)&amp;":1","")</f>
        <v>10:1</v>
      </c>
      <c r="F139" t="str">
        <f>IFERROR(INDEX(SkidDB[#All],MATCH(CondUnitDB[[#This Row],[C1 Compressor Skid]],SkidDB[[#All],[Compressor Skid Model Number]],0),4),"")</f>
        <v>R454B</v>
      </c>
      <c r="G139" t="s">
        <v>39</v>
      </c>
      <c r="H139" t="s">
        <v>206</v>
      </c>
      <c r="I139" t="s">
        <v>204</v>
      </c>
      <c r="J139" t="s">
        <v>204</v>
      </c>
      <c r="K139">
        <v>0</v>
      </c>
      <c r="L139">
        <v>0</v>
      </c>
      <c r="M139">
        <v>0</v>
      </c>
    </row>
    <row r="140" spans="1:13" x14ac:dyDescent="0.25">
      <c r="A140" s="5">
        <v>135</v>
      </c>
      <c r="B140">
        <v>3</v>
      </c>
      <c r="C140">
        <v>8</v>
      </c>
      <c r="D140" s="28">
        <f>IFERROR(INDEX(SkidDB[#All],MATCH(CondUnitDB[[#This Row],[C1 Compressor Skid]],SkidDB[[#All],[Compressor Skid Model Number]],0),8),"")</f>
        <v>12.5</v>
      </c>
      <c r="E140" t="str">
        <f t="shared" si="8"/>
        <v>11:1</v>
      </c>
      <c r="F140" t="str">
        <f>IFERROR(INDEX(SkidDB[#All],MATCH(CondUnitDB[[#This Row],[C1 Compressor Skid]],SkidDB[[#All],[Compressor Skid Model Number]],0),4),"")</f>
        <v>R454B</v>
      </c>
      <c r="G140" t="s">
        <v>39</v>
      </c>
      <c r="H140" t="s">
        <v>206</v>
      </c>
      <c r="I140" t="s">
        <v>206</v>
      </c>
      <c r="J140" t="s">
        <v>204</v>
      </c>
      <c r="K140">
        <v>0</v>
      </c>
      <c r="L140">
        <v>0</v>
      </c>
      <c r="M140">
        <v>0</v>
      </c>
    </row>
    <row r="141" spans="1:13" x14ac:dyDescent="0.25">
      <c r="A141" s="5">
        <v>150</v>
      </c>
      <c r="B141">
        <v>3</v>
      </c>
      <c r="C141">
        <v>9</v>
      </c>
      <c r="D141" s="28">
        <f>IFERROR(INDEX(SkidDB[#All],MATCH(CondUnitDB[[#This Row],[C1 Compressor Skid]],SkidDB[[#All],[Compressor Skid Model Number]],0),8),"")</f>
        <v>12.5</v>
      </c>
      <c r="E141" t="str">
        <f t="shared" si="8"/>
        <v>12:1</v>
      </c>
      <c r="F141" t="str">
        <f>IFERROR(INDEX(SkidDB[#All],MATCH(CondUnitDB[[#This Row],[C1 Compressor Skid]],SkidDB[[#All],[Compressor Skid Model Number]],0),4),"")</f>
        <v>R454B</v>
      </c>
      <c r="G141" t="s">
        <v>39</v>
      </c>
      <c r="H141" t="s">
        <v>206</v>
      </c>
      <c r="I141" t="s">
        <v>206</v>
      </c>
      <c r="J141" t="s">
        <v>206</v>
      </c>
      <c r="K141">
        <v>0</v>
      </c>
      <c r="L141">
        <v>0</v>
      </c>
      <c r="M141">
        <v>0</v>
      </c>
    </row>
    <row r="142" spans="1:13" x14ac:dyDescent="0.25">
      <c r="A142" s="5">
        <v>170</v>
      </c>
      <c r="B142">
        <v>4</v>
      </c>
      <c r="C142">
        <v>10</v>
      </c>
      <c r="D142" s="28">
        <f>IFERROR(INDEX(SkidDB[#All],MATCH(CondUnitDB[[#This Row],[C1 Compressor Skid]],SkidDB[[#All],[Compressor Skid Model Number]],0),8),"")</f>
        <v>12.5</v>
      </c>
      <c r="E142" t="str">
        <f t="shared" si="8"/>
        <v>14:1</v>
      </c>
      <c r="F142" t="str">
        <f>IFERROR(INDEX(SkidDB[#All],MATCH(CondUnitDB[[#This Row],[C1 Compressor Skid]],SkidDB[[#All],[Compressor Skid Model Number]],0),4),"")</f>
        <v>R454B</v>
      </c>
      <c r="G142" t="s">
        <v>39</v>
      </c>
      <c r="H142" t="s">
        <v>206</v>
      </c>
      <c r="I142" t="s">
        <v>206</v>
      </c>
      <c r="J142" t="s">
        <v>204</v>
      </c>
      <c r="K142" t="s">
        <v>204</v>
      </c>
      <c r="L142">
        <v>0</v>
      </c>
      <c r="M142">
        <v>0</v>
      </c>
    </row>
    <row r="143" spans="1:13" x14ac:dyDescent="0.25">
      <c r="A143" s="5">
        <v>185</v>
      </c>
      <c r="B143">
        <v>4</v>
      </c>
      <c r="C143">
        <v>11</v>
      </c>
      <c r="D143" s="28">
        <f>IFERROR(INDEX(SkidDB[#All],MATCH(CondUnitDB[[#This Row],[C1 Compressor Skid]],SkidDB[[#All],[Compressor Skid Model Number]],0),8),"")</f>
        <v>12.5</v>
      </c>
      <c r="E143" t="str">
        <f t="shared" si="8"/>
        <v>15:1</v>
      </c>
      <c r="F143" t="str">
        <f>IFERROR(INDEX(SkidDB[#All],MATCH(CondUnitDB[[#This Row],[C1 Compressor Skid]],SkidDB[[#All],[Compressor Skid Model Number]],0),4),"")</f>
        <v>R454B</v>
      </c>
      <c r="G143" t="s">
        <v>39</v>
      </c>
      <c r="H143" t="s">
        <v>206</v>
      </c>
      <c r="I143" t="s">
        <v>206</v>
      </c>
      <c r="J143" t="s">
        <v>206</v>
      </c>
      <c r="K143" t="s">
        <v>204</v>
      </c>
      <c r="L143">
        <v>0</v>
      </c>
      <c r="M143">
        <v>0</v>
      </c>
    </row>
    <row r="144" spans="1:13" x14ac:dyDescent="0.25">
      <c r="A144" s="5">
        <v>200</v>
      </c>
      <c r="B144">
        <v>4</v>
      </c>
      <c r="C144">
        <v>12</v>
      </c>
      <c r="D144" s="28">
        <f>IFERROR(INDEX(SkidDB[#All],MATCH(CondUnitDB[[#This Row],[C1 Compressor Skid]],SkidDB[[#All],[Compressor Skid Model Number]],0),8),"")</f>
        <v>12.5</v>
      </c>
      <c r="E144" t="str">
        <f t="shared" si="8"/>
        <v>16:1</v>
      </c>
      <c r="F144" t="str">
        <f>IFERROR(INDEX(SkidDB[#All],MATCH(CondUnitDB[[#This Row],[C1 Compressor Skid]],SkidDB[[#All],[Compressor Skid Model Number]],0),4),"")</f>
        <v>R454B</v>
      </c>
      <c r="G144" t="s">
        <v>39</v>
      </c>
      <c r="H144" t="s">
        <v>206</v>
      </c>
      <c r="I144" t="s">
        <v>206</v>
      </c>
      <c r="J144" t="s">
        <v>206</v>
      </c>
      <c r="K144" t="s">
        <v>206</v>
      </c>
      <c r="L144">
        <v>0</v>
      </c>
      <c r="M144">
        <v>0</v>
      </c>
    </row>
    <row r="145" spans="1:13" x14ac:dyDescent="0.25">
      <c r="A145" s="5">
        <v>220</v>
      </c>
      <c r="B145">
        <v>5</v>
      </c>
      <c r="C145">
        <v>13</v>
      </c>
      <c r="D145" s="28">
        <f>IFERROR(INDEX(SkidDB[#All],MATCH(CondUnitDB[[#This Row],[C1 Compressor Skid]],SkidDB[[#All],[Compressor Skid Model Number]],0),8),"")</f>
        <v>12.5</v>
      </c>
      <c r="E145" t="str">
        <f t="shared" si="8"/>
        <v>18:1</v>
      </c>
      <c r="F145" t="str">
        <f>IFERROR(INDEX(SkidDB[#All],MATCH(CondUnitDB[[#This Row],[C1 Compressor Skid]],SkidDB[[#All],[Compressor Skid Model Number]],0),4),"")</f>
        <v>R454B</v>
      </c>
      <c r="G145" t="s">
        <v>39</v>
      </c>
      <c r="H145" t="s">
        <v>206</v>
      </c>
      <c r="I145" t="s">
        <v>206</v>
      </c>
      <c r="J145" t="s">
        <v>206</v>
      </c>
      <c r="K145" t="s">
        <v>204</v>
      </c>
      <c r="L145" t="s">
        <v>204</v>
      </c>
      <c r="M145">
        <v>0</v>
      </c>
    </row>
    <row r="146" spans="1:13" x14ac:dyDescent="0.25">
      <c r="A146" s="5">
        <v>235</v>
      </c>
      <c r="B146">
        <v>5</v>
      </c>
      <c r="C146">
        <v>14</v>
      </c>
      <c r="D146" s="28">
        <f>IFERROR(INDEX(SkidDB[#All],MATCH(CondUnitDB[[#This Row],[C1 Compressor Skid]],SkidDB[[#All],[Compressor Skid Model Number]],0),8),"")</f>
        <v>12.5</v>
      </c>
      <c r="E146" t="str">
        <f t="shared" si="8"/>
        <v>19:1</v>
      </c>
      <c r="F146" t="str">
        <f>IFERROR(INDEX(SkidDB[#All],MATCH(CondUnitDB[[#This Row],[C1 Compressor Skid]],SkidDB[[#All],[Compressor Skid Model Number]],0),4),"")</f>
        <v>R454B</v>
      </c>
      <c r="G146" t="s">
        <v>39</v>
      </c>
      <c r="H146" t="s">
        <v>206</v>
      </c>
      <c r="I146" t="s">
        <v>206</v>
      </c>
      <c r="J146" t="s">
        <v>206</v>
      </c>
      <c r="K146" t="s">
        <v>206</v>
      </c>
      <c r="L146" t="s">
        <v>204</v>
      </c>
      <c r="M146">
        <v>0</v>
      </c>
    </row>
    <row r="147" spans="1:13" x14ac:dyDescent="0.25">
      <c r="A147" s="5">
        <v>250</v>
      </c>
      <c r="B147">
        <v>5</v>
      </c>
      <c r="C147">
        <v>15</v>
      </c>
      <c r="D147" s="28">
        <f>IFERROR(INDEX(SkidDB[#All],MATCH(CondUnitDB[[#This Row],[C1 Compressor Skid]],SkidDB[[#All],[Compressor Skid Model Number]],0),8),"")</f>
        <v>12.5</v>
      </c>
      <c r="E147" t="str">
        <f t="shared" si="8"/>
        <v>20:1</v>
      </c>
      <c r="F147" t="str">
        <f>IFERROR(INDEX(SkidDB[#All],MATCH(CondUnitDB[[#This Row],[C1 Compressor Skid]],SkidDB[[#All],[Compressor Skid Model Number]],0),4),"")</f>
        <v>R454B</v>
      </c>
      <c r="G147" t="s">
        <v>39</v>
      </c>
      <c r="H147" t="s">
        <v>206</v>
      </c>
      <c r="I147" t="s">
        <v>206</v>
      </c>
      <c r="J147" t="s">
        <v>206</v>
      </c>
      <c r="K147" t="s">
        <v>206</v>
      </c>
      <c r="L147" t="s">
        <v>206</v>
      </c>
      <c r="M147">
        <v>0</v>
      </c>
    </row>
    <row r="148" spans="1:13" x14ac:dyDescent="0.25">
      <c r="A148" s="5">
        <v>265</v>
      </c>
      <c r="B148">
        <v>6</v>
      </c>
      <c r="C148">
        <v>16</v>
      </c>
      <c r="D148" s="28">
        <f>IFERROR(INDEX(SkidDB[#All],MATCH(CondUnitDB[[#This Row],[C1 Compressor Skid]],SkidDB[[#All],[Compressor Skid Model Number]],0),8),"")</f>
        <v>12.5</v>
      </c>
      <c r="E148" t="str">
        <f t="shared" si="8"/>
        <v>22:1</v>
      </c>
      <c r="F148" t="str">
        <f>IFERROR(INDEX(SkidDB[#All],MATCH(CondUnitDB[[#This Row],[C1 Compressor Skid]],SkidDB[[#All],[Compressor Skid Model Number]],0),4),"")</f>
        <v>R454B</v>
      </c>
      <c r="G148" t="s">
        <v>39</v>
      </c>
      <c r="H148" t="s">
        <v>206</v>
      </c>
      <c r="I148" t="s">
        <v>206</v>
      </c>
      <c r="J148" t="s">
        <v>206</v>
      </c>
      <c r="K148" t="s">
        <v>206</v>
      </c>
      <c r="L148" t="s">
        <v>204</v>
      </c>
      <c r="M148" t="s">
        <v>204</v>
      </c>
    </row>
    <row r="149" spans="1:13" x14ac:dyDescent="0.25">
      <c r="A149" s="5">
        <v>280</v>
      </c>
      <c r="B149">
        <v>6</v>
      </c>
      <c r="C149">
        <v>17</v>
      </c>
      <c r="D149" s="28">
        <f>IFERROR(INDEX(SkidDB[#All],MATCH(CondUnitDB[[#This Row],[C1 Compressor Skid]],SkidDB[[#All],[Compressor Skid Model Number]],0),8),"")</f>
        <v>12.5</v>
      </c>
      <c r="E149" t="str">
        <f t="shared" si="8"/>
        <v>23:1</v>
      </c>
      <c r="F149" t="str">
        <f>IFERROR(INDEX(SkidDB[#All],MATCH(CondUnitDB[[#This Row],[C1 Compressor Skid]],SkidDB[[#All],[Compressor Skid Model Number]],0),4),"")</f>
        <v>R454B</v>
      </c>
      <c r="G149" t="s">
        <v>39</v>
      </c>
      <c r="H149" t="s">
        <v>206</v>
      </c>
      <c r="I149" t="s">
        <v>206</v>
      </c>
      <c r="J149" t="s">
        <v>206</v>
      </c>
      <c r="K149" t="s">
        <v>206</v>
      </c>
      <c r="L149" t="s">
        <v>206</v>
      </c>
      <c r="M149" t="s">
        <v>204</v>
      </c>
    </row>
    <row r="150" spans="1:13" x14ac:dyDescent="0.25">
      <c r="A150" s="5">
        <v>300</v>
      </c>
      <c r="B150">
        <v>6</v>
      </c>
      <c r="C150">
        <v>18</v>
      </c>
      <c r="D150" s="28">
        <f>IFERROR(INDEX(SkidDB[#All],MATCH(CondUnitDB[[#This Row],[C1 Compressor Skid]],SkidDB[[#All],[Compressor Skid Model Number]],0),8),"")</f>
        <v>12.5</v>
      </c>
      <c r="E150" t="str">
        <f t="shared" si="8"/>
        <v>24:1</v>
      </c>
      <c r="F150" t="str">
        <f>IFERROR(INDEX(SkidDB[#All],MATCH(CondUnitDB[[#This Row],[C1 Compressor Skid]],SkidDB[[#All],[Compressor Skid Model Number]],0),4),"")</f>
        <v>R454B</v>
      </c>
      <c r="G150" t="s">
        <v>39</v>
      </c>
      <c r="H150" t="s">
        <v>206</v>
      </c>
      <c r="I150" t="s">
        <v>206</v>
      </c>
      <c r="J150" t="s">
        <v>206</v>
      </c>
      <c r="K150" t="s">
        <v>206</v>
      </c>
      <c r="L150" t="s">
        <v>206</v>
      </c>
      <c r="M150" t="s">
        <v>206</v>
      </c>
    </row>
    <row r="156" spans="1:13" ht="30" x14ac:dyDescent="0.25">
      <c r="A156" s="17" t="s">
        <v>44</v>
      </c>
      <c r="B156" s="17" t="s">
        <v>54</v>
      </c>
      <c r="C156" s="17" t="s">
        <v>3</v>
      </c>
      <c r="D156" s="17" t="s">
        <v>45</v>
      </c>
      <c r="E156" s="17" t="s">
        <v>46</v>
      </c>
      <c r="F156" s="17" t="s">
        <v>47</v>
      </c>
      <c r="G156" s="17" t="s">
        <v>48</v>
      </c>
      <c r="H156" s="17" t="s">
        <v>207</v>
      </c>
      <c r="I156" s="17" t="s">
        <v>208</v>
      </c>
      <c r="J156" s="17" t="s">
        <v>209</v>
      </c>
    </row>
    <row r="157" spans="1:13" x14ac:dyDescent="0.25">
      <c r="A157" t="s">
        <v>63</v>
      </c>
      <c r="B157" t="s">
        <v>25</v>
      </c>
      <c r="C157" s="10">
        <f>115327/12000</f>
        <v>9.6105833333333326</v>
      </c>
      <c r="D157" t="s">
        <v>64</v>
      </c>
      <c r="E157" s="11">
        <v>11077</v>
      </c>
      <c r="F157" s="12">
        <v>33.4</v>
      </c>
      <c r="G157" t="s">
        <v>65</v>
      </c>
      <c r="I157" t="s">
        <v>210</v>
      </c>
    </row>
    <row r="158" spans="1:13" x14ac:dyDescent="0.25">
      <c r="A158" t="s">
        <v>75</v>
      </c>
      <c r="B158" t="s">
        <v>25</v>
      </c>
      <c r="C158" s="10">
        <f>115327/12000</f>
        <v>9.6105833333333326</v>
      </c>
      <c r="D158" t="s">
        <v>76</v>
      </c>
      <c r="E158" s="11">
        <v>11044</v>
      </c>
      <c r="F158" s="12">
        <v>20</v>
      </c>
      <c r="G158" t="s">
        <v>65</v>
      </c>
      <c r="I158" t="s">
        <v>211</v>
      </c>
    </row>
    <row r="159" spans="1:13" x14ac:dyDescent="0.25">
      <c r="A159" t="s">
        <v>75</v>
      </c>
      <c r="B159" t="s">
        <v>25</v>
      </c>
      <c r="C159" s="10">
        <f>115327/12000</f>
        <v>9.6105833333333326</v>
      </c>
      <c r="D159" t="s">
        <v>83</v>
      </c>
      <c r="E159" s="11">
        <v>11044</v>
      </c>
      <c r="F159" s="12">
        <v>23.9</v>
      </c>
      <c r="G159" t="s">
        <v>65</v>
      </c>
      <c r="I159" t="s">
        <v>212</v>
      </c>
    </row>
    <row r="160" spans="1:13" x14ac:dyDescent="0.25">
      <c r="A160" t="s">
        <v>28</v>
      </c>
      <c r="B160" t="s">
        <v>25</v>
      </c>
      <c r="C160" s="10">
        <f>160781/12000</f>
        <v>13.398416666666666</v>
      </c>
      <c r="D160" t="s">
        <v>64</v>
      </c>
      <c r="E160" s="11">
        <v>14125</v>
      </c>
      <c r="F160" s="12">
        <v>42.46</v>
      </c>
      <c r="G160" t="s">
        <v>65</v>
      </c>
      <c r="I160" t="s">
        <v>210</v>
      </c>
    </row>
    <row r="161" spans="1:10" x14ac:dyDescent="0.25">
      <c r="A161" t="s">
        <v>29</v>
      </c>
      <c r="B161" t="s">
        <v>25</v>
      </c>
      <c r="C161" s="10">
        <f>160781/12000</f>
        <v>13.398416666666666</v>
      </c>
      <c r="D161" t="s">
        <v>83</v>
      </c>
      <c r="E161" s="11">
        <v>13392</v>
      </c>
      <c r="F161" s="12">
        <v>19.899999999999999</v>
      </c>
      <c r="G161" t="s">
        <v>65</v>
      </c>
      <c r="I161" t="s">
        <v>212</v>
      </c>
    </row>
    <row r="162" spans="1:10" x14ac:dyDescent="0.25">
      <c r="A162" t="s">
        <v>29</v>
      </c>
      <c r="B162" t="s">
        <v>25</v>
      </c>
      <c r="C162" s="10">
        <f>160781/12000</f>
        <v>13.398416666666666</v>
      </c>
      <c r="D162" t="s">
        <v>76</v>
      </c>
      <c r="E162" s="11">
        <v>13392</v>
      </c>
      <c r="F162" s="12">
        <v>16.600000000000001</v>
      </c>
      <c r="G162" t="s">
        <v>65</v>
      </c>
      <c r="I162" t="s">
        <v>211</v>
      </c>
    </row>
    <row r="163" spans="1:10" x14ac:dyDescent="0.25">
      <c r="A163" t="s">
        <v>31</v>
      </c>
      <c r="B163" t="s">
        <v>25</v>
      </c>
      <c r="C163" s="10">
        <f>171559/12000</f>
        <v>14.296583333333333</v>
      </c>
      <c r="D163" t="s">
        <v>64</v>
      </c>
      <c r="E163" s="11">
        <v>15935</v>
      </c>
      <c r="F163" s="12">
        <v>52.5</v>
      </c>
      <c r="G163" t="s">
        <v>65</v>
      </c>
      <c r="I163" t="s">
        <v>213</v>
      </c>
    </row>
    <row r="164" spans="1:10" x14ac:dyDescent="0.25">
      <c r="A164" t="s">
        <v>32</v>
      </c>
      <c r="B164" t="s">
        <v>25</v>
      </c>
      <c r="C164" s="10">
        <f>171559/12000</f>
        <v>14.296583333333333</v>
      </c>
      <c r="D164" t="s">
        <v>76</v>
      </c>
      <c r="E164" s="11">
        <v>16104</v>
      </c>
      <c r="F164" s="12">
        <v>23.4</v>
      </c>
      <c r="G164" t="s">
        <v>65</v>
      </c>
      <c r="I164" t="s">
        <v>214</v>
      </c>
    </row>
    <row r="165" spans="1:10" x14ac:dyDescent="0.25">
      <c r="A165" t="s">
        <v>32</v>
      </c>
      <c r="B165" t="s">
        <v>25</v>
      </c>
      <c r="C165" s="10">
        <f>171559/12000</f>
        <v>14.296583333333333</v>
      </c>
      <c r="D165" t="s">
        <v>83</v>
      </c>
      <c r="E165" s="11">
        <v>16104</v>
      </c>
      <c r="F165" s="12">
        <v>28.05</v>
      </c>
      <c r="G165" t="s">
        <v>65</v>
      </c>
      <c r="I165" t="s">
        <v>215</v>
      </c>
    </row>
    <row r="166" spans="1:10" x14ac:dyDescent="0.25">
      <c r="A166" t="s">
        <v>33</v>
      </c>
      <c r="B166" t="s">
        <v>25</v>
      </c>
      <c r="C166" s="10">
        <f>191358/12000</f>
        <v>15.9465</v>
      </c>
      <c r="D166" t="s">
        <v>64</v>
      </c>
      <c r="E166" s="11">
        <v>17908</v>
      </c>
      <c r="F166" s="12">
        <v>53.54</v>
      </c>
      <c r="G166" t="s">
        <v>65</v>
      </c>
      <c r="I166" t="s">
        <v>213</v>
      </c>
    </row>
    <row r="167" spans="1:10" x14ac:dyDescent="0.25">
      <c r="A167" t="s">
        <v>34</v>
      </c>
      <c r="B167" t="s">
        <v>25</v>
      </c>
      <c r="C167" s="10">
        <f>191358/12000</f>
        <v>15.9465</v>
      </c>
      <c r="D167" t="s">
        <v>83</v>
      </c>
      <c r="E167" s="11">
        <v>17791</v>
      </c>
      <c r="F167" s="12">
        <v>29.86</v>
      </c>
      <c r="G167" t="s">
        <v>65</v>
      </c>
      <c r="I167" t="s">
        <v>215</v>
      </c>
    </row>
    <row r="168" spans="1:10" x14ac:dyDescent="0.25">
      <c r="A168" t="s">
        <v>34</v>
      </c>
      <c r="B168" t="s">
        <v>25</v>
      </c>
      <c r="C168" s="10">
        <f>191358/12000</f>
        <v>15.9465</v>
      </c>
      <c r="D168" t="s">
        <v>76</v>
      </c>
      <c r="E168" s="11">
        <v>17791</v>
      </c>
      <c r="F168" s="12">
        <v>24.9</v>
      </c>
      <c r="G168" t="s">
        <v>65</v>
      </c>
      <c r="I168" t="s">
        <v>214</v>
      </c>
      <c r="J168" t="s">
        <v>216</v>
      </c>
    </row>
    <row r="169" spans="1:10" x14ac:dyDescent="0.25">
      <c r="A169" t="s">
        <v>117</v>
      </c>
      <c r="B169" t="s">
        <v>25</v>
      </c>
      <c r="C169" s="10">
        <f>197196.7/12000</f>
        <v>16.433058333333335</v>
      </c>
      <c r="D169" t="s">
        <v>76</v>
      </c>
      <c r="E169" s="11">
        <v>21296</v>
      </c>
      <c r="F169" s="12">
        <v>29.09</v>
      </c>
      <c r="G169" t="s">
        <v>65</v>
      </c>
      <c r="I169" t="s">
        <v>217</v>
      </c>
      <c r="J169" t="s">
        <v>216</v>
      </c>
    </row>
    <row r="170" spans="1:10" x14ac:dyDescent="0.25">
      <c r="A170" t="s">
        <v>117</v>
      </c>
      <c r="B170" t="s">
        <v>25</v>
      </c>
      <c r="C170" s="10">
        <f>197196.7/12000</f>
        <v>16.433058333333335</v>
      </c>
      <c r="D170" t="s">
        <v>83</v>
      </c>
      <c r="E170" s="11">
        <v>21296</v>
      </c>
      <c r="F170" s="12">
        <v>34.85</v>
      </c>
      <c r="G170" t="s">
        <v>65</v>
      </c>
      <c r="I170" t="s">
        <v>218</v>
      </c>
    </row>
    <row r="171" spans="1:10" x14ac:dyDescent="0.25">
      <c r="A171" s="8" t="s">
        <v>40</v>
      </c>
      <c r="B171" s="8" t="s">
        <v>39</v>
      </c>
      <c r="C171" s="10">
        <f>161.5/12</f>
        <v>13.458333333333334</v>
      </c>
      <c r="D171" t="s">
        <v>64</v>
      </c>
      <c r="E171" s="11">
        <v>15450</v>
      </c>
      <c r="F171" s="12">
        <v>43.5</v>
      </c>
      <c r="G171" t="s">
        <v>65</v>
      </c>
      <c r="H171" t="s">
        <v>219</v>
      </c>
    </row>
    <row r="172" spans="1:10" x14ac:dyDescent="0.25">
      <c r="A172" s="8" t="s">
        <v>41</v>
      </c>
      <c r="B172" s="8" t="s">
        <v>39</v>
      </c>
      <c r="C172" s="10">
        <f>156000/12000</f>
        <v>13</v>
      </c>
      <c r="D172" t="s">
        <v>83</v>
      </c>
      <c r="E172" s="11">
        <v>14800</v>
      </c>
      <c r="F172" s="12">
        <f>20*460/480</f>
        <v>19.166666666666668</v>
      </c>
      <c r="G172" t="s">
        <v>65</v>
      </c>
      <c r="H172" s="9" t="s">
        <v>220</v>
      </c>
    </row>
    <row r="173" spans="1:10" x14ac:dyDescent="0.25">
      <c r="A173" s="8" t="s">
        <v>41</v>
      </c>
      <c r="B173" s="8" t="s">
        <v>39</v>
      </c>
      <c r="C173" s="10">
        <f>156000/12000</f>
        <v>13</v>
      </c>
      <c r="D173" t="s">
        <v>76</v>
      </c>
      <c r="E173" s="11">
        <v>14800</v>
      </c>
      <c r="F173" s="12">
        <f>20*460/575</f>
        <v>16</v>
      </c>
      <c r="G173" t="s">
        <v>65</v>
      </c>
      <c r="H173" t="s">
        <v>221</v>
      </c>
    </row>
    <row r="174" spans="1:10" ht="15.75" customHeight="1" x14ac:dyDescent="0.25">
      <c r="A174" t="s">
        <v>42</v>
      </c>
      <c r="B174" s="8" t="s">
        <v>39</v>
      </c>
      <c r="C174" s="10">
        <f>223/12</f>
        <v>18.583333333333332</v>
      </c>
      <c r="D174" t="s">
        <v>64</v>
      </c>
      <c r="E174" s="11">
        <v>22200</v>
      </c>
      <c r="F174" s="12">
        <v>80.599999999999994</v>
      </c>
      <c r="G174" t="s">
        <v>65</v>
      </c>
      <c r="H174" s="9" t="s">
        <v>219</v>
      </c>
    </row>
    <row r="175" spans="1:10" x14ac:dyDescent="0.25">
      <c r="A175" t="s">
        <v>43</v>
      </c>
      <c r="B175" s="8" t="s">
        <v>39</v>
      </c>
      <c r="C175" s="10">
        <f>224/12</f>
        <v>18.666666666666668</v>
      </c>
      <c r="D175" t="s">
        <v>83</v>
      </c>
      <c r="E175" s="11">
        <v>22800</v>
      </c>
      <c r="F175" s="12">
        <f>39.9*460/480</f>
        <v>38.237499999999997</v>
      </c>
      <c r="G175" t="s">
        <v>65</v>
      </c>
      <c r="H175" t="s">
        <v>222</v>
      </c>
    </row>
    <row r="176" spans="1:10" x14ac:dyDescent="0.25">
      <c r="A176" t="s">
        <v>43</v>
      </c>
      <c r="B176" s="8" t="s">
        <v>39</v>
      </c>
      <c r="C176" s="10">
        <f>224/12</f>
        <v>18.666666666666668</v>
      </c>
      <c r="D176" t="s">
        <v>76</v>
      </c>
      <c r="E176" s="11">
        <v>22800</v>
      </c>
      <c r="F176" s="12">
        <f>39.9*460/575</f>
        <v>31.92</v>
      </c>
      <c r="G176" t="s">
        <v>65</v>
      </c>
      <c r="H176" t="s">
        <v>223</v>
      </c>
    </row>
    <row r="179" spans="1:13" x14ac:dyDescent="0.25">
      <c r="C179" t="s">
        <v>224</v>
      </c>
      <c r="E179" t="s">
        <v>225</v>
      </c>
      <c r="G179" t="s">
        <v>226</v>
      </c>
      <c r="I179" t="s">
        <v>227</v>
      </c>
    </row>
    <row r="180" spans="1:13" x14ac:dyDescent="0.25">
      <c r="A180" t="s">
        <v>228</v>
      </c>
    </row>
    <row r="181" spans="1:13" x14ac:dyDescent="0.25">
      <c r="A181" t="s">
        <v>229</v>
      </c>
      <c r="B181" t="s">
        <v>230</v>
      </c>
      <c r="C181" t="s">
        <v>231</v>
      </c>
      <c r="D181" t="s">
        <v>232</v>
      </c>
      <c r="E181" t="s">
        <v>233</v>
      </c>
      <c r="F181" t="s">
        <v>49</v>
      </c>
      <c r="G181" t="s">
        <v>234</v>
      </c>
      <c r="H181" t="s">
        <v>235</v>
      </c>
      <c r="I181" t="s">
        <v>236</v>
      </c>
      <c r="J181" t="s">
        <v>237</v>
      </c>
    </row>
    <row r="182" spans="1:13" x14ac:dyDescent="0.25">
      <c r="A182" t="s">
        <v>238</v>
      </c>
      <c r="B182" t="s">
        <v>239</v>
      </c>
      <c r="C182" t="s">
        <v>240</v>
      </c>
      <c r="D182" t="s">
        <v>241</v>
      </c>
      <c r="F182" t="s">
        <v>242</v>
      </c>
      <c r="G182" t="s">
        <v>243</v>
      </c>
      <c r="H182" t="s">
        <v>240</v>
      </c>
    </row>
    <row r="183" spans="1:13" x14ac:dyDescent="0.25">
      <c r="A183" t="s">
        <v>244</v>
      </c>
      <c r="C183" t="s">
        <v>240</v>
      </c>
      <c r="D183" t="s">
        <v>245</v>
      </c>
      <c r="F183" t="s">
        <v>242</v>
      </c>
      <c r="G183" t="s">
        <v>243</v>
      </c>
      <c r="H183" t="s">
        <v>240</v>
      </c>
    </row>
    <row r="184" spans="1:13" x14ac:dyDescent="0.25">
      <c r="A184" t="s">
        <v>246</v>
      </c>
      <c r="B184" t="s">
        <v>247</v>
      </c>
      <c r="C184" t="s">
        <v>248</v>
      </c>
      <c r="D184" t="s">
        <v>249</v>
      </c>
      <c r="F184" t="s">
        <v>250</v>
      </c>
      <c r="G184" t="s">
        <v>243</v>
      </c>
      <c r="H184" t="s">
        <v>251</v>
      </c>
      <c r="I184" t="s">
        <v>252</v>
      </c>
    </row>
    <row r="185" spans="1:13" x14ac:dyDescent="0.25">
      <c r="A185" t="s">
        <v>253</v>
      </c>
      <c r="B185" t="s">
        <v>254</v>
      </c>
      <c r="C185" t="s">
        <v>248</v>
      </c>
      <c r="D185" t="s">
        <v>255</v>
      </c>
      <c r="F185" t="s">
        <v>250</v>
      </c>
      <c r="G185" t="s">
        <v>243</v>
      </c>
      <c r="H185" t="s">
        <v>251</v>
      </c>
      <c r="I185" t="s">
        <v>252</v>
      </c>
      <c r="J185" t="s">
        <v>256</v>
      </c>
    </row>
    <row r="186" spans="1:13" x14ac:dyDescent="0.25">
      <c r="A186" t="s">
        <v>257</v>
      </c>
      <c r="B186" t="s">
        <v>258</v>
      </c>
      <c r="C186" t="s">
        <v>259</v>
      </c>
      <c r="D186" t="s">
        <v>260</v>
      </c>
      <c r="F186" t="s">
        <v>250</v>
      </c>
      <c r="G186" t="s">
        <v>243</v>
      </c>
      <c r="H186" t="s">
        <v>261</v>
      </c>
      <c r="I186" t="s">
        <v>262</v>
      </c>
    </row>
    <row r="187" spans="1:13" x14ac:dyDescent="0.25">
      <c r="A187" t="s">
        <v>263</v>
      </c>
      <c r="B187" t="s">
        <v>264</v>
      </c>
      <c r="C187" t="s">
        <v>240</v>
      </c>
      <c r="D187" t="s">
        <v>265</v>
      </c>
      <c r="F187" t="s">
        <v>242</v>
      </c>
      <c r="G187" t="s">
        <v>243</v>
      </c>
      <c r="H187" t="s">
        <v>240</v>
      </c>
    </row>
    <row r="188" spans="1:13" x14ac:dyDescent="0.25">
      <c r="A188" t="s">
        <v>266</v>
      </c>
      <c r="B188" t="s">
        <v>267</v>
      </c>
      <c r="C188" t="s">
        <v>240</v>
      </c>
      <c r="D188" t="s">
        <v>268</v>
      </c>
      <c r="F188" t="s">
        <v>242</v>
      </c>
      <c r="G188" t="s">
        <v>243</v>
      </c>
      <c r="H188" t="s">
        <v>240</v>
      </c>
    </row>
    <row r="189" spans="1:13" x14ac:dyDescent="0.25">
      <c r="A189" t="s">
        <v>244</v>
      </c>
      <c r="D189" t="s">
        <v>269</v>
      </c>
    </row>
    <row r="192" spans="1:13" x14ac:dyDescent="0.25">
      <c r="M192" s="8"/>
    </row>
    <row r="195" spans="1:14" x14ac:dyDescent="0.25">
      <c r="A195" t="s">
        <v>270</v>
      </c>
    </row>
    <row r="196" spans="1:14" x14ac:dyDescent="0.25">
      <c r="A196" s="29" t="s">
        <v>229</v>
      </c>
      <c r="B196" s="29" t="s">
        <v>230</v>
      </c>
      <c r="C196" s="29" t="s">
        <v>231</v>
      </c>
      <c r="D196" s="29" t="s">
        <v>232</v>
      </c>
      <c r="E196" s="29" t="s">
        <v>233</v>
      </c>
      <c r="F196" s="29" t="s">
        <v>49</v>
      </c>
      <c r="G196" s="29" t="s">
        <v>234</v>
      </c>
      <c r="H196" s="29" t="s">
        <v>235</v>
      </c>
      <c r="I196" s="29" t="s">
        <v>236</v>
      </c>
      <c r="J196" s="29" t="s">
        <v>237</v>
      </c>
    </row>
    <row r="197" spans="1:14" x14ac:dyDescent="0.25">
      <c r="A197" s="30" t="s">
        <v>271</v>
      </c>
      <c r="B197" s="30" t="s">
        <v>272</v>
      </c>
      <c r="C197" t="s">
        <v>240</v>
      </c>
      <c r="F197" t="s">
        <v>242</v>
      </c>
      <c r="G197" t="s">
        <v>243</v>
      </c>
      <c r="H197" t="s">
        <v>240</v>
      </c>
    </row>
    <row r="198" spans="1:14" x14ac:dyDescent="0.25">
      <c r="A198" s="30" t="s">
        <v>273</v>
      </c>
      <c r="B198" s="30" t="s">
        <v>274</v>
      </c>
      <c r="C198" t="s">
        <v>240</v>
      </c>
      <c r="F198" t="s">
        <v>242</v>
      </c>
      <c r="G198" t="s">
        <v>243</v>
      </c>
      <c r="H198" t="s">
        <v>240</v>
      </c>
    </row>
    <row r="199" spans="1:14" x14ac:dyDescent="0.25">
      <c r="A199" s="30" t="s">
        <v>275</v>
      </c>
      <c r="B199" s="30" t="s">
        <v>276</v>
      </c>
      <c r="C199" t="s">
        <v>240</v>
      </c>
      <c r="F199" t="s">
        <v>242</v>
      </c>
      <c r="G199" t="s">
        <v>243</v>
      </c>
      <c r="H199" t="s">
        <v>240</v>
      </c>
    </row>
    <row r="200" spans="1:14" x14ac:dyDescent="0.25">
      <c r="A200" s="30" t="s">
        <v>277</v>
      </c>
      <c r="B200" s="30" t="s">
        <v>278</v>
      </c>
      <c r="C200" t="s">
        <v>248</v>
      </c>
      <c r="F200" t="s">
        <v>250</v>
      </c>
      <c r="G200" t="s">
        <v>243</v>
      </c>
      <c r="H200" t="s">
        <v>251</v>
      </c>
      <c r="I200" t="s">
        <v>252</v>
      </c>
    </row>
    <row r="201" spans="1:14" x14ac:dyDescent="0.25">
      <c r="A201" s="30" t="s">
        <v>279</v>
      </c>
      <c r="B201" s="30" t="s">
        <v>280</v>
      </c>
      <c r="C201" t="s">
        <v>248</v>
      </c>
      <c r="F201" t="s">
        <v>250</v>
      </c>
      <c r="G201" t="s">
        <v>243</v>
      </c>
      <c r="H201" t="s">
        <v>251</v>
      </c>
      <c r="I201" t="s">
        <v>252</v>
      </c>
    </row>
    <row r="202" spans="1:14" x14ac:dyDescent="0.25">
      <c r="A202" s="30" t="s">
        <v>281</v>
      </c>
      <c r="B202" s="30" t="s">
        <v>282</v>
      </c>
      <c r="C202" t="s">
        <v>248</v>
      </c>
      <c r="F202" t="s">
        <v>250</v>
      </c>
      <c r="G202" t="s">
        <v>243</v>
      </c>
      <c r="H202" t="s">
        <v>251</v>
      </c>
      <c r="I202" t="s">
        <v>252</v>
      </c>
    </row>
    <row r="203" spans="1:14" x14ac:dyDescent="0.25">
      <c r="A203" s="30" t="s">
        <v>283</v>
      </c>
      <c r="B203" s="30" t="s">
        <v>284</v>
      </c>
      <c r="C203" t="s">
        <v>240</v>
      </c>
      <c r="F203" t="s">
        <v>242</v>
      </c>
      <c r="G203" t="s">
        <v>243</v>
      </c>
      <c r="H203" t="s">
        <v>240</v>
      </c>
    </row>
    <row r="204" spans="1:14" x14ac:dyDescent="0.25">
      <c r="A204" s="30" t="s">
        <v>285</v>
      </c>
      <c r="B204" s="30" t="s">
        <v>286</v>
      </c>
      <c r="C204" t="s">
        <v>240</v>
      </c>
      <c r="F204" t="s">
        <v>242</v>
      </c>
      <c r="G204" t="s">
        <v>243</v>
      </c>
      <c r="H204" t="s">
        <v>240</v>
      </c>
    </row>
    <row r="205" spans="1:14" x14ac:dyDescent="0.25">
      <c r="A205" s="30" t="s">
        <v>287</v>
      </c>
      <c r="B205" s="30" t="s">
        <v>288</v>
      </c>
      <c r="C205" t="s">
        <v>289</v>
      </c>
      <c r="F205" t="s">
        <v>250</v>
      </c>
      <c r="G205" t="s">
        <v>243</v>
      </c>
      <c r="H205" t="s">
        <v>290</v>
      </c>
      <c r="I205" t="s">
        <v>291</v>
      </c>
    </row>
    <row r="206" spans="1:14" x14ac:dyDescent="0.25">
      <c r="A206" s="30" t="s">
        <v>292</v>
      </c>
      <c r="B206" s="30" t="s">
        <v>293</v>
      </c>
      <c r="C206" t="s">
        <v>289</v>
      </c>
      <c r="F206" t="s">
        <v>250</v>
      </c>
      <c r="G206" t="s">
        <v>243</v>
      </c>
      <c r="H206" t="s">
        <v>290</v>
      </c>
      <c r="I206" t="s">
        <v>294</v>
      </c>
      <c r="L206" t="s">
        <v>295</v>
      </c>
      <c r="N206" t="s">
        <v>296</v>
      </c>
    </row>
    <row r="207" spans="1:14" x14ac:dyDescent="0.25">
      <c r="A207" s="30" t="s">
        <v>297</v>
      </c>
      <c r="B207" s="30" t="s">
        <v>298</v>
      </c>
      <c r="C207" t="s">
        <v>289</v>
      </c>
      <c r="F207" t="s">
        <v>250</v>
      </c>
      <c r="G207" t="s">
        <v>243</v>
      </c>
      <c r="H207" t="s">
        <v>290</v>
      </c>
      <c r="I207" t="s">
        <v>294</v>
      </c>
    </row>
    <row r="208" spans="1:14" x14ac:dyDescent="0.25">
      <c r="A208" s="30" t="s">
        <v>299</v>
      </c>
      <c r="B208" s="30" t="s">
        <v>300</v>
      </c>
      <c r="C208" t="s">
        <v>301</v>
      </c>
      <c r="F208" t="s">
        <v>250</v>
      </c>
      <c r="G208" t="s">
        <v>243</v>
      </c>
      <c r="H208" t="s">
        <v>261</v>
      </c>
      <c r="I208" t="s">
        <v>262</v>
      </c>
    </row>
    <row r="209" spans="1:10" x14ac:dyDescent="0.25">
      <c r="A209" s="30" t="s">
        <v>302</v>
      </c>
      <c r="B209" s="30" t="s">
        <v>303</v>
      </c>
      <c r="C209" t="s">
        <v>301</v>
      </c>
      <c r="F209" t="s">
        <v>250</v>
      </c>
      <c r="G209" t="s">
        <v>243</v>
      </c>
      <c r="H209" t="s">
        <v>261</v>
      </c>
      <c r="I209" t="s">
        <v>262</v>
      </c>
    </row>
    <row r="210" spans="1:10" x14ac:dyDescent="0.25">
      <c r="A210" s="30" t="s">
        <v>304</v>
      </c>
      <c r="B210" s="30" t="s">
        <v>305</v>
      </c>
      <c r="C210" t="s">
        <v>301</v>
      </c>
      <c r="F210" t="s">
        <v>250</v>
      </c>
      <c r="G210" t="s">
        <v>243</v>
      </c>
      <c r="H210" t="s">
        <v>261</v>
      </c>
      <c r="I210" t="s">
        <v>262</v>
      </c>
    </row>
    <row r="211" spans="1:10" x14ac:dyDescent="0.25">
      <c r="A211" s="30" t="s">
        <v>306</v>
      </c>
      <c r="B211" s="30" t="s">
        <v>307</v>
      </c>
      <c r="C211" t="s">
        <v>240</v>
      </c>
      <c r="F211" t="s">
        <v>242</v>
      </c>
      <c r="G211" t="s">
        <v>243</v>
      </c>
      <c r="H211" t="s">
        <v>240</v>
      </c>
    </row>
    <row r="216" spans="1:10" x14ac:dyDescent="0.25">
      <c r="A216" t="s">
        <v>308</v>
      </c>
    </row>
    <row r="217" spans="1:10" x14ac:dyDescent="0.25">
      <c r="A217" t="s">
        <v>229</v>
      </c>
      <c r="B217" t="s">
        <v>230</v>
      </c>
      <c r="C217" t="s">
        <v>231</v>
      </c>
      <c r="D217" t="s">
        <v>232</v>
      </c>
      <c r="E217" t="s">
        <v>233</v>
      </c>
      <c r="F217" t="s">
        <v>49</v>
      </c>
      <c r="G217" t="s">
        <v>234</v>
      </c>
      <c r="H217" t="s">
        <v>235</v>
      </c>
      <c r="I217" t="s">
        <v>236</v>
      </c>
      <c r="J217" t="s">
        <v>237</v>
      </c>
    </row>
    <row r="218" spans="1:10" x14ac:dyDescent="0.25">
      <c r="A218" s="31" t="s">
        <v>309</v>
      </c>
      <c r="B218" s="31" t="s">
        <v>310</v>
      </c>
      <c r="C218" s="31" t="s">
        <v>240</v>
      </c>
      <c r="D218" s="31"/>
      <c r="E218" s="31"/>
      <c r="F218" s="31" t="s">
        <v>242</v>
      </c>
      <c r="G218" t="s">
        <v>243</v>
      </c>
      <c r="H218" s="31" t="s">
        <v>240</v>
      </c>
      <c r="I218" s="31"/>
    </row>
    <row r="224" spans="1:10" x14ac:dyDescent="0.25">
      <c r="A224" t="s">
        <v>311</v>
      </c>
    </row>
    <row r="225" spans="1:10" x14ac:dyDescent="0.25">
      <c r="A225" s="29" t="s">
        <v>229</v>
      </c>
      <c r="B225" s="29" t="s">
        <v>230</v>
      </c>
      <c r="C225" s="29" t="s">
        <v>231</v>
      </c>
      <c r="D225" t="s">
        <v>232</v>
      </c>
      <c r="E225" t="s">
        <v>233</v>
      </c>
      <c r="F225" s="29" t="s">
        <v>49</v>
      </c>
      <c r="G225" s="29" t="s">
        <v>234</v>
      </c>
      <c r="H225" s="29" t="s">
        <v>235</v>
      </c>
      <c r="I225" s="29" t="s">
        <v>236</v>
      </c>
      <c r="J225" s="29" t="s">
        <v>237</v>
      </c>
    </row>
    <row r="226" spans="1:10" x14ac:dyDescent="0.25">
      <c r="A226" t="s">
        <v>312</v>
      </c>
      <c r="B226" t="s">
        <v>313</v>
      </c>
      <c r="C226" t="s">
        <v>240</v>
      </c>
      <c r="D226" t="s">
        <v>314</v>
      </c>
      <c r="F226" t="s">
        <v>242</v>
      </c>
      <c r="G226" t="s">
        <v>243</v>
      </c>
      <c r="H226" t="s">
        <v>240</v>
      </c>
    </row>
    <row r="227" spans="1:10" x14ac:dyDescent="0.25">
      <c r="A227" t="s">
        <v>315</v>
      </c>
      <c r="B227" t="s">
        <v>316</v>
      </c>
      <c r="C227" t="s">
        <v>248</v>
      </c>
      <c r="D227" t="s">
        <v>317</v>
      </c>
      <c r="F227" t="s">
        <v>250</v>
      </c>
      <c r="G227" t="s">
        <v>243</v>
      </c>
      <c r="H227" t="s">
        <v>251</v>
      </c>
      <c r="I227" t="s">
        <v>252</v>
      </c>
    </row>
    <row r="228" spans="1:10" x14ac:dyDescent="0.25">
      <c r="A228" t="s">
        <v>318</v>
      </c>
      <c r="B228" t="s">
        <v>319</v>
      </c>
      <c r="C228" t="s">
        <v>240</v>
      </c>
      <c r="D228" t="s">
        <v>320</v>
      </c>
      <c r="F228" t="s">
        <v>242</v>
      </c>
      <c r="G228" t="s">
        <v>243</v>
      </c>
      <c r="H228" t="s">
        <v>240</v>
      </c>
    </row>
    <row r="229" spans="1:10" x14ac:dyDescent="0.25">
      <c r="A229" t="s">
        <v>321</v>
      </c>
      <c r="B229" t="s">
        <v>322</v>
      </c>
      <c r="C229" t="s">
        <v>248</v>
      </c>
      <c r="D229" t="s">
        <v>323</v>
      </c>
      <c r="F229" t="s">
        <v>250</v>
      </c>
      <c r="G229" t="s">
        <v>243</v>
      </c>
      <c r="H229" t="s">
        <v>251</v>
      </c>
      <c r="I229" t="s">
        <v>252</v>
      </c>
    </row>
    <row r="230" spans="1:10" x14ac:dyDescent="0.25">
      <c r="A230" t="s">
        <v>324</v>
      </c>
      <c r="B230" t="s">
        <v>325</v>
      </c>
      <c r="C230" t="s">
        <v>240</v>
      </c>
      <c r="D230" t="s">
        <v>326</v>
      </c>
      <c r="F230" t="s">
        <v>242</v>
      </c>
      <c r="G230" t="s">
        <v>243</v>
      </c>
      <c r="H230" t="s">
        <v>240</v>
      </c>
    </row>
    <row r="231" spans="1:10" x14ac:dyDescent="0.25">
      <c r="A231" t="s">
        <v>327</v>
      </c>
      <c r="B231" t="s">
        <v>328</v>
      </c>
      <c r="C231" t="s">
        <v>248</v>
      </c>
      <c r="D231" t="s">
        <v>329</v>
      </c>
      <c r="F231" t="s">
        <v>250</v>
      </c>
      <c r="G231" t="s">
        <v>243</v>
      </c>
      <c r="H231" t="s">
        <v>251</v>
      </c>
      <c r="I231" t="s">
        <v>252</v>
      </c>
    </row>
    <row r="232" spans="1:10" x14ac:dyDescent="0.25">
      <c r="A232" t="s">
        <v>330</v>
      </c>
      <c r="B232" s="32" t="s">
        <v>331</v>
      </c>
      <c r="C232" t="s">
        <v>240</v>
      </c>
      <c r="D232" t="s">
        <v>332</v>
      </c>
      <c r="F232" t="s">
        <v>242</v>
      </c>
      <c r="G232" t="s">
        <v>243</v>
      </c>
      <c r="H232" t="s">
        <v>240</v>
      </c>
    </row>
    <row r="233" spans="1:10" x14ac:dyDescent="0.25">
      <c r="A233" t="s">
        <v>333</v>
      </c>
      <c r="B233" s="32" t="s">
        <v>334</v>
      </c>
      <c r="C233" t="s">
        <v>248</v>
      </c>
      <c r="D233" t="s">
        <v>335</v>
      </c>
      <c r="F233" t="s">
        <v>250</v>
      </c>
      <c r="G233" t="s">
        <v>243</v>
      </c>
      <c r="H233" t="s">
        <v>251</v>
      </c>
      <c r="I233" t="s">
        <v>252</v>
      </c>
    </row>
    <row r="234" spans="1:10" x14ac:dyDescent="0.25">
      <c r="A234" s="32" t="s">
        <v>336</v>
      </c>
      <c r="B234" s="32" t="s">
        <v>337</v>
      </c>
      <c r="C234" t="s">
        <v>240</v>
      </c>
      <c r="D234" t="s">
        <v>338</v>
      </c>
      <c r="F234" t="s">
        <v>242</v>
      </c>
      <c r="G234" t="s">
        <v>243</v>
      </c>
      <c r="H234" t="s">
        <v>240</v>
      </c>
    </row>
    <row r="235" spans="1:10" x14ac:dyDescent="0.25">
      <c r="A235" s="32" t="s">
        <v>244</v>
      </c>
      <c r="B235" s="32"/>
      <c r="D235" t="s">
        <v>339</v>
      </c>
      <c r="F235" t="s">
        <v>242</v>
      </c>
      <c r="G235" t="s">
        <v>243</v>
      </c>
      <c r="H235" t="s">
        <v>240</v>
      </c>
    </row>
    <row r="236" spans="1:10" x14ac:dyDescent="0.25">
      <c r="A236" s="32" t="s">
        <v>340</v>
      </c>
      <c r="B236" s="32" t="s">
        <v>341</v>
      </c>
      <c r="C236" t="s">
        <v>240</v>
      </c>
      <c r="D236" t="s">
        <v>342</v>
      </c>
      <c r="F236" t="s">
        <v>242</v>
      </c>
      <c r="G236" t="s">
        <v>243</v>
      </c>
      <c r="H236" t="s">
        <v>240</v>
      </c>
      <c r="J236" t="s">
        <v>343</v>
      </c>
    </row>
    <row r="237" spans="1:10" x14ac:dyDescent="0.25">
      <c r="A237" s="32" t="s">
        <v>244</v>
      </c>
      <c r="B237" s="32"/>
      <c r="D237" t="s">
        <v>344</v>
      </c>
      <c r="F237" t="s">
        <v>242</v>
      </c>
      <c r="G237" t="s">
        <v>243</v>
      </c>
      <c r="H237" t="s">
        <v>240</v>
      </c>
    </row>
    <row r="238" spans="1:10" x14ac:dyDescent="0.25">
      <c r="A238" s="32" t="s">
        <v>345</v>
      </c>
      <c r="B238" s="32" t="s">
        <v>346</v>
      </c>
      <c r="C238" t="s">
        <v>248</v>
      </c>
      <c r="D238" t="s">
        <v>347</v>
      </c>
      <c r="F238" t="s">
        <v>250</v>
      </c>
      <c r="G238" t="s">
        <v>243</v>
      </c>
      <c r="H238" t="s">
        <v>251</v>
      </c>
      <c r="I238" t="s">
        <v>252</v>
      </c>
      <c r="J238" t="s">
        <v>256</v>
      </c>
    </row>
    <row r="239" spans="1:10" x14ac:dyDescent="0.25">
      <c r="A239" s="32" t="s">
        <v>348</v>
      </c>
      <c r="B239" s="32" t="s">
        <v>349</v>
      </c>
      <c r="C239" t="s">
        <v>240</v>
      </c>
      <c r="D239" t="s">
        <v>350</v>
      </c>
      <c r="F239" t="s">
        <v>242</v>
      </c>
      <c r="G239" t="s">
        <v>243</v>
      </c>
      <c r="H239" t="s">
        <v>240</v>
      </c>
    </row>
    <row r="240" spans="1:10" x14ac:dyDescent="0.25">
      <c r="A240" s="32" t="s">
        <v>351</v>
      </c>
      <c r="B240" s="32" t="s">
        <v>352</v>
      </c>
      <c r="C240" t="s">
        <v>240</v>
      </c>
      <c r="D240" t="s">
        <v>353</v>
      </c>
      <c r="F240" t="s">
        <v>242</v>
      </c>
      <c r="G240" t="s">
        <v>243</v>
      </c>
      <c r="H240" t="s">
        <v>240</v>
      </c>
    </row>
    <row r="241" spans="1:10" x14ac:dyDescent="0.25">
      <c r="A241" t="s">
        <v>354</v>
      </c>
      <c r="B241" t="s">
        <v>355</v>
      </c>
      <c r="C241" t="s">
        <v>248</v>
      </c>
      <c r="D241" t="s">
        <v>356</v>
      </c>
      <c r="F241" t="s">
        <v>250</v>
      </c>
      <c r="G241" t="s">
        <v>243</v>
      </c>
      <c r="H241" t="s">
        <v>251</v>
      </c>
      <c r="I241" t="s">
        <v>252</v>
      </c>
      <c r="J241" t="s">
        <v>357</v>
      </c>
    </row>
    <row r="242" spans="1:10" x14ac:dyDescent="0.25">
      <c r="A242" t="s">
        <v>358</v>
      </c>
      <c r="B242" t="s">
        <v>359</v>
      </c>
      <c r="C242" t="s">
        <v>248</v>
      </c>
      <c r="D242" t="s">
        <v>360</v>
      </c>
      <c r="F242" t="s">
        <v>250</v>
      </c>
      <c r="G242" t="s">
        <v>243</v>
      </c>
      <c r="H242" t="s">
        <v>251</v>
      </c>
      <c r="I242" t="s">
        <v>252</v>
      </c>
      <c r="J242" t="s">
        <v>357</v>
      </c>
    </row>
  </sheetData>
  <dataValidations count="12">
    <dataValidation type="list" allowBlank="1" showInputMessage="1" showErrorMessage="1" sqref="C226:C242 C218:C221 C182:C195 C197:C214" xr:uid="{3BD747F2-FDD9-46A0-99D0-2585BC638F6D}">
      <formula1>Control_signal</formula1>
    </dataValidation>
    <dataValidation type="list" allowBlank="1" showInputMessage="1" showErrorMessage="1" sqref="I226:I242 I218:I221 I182:I195 I197:I214" xr:uid="{376AB1FA-FFEA-4968-97E3-EA0E851389D1}">
      <formula1>IO_range</formula1>
    </dataValidation>
    <dataValidation type="list" allowBlank="1" showInputMessage="1" showErrorMessage="1" sqref="G226:G242 G218:G221 G182:G195 G197:G214" xr:uid="{9D1B5E6D-6599-46DF-A262-CF071DB500AE}">
      <formula1>Comm_type</formula1>
    </dataValidation>
    <dataValidation type="list" allowBlank="1" showInputMessage="1" showErrorMessage="1" sqref="H218:H221 H182:H195 H197:H214" xr:uid="{B6D45BD0-0925-4582-BEF6-A08A4F967176}">
      <formula1>IO_unit</formula1>
    </dataValidation>
    <dataValidation type="list" allowBlank="1" showInputMessage="1" showErrorMessage="1" sqref="J218:J221 J226:J242 J182:J195 J197:J214" xr:uid="{7011AA84-18CC-46E7-AD33-F159338BC759}">
      <formula1>Option</formula1>
    </dataValidation>
    <dataValidation type="list" allowBlank="1" showInputMessage="1" showErrorMessage="1" sqref="F88:F94" xr:uid="{EAA64F37-861E-455E-985F-C3464CD85740}">
      <formula1>AirCondModels</formula1>
    </dataValidation>
    <dataValidation type="list" allowBlank="1" showInputMessage="1" showErrorMessage="1" sqref="F65:F85" xr:uid="{F6785A8C-9ACB-480B-AA91-1914644A0B42}">
      <formula1>Refrigerant</formula1>
    </dataValidation>
    <dataValidation type="list" allowBlank="1" showInputMessage="1" showErrorMessage="1" sqref="M65:M85" xr:uid="{EC62B23C-38F3-46D2-B99C-20EE75A4A239}">
      <formula1>Coolant</formula1>
    </dataValidation>
    <dataValidation type="list" allowBlank="1" showInputMessage="1" showErrorMessage="1" sqref="C65:C85" xr:uid="{8F89AB77-D381-4D1A-A63B-81D02E9EFF4B}">
      <formula1>BPHX_Config</formula1>
    </dataValidation>
    <dataValidation type="list" allowBlank="1" showInputMessage="1" showErrorMessage="1" sqref="B65:B85" xr:uid="{920B1D16-A050-4561-8A70-72A212A14479}">
      <formula1>BPHX_Type</formula1>
    </dataValidation>
    <dataValidation type="list" allowBlank="1" showInputMessage="1" showErrorMessage="1" sqref="U39" xr:uid="{E76CEC8F-61CC-4E5E-8FAE-0DA7F43F53DC}">
      <formula1>$Q$41:$T$41</formula1>
    </dataValidation>
    <dataValidation type="list" allowBlank="1" showInputMessage="1" showErrorMessage="1" sqref="H99:M150" xr:uid="{4312AA16-92B7-40BE-B589-D92EA7E60A80}">
      <formula1>CPSKDLIST</formula1>
    </dataValidation>
  </dataValidations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62A0-802D-4508-975F-E60DA79EC523}">
  <dimension ref="A1:A19"/>
  <sheetViews>
    <sheetView workbookViewId="0">
      <selection activeCell="C18" sqref="C18"/>
    </sheetView>
  </sheetViews>
  <sheetFormatPr baseColWidth="10" defaultRowHeight="15" x14ac:dyDescent="0.25"/>
  <cols>
    <col min="1" max="1" width="19.5703125" bestFit="1" customWidth="1"/>
  </cols>
  <sheetData>
    <row r="1" spans="1:1" x14ac:dyDescent="0.25">
      <c r="A1" t="s">
        <v>361</v>
      </c>
    </row>
    <row r="2" spans="1:1" x14ac:dyDescent="0.25">
      <c r="A2" t="s">
        <v>362</v>
      </c>
    </row>
    <row r="3" spans="1:1" x14ac:dyDescent="0.25">
      <c r="A3" t="s">
        <v>363</v>
      </c>
    </row>
    <row r="4" spans="1:1" x14ac:dyDescent="0.25">
      <c r="A4" t="s">
        <v>364</v>
      </c>
    </row>
    <row r="5" spans="1:1" x14ac:dyDescent="0.25">
      <c r="A5" t="s">
        <v>365</v>
      </c>
    </row>
    <row r="6" spans="1:1" x14ac:dyDescent="0.25">
      <c r="A6" t="s">
        <v>366</v>
      </c>
    </row>
    <row r="7" spans="1:1" x14ac:dyDescent="0.25">
      <c r="A7" t="s">
        <v>367</v>
      </c>
    </row>
    <row r="8" spans="1:1" x14ac:dyDescent="0.25">
      <c r="A8" t="s">
        <v>368</v>
      </c>
    </row>
    <row r="9" spans="1:1" x14ac:dyDescent="0.25">
      <c r="A9" t="s">
        <v>369</v>
      </c>
    </row>
    <row r="10" spans="1:1" x14ac:dyDescent="0.25">
      <c r="A10" t="s">
        <v>370</v>
      </c>
    </row>
    <row r="11" spans="1:1" x14ac:dyDescent="0.25">
      <c r="A11" t="s">
        <v>371</v>
      </c>
    </row>
    <row r="12" spans="1:1" x14ac:dyDescent="0.25">
      <c r="A12" t="s">
        <v>372</v>
      </c>
    </row>
    <row r="13" spans="1:1" x14ac:dyDescent="0.25">
      <c r="A13" t="s">
        <v>373</v>
      </c>
    </row>
    <row r="14" spans="1:1" x14ac:dyDescent="0.25">
      <c r="A14" t="s">
        <v>374</v>
      </c>
    </row>
    <row r="15" spans="1:1" x14ac:dyDescent="0.25">
      <c r="A15" t="s">
        <v>375</v>
      </c>
    </row>
    <row r="16" spans="1:1" x14ac:dyDescent="0.25">
      <c r="A16" t="s">
        <v>376</v>
      </c>
    </row>
    <row r="17" spans="1:1" x14ac:dyDescent="0.25">
      <c r="A17" t="s">
        <v>377</v>
      </c>
    </row>
    <row r="18" spans="1:1" x14ac:dyDescent="0.25">
      <c r="A18" t="s">
        <v>378</v>
      </c>
    </row>
    <row r="19" spans="1:1" x14ac:dyDescent="0.25">
      <c r="A19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Compressor Pages List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Desrochers</cp:lastModifiedBy>
  <dcterms:created xsi:type="dcterms:W3CDTF">2026-07-27T14:37:06Z</dcterms:created>
  <dcterms:modified xsi:type="dcterms:W3CDTF">2026-07-27T17:17:03Z</dcterms:modified>
</cp:coreProperties>
</file>