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etorgft12474759.sharepoint.com/teams/XNNOV/Documents partages/1- AI-RS/2 - Engineering/3 - Controls/"/>
    </mc:Choice>
  </mc:AlternateContent>
  <xr:revisionPtr revIDLastSave="1469" documentId="6_{99F9CD90-ECA6-4B7B-91E8-9D6B08B24ABB}" xr6:coauthVersionLast="47" xr6:coauthVersionMax="47" xr10:uidLastSave="{7EE9714A-6DF7-4637-BA08-1E3ECE7D83F3}"/>
  <bookViews>
    <workbookView xWindow="-120" yWindow="-120" windowWidth="38640" windowHeight="21120" activeTab="1" xr2:uid="{FD5A3E14-284E-447E-9DD4-046DE75CE19B}"/>
  </bookViews>
  <sheets>
    <sheet name="Configuration" sheetId="10" r:id="rId1"/>
    <sheet name="Input ACCU" sheetId="3" r:id="rId2"/>
    <sheet name="Output ACCU" sheetId="8" r:id="rId3"/>
    <sheet name="Input WSHP" sheetId="11" r:id="rId4"/>
    <sheet name="Variable" sheetId="4" r:id="rId5"/>
    <sheet name="Alarm" sheetId="9" r:id="rId6"/>
    <sheet name="Tables" sheetId="2" r:id="rId7"/>
  </sheets>
  <externalReferences>
    <externalReference r:id="rId8"/>
  </externalReferences>
  <definedNames>
    <definedName name="Analog">Tables!$B$12:$B$44</definedName>
    <definedName name="Application">#REF!</definedName>
    <definedName name="BacNetStatus" localSheetId="3">[1]Tables!$C$18:$C$19</definedName>
    <definedName name="BacNetStatus">Tables!$C$18:$C$19</definedName>
    <definedName name="Binary">Tables!$A$20:$A$31</definedName>
    <definedName name="CircuitQty">#REF!</definedName>
    <definedName name="Communication">Tables!$A$41:$A$45</definedName>
    <definedName name="Connection" localSheetId="3">[1]Tables!$D$16:$D$18</definedName>
    <definedName name="Connection">Tables!$D$16:$D$18</definedName>
    <definedName name="Country">#REF!</definedName>
    <definedName name="CUType">#REF!</definedName>
    <definedName name="Input">Tables!$C$6:$C$7</definedName>
    <definedName name="Output">Tables!$C$10:$C$11</definedName>
    <definedName name="Power" localSheetId="3">[1]Tables!$A$50:$A$52</definedName>
    <definedName name="Power">Tables!$A$50:$A$52</definedName>
    <definedName name="_xlnm.Print_Area" localSheetId="5">Alarm!$A$1:$H$23</definedName>
    <definedName name="_xlnm.Print_Area" localSheetId="0">Configuration!$A$1:$X$26</definedName>
    <definedName name="_xlnm.Print_Area" localSheetId="1">'Input ACCU'!#REF!</definedName>
    <definedName name="_xlnm.Print_Area" localSheetId="3">'Input WSHP'!#REF!</definedName>
    <definedName name="_xlnm.Print_Area" localSheetId="2">'Output ACCU'!$A$1:$U$132</definedName>
    <definedName name="_xlnm.Print_Area" localSheetId="4">Variable!$A$1:$O$156</definedName>
    <definedName name="_xlnm.Print_Titles" localSheetId="1">'Input ACCU'!$1:$9</definedName>
    <definedName name="_xlnm.Print_Titles" localSheetId="3">'Input WSHP'!$1:$9</definedName>
    <definedName name="_xlnm.Print_Titles" localSheetId="2">'Output ACCU'!$1:$9</definedName>
    <definedName name="_xlnm.Print_Titles" localSheetId="4">Variable!$1:$8</definedName>
    <definedName name="Range">Tables!$B$1:$B$39</definedName>
    <definedName name="RefrigerantType">#REF!</definedName>
    <definedName name="Type" localSheetId="3">[1]Tables!$C$1:$C$3</definedName>
    <definedName name="Type">Tables!$C$1:$C$3</definedName>
    <definedName name="Units" localSheetId="3">[1]Tables!$A$1:$A$39</definedName>
    <definedName name="Units">Tables!$A$1:$A$39</definedName>
    <definedName name="UnitType">Tables!$A$32:$A$35</definedName>
    <definedName name="Variable">Tables!$C$14:$C$15</definedName>
    <definedName name="Visibility" localSheetId="3">[1]Tables!$C$22:$C$23</definedName>
    <definedName name="Visibility">Tables!$C$22:$C$23</definedName>
    <definedName name="YesN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0" i="11" l="1"/>
  <c r="A76" i="1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B76" i="11"/>
  <c r="B77" i="11"/>
  <c r="B78" i="11"/>
  <c r="B79" i="11"/>
  <c r="B80" i="11"/>
  <c r="B81" i="11"/>
  <c r="B82" i="11"/>
  <c r="B83" i="11"/>
  <c r="B84" i="11"/>
  <c r="B85" i="11"/>
  <c r="B86" i="11"/>
  <c r="B87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B88" i="11"/>
  <c r="B89" i="11"/>
  <c r="B90" i="11"/>
  <c r="B91" i="11"/>
  <c r="B92" i="11"/>
  <c r="B93" i="11"/>
  <c r="Q88" i="11"/>
  <c r="Q89" i="11"/>
  <c r="Q90" i="11"/>
  <c r="Q91" i="11"/>
  <c r="Q92" i="11"/>
  <c r="Q93" i="11"/>
  <c r="B94" i="11"/>
  <c r="B95" i="11"/>
  <c r="B96" i="11"/>
  <c r="Q94" i="11"/>
  <c r="Q95" i="11"/>
  <c r="Q96" i="11"/>
  <c r="B97" i="11"/>
  <c r="B98" i="11"/>
  <c r="Q97" i="11"/>
  <c r="Q98" i="11"/>
  <c r="B99" i="11"/>
  <c r="Q99" i="11"/>
  <c r="AC20" i="11" l="1"/>
  <c r="Q446" i="11"/>
  <c r="P446" i="11"/>
  <c r="O446" i="11"/>
  <c r="N446" i="11"/>
  <c r="B446" i="11"/>
  <c r="Q445" i="11"/>
  <c r="P445" i="11"/>
  <c r="O445" i="11"/>
  <c r="N445" i="11"/>
  <c r="B445" i="11"/>
  <c r="Q444" i="11"/>
  <c r="P444" i="11"/>
  <c r="O444" i="11"/>
  <c r="N444" i="11"/>
  <c r="B444" i="11"/>
  <c r="Q443" i="11"/>
  <c r="P443" i="11"/>
  <c r="O443" i="11"/>
  <c r="N443" i="11"/>
  <c r="B443" i="11"/>
  <c r="Q442" i="11"/>
  <c r="P442" i="11"/>
  <c r="O442" i="11"/>
  <c r="N442" i="11"/>
  <c r="B442" i="11"/>
  <c r="Q441" i="11"/>
  <c r="P441" i="11"/>
  <c r="O441" i="11"/>
  <c r="N441" i="11"/>
  <c r="B441" i="11"/>
  <c r="Q440" i="11"/>
  <c r="P440" i="11"/>
  <c r="O440" i="11"/>
  <c r="N440" i="11"/>
  <c r="B440" i="11"/>
  <c r="Q439" i="11"/>
  <c r="P439" i="11"/>
  <c r="O439" i="11"/>
  <c r="N439" i="11"/>
  <c r="B439" i="11"/>
  <c r="Q438" i="11"/>
  <c r="P438" i="11"/>
  <c r="O438" i="11"/>
  <c r="N438" i="11"/>
  <c r="B438" i="11"/>
  <c r="Q437" i="11"/>
  <c r="P437" i="11"/>
  <c r="O437" i="11"/>
  <c r="N437" i="11"/>
  <c r="B437" i="11"/>
  <c r="Q436" i="11"/>
  <c r="P436" i="11"/>
  <c r="O436" i="11"/>
  <c r="N436" i="11"/>
  <c r="B436" i="11"/>
  <c r="Q435" i="11"/>
  <c r="P435" i="11"/>
  <c r="O435" i="11"/>
  <c r="N435" i="11"/>
  <c r="B435" i="11"/>
  <c r="Q434" i="11"/>
  <c r="P434" i="11"/>
  <c r="O434" i="11"/>
  <c r="N434" i="11"/>
  <c r="B434" i="11"/>
  <c r="Q433" i="11"/>
  <c r="P433" i="11"/>
  <c r="O433" i="11"/>
  <c r="N433" i="11"/>
  <c r="B433" i="11"/>
  <c r="Q432" i="11"/>
  <c r="P432" i="11"/>
  <c r="O432" i="11"/>
  <c r="N432" i="11"/>
  <c r="B432" i="11"/>
  <c r="Q431" i="11"/>
  <c r="P431" i="11"/>
  <c r="O431" i="11"/>
  <c r="N431" i="11"/>
  <c r="B431" i="11"/>
  <c r="Q430" i="11"/>
  <c r="P430" i="11"/>
  <c r="O430" i="11"/>
  <c r="N430" i="11"/>
  <c r="S430" i="11" s="1"/>
  <c r="B430" i="11"/>
  <c r="Q429" i="11"/>
  <c r="P429" i="11"/>
  <c r="O429" i="11"/>
  <c r="N429" i="11"/>
  <c r="B429" i="11"/>
  <c r="Q428" i="11"/>
  <c r="P428" i="11"/>
  <c r="O428" i="11"/>
  <c r="N428" i="11"/>
  <c r="S428" i="11" s="1"/>
  <c r="B428" i="11"/>
  <c r="Q427" i="11"/>
  <c r="P427" i="11"/>
  <c r="O427" i="11"/>
  <c r="N427" i="11"/>
  <c r="S427" i="11" s="1"/>
  <c r="B427" i="11"/>
  <c r="Q426" i="11"/>
  <c r="P426" i="11"/>
  <c r="O426" i="11"/>
  <c r="N426" i="11"/>
  <c r="B426" i="11"/>
  <c r="Q425" i="11"/>
  <c r="P425" i="11"/>
  <c r="O425" i="11"/>
  <c r="N425" i="11"/>
  <c r="B425" i="11"/>
  <c r="Q424" i="11"/>
  <c r="P424" i="11"/>
  <c r="O424" i="11"/>
  <c r="N424" i="11"/>
  <c r="B424" i="11"/>
  <c r="Q423" i="11"/>
  <c r="P423" i="11"/>
  <c r="O423" i="11"/>
  <c r="N423" i="11"/>
  <c r="B423" i="11"/>
  <c r="Q422" i="11"/>
  <c r="P422" i="11"/>
  <c r="O422" i="11"/>
  <c r="N422" i="11"/>
  <c r="B422" i="11"/>
  <c r="Q421" i="11"/>
  <c r="P421" i="11"/>
  <c r="O421" i="11"/>
  <c r="N421" i="11"/>
  <c r="B421" i="11"/>
  <c r="Q420" i="11"/>
  <c r="P420" i="11"/>
  <c r="O420" i="11"/>
  <c r="N420" i="11"/>
  <c r="B420" i="11"/>
  <c r="S419" i="11"/>
  <c r="Q419" i="11"/>
  <c r="B419" i="11"/>
  <c r="S418" i="11"/>
  <c r="Q418" i="11"/>
  <c r="B418" i="11"/>
  <c r="S417" i="11"/>
  <c r="Q417" i="11"/>
  <c r="B417" i="11"/>
  <c r="Q416" i="11"/>
  <c r="P416" i="11"/>
  <c r="O416" i="11"/>
  <c r="N416" i="11"/>
  <c r="S416" i="11" s="1"/>
  <c r="B416" i="11"/>
  <c r="Q415" i="11"/>
  <c r="P415" i="11"/>
  <c r="O415" i="11"/>
  <c r="N415" i="11"/>
  <c r="B415" i="11"/>
  <c r="Q414" i="11"/>
  <c r="P414" i="11"/>
  <c r="O414" i="11"/>
  <c r="N414" i="11"/>
  <c r="S414" i="11" s="1"/>
  <c r="B414" i="11"/>
  <c r="Q413" i="11"/>
  <c r="P413" i="11"/>
  <c r="O413" i="11"/>
  <c r="N413" i="11"/>
  <c r="S413" i="11" s="1"/>
  <c r="B413" i="11"/>
  <c r="Q412" i="11"/>
  <c r="P412" i="11"/>
  <c r="O412" i="11"/>
  <c r="N412" i="11"/>
  <c r="B412" i="11"/>
  <c r="Q411" i="11"/>
  <c r="P411" i="11"/>
  <c r="O411" i="11"/>
  <c r="N411" i="11"/>
  <c r="B411" i="11"/>
  <c r="Q410" i="11"/>
  <c r="P410" i="11"/>
  <c r="O410" i="11"/>
  <c r="N410" i="11"/>
  <c r="S410" i="11" s="1"/>
  <c r="B410" i="11"/>
  <c r="Q409" i="11"/>
  <c r="P409" i="11"/>
  <c r="O409" i="11"/>
  <c r="N409" i="11"/>
  <c r="B409" i="11"/>
  <c r="Q408" i="11"/>
  <c r="P408" i="11"/>
  <c r="O408" i="11"/>
  <c r="N408" i="11"/>
  <c r="S408" i="11" s="1"/>
  <c r="B408" i="11"/>
  <c r="Q407" i="11"/>
  <c r="P407" i="11"/>
  <c r="O407" i="11"/>
  <c r="N407" i="11"/>
  <c r="B407" i="11"/>
  <c r="Q406" i="11"/>
  <c r="P406" i="11"/>
  <c r="O406" i="11"/>
  <c r="N406" i="11"/>
  <c r="B406" i="11"/>
  <c r="Q405" i="11"/>
  <c r="P405" i="11"/>
  <c r="O405" i="11"/>
  <c r="N405" i="11"/>
  <c r="B405" i="11"/>
  <c r="Q404" i="11"/>
  <c r="P404" i="11"/>
  <c r="O404" i="11"/>
  <c r="N404" i="11"/>
  <c r="B404" i="11"/>
  <c r="Q403" i="11"/>
  <c r="P403" i="11"/>
  <c r="O403" i="11"/>
  <c r="N403" i="11"/>
  <c r="B403" i="11"/>
  <c r="Q402" i="11"/>
  <c r="P402" i="11"/>
  <c r="O402" i="11"/>
  <c r="N402" i="11"/>
  <c r="B402" i="11"/>
  <c r="Q401" i="11"/>
  <c r="P401" i="11"/>
  <c r="O401" i="11"/>
  <c r="N401" i="11"/>
  <c r="B401" i="11"/>
  <c r="Q400" i="11"/>
  <c r="P400" i="11"/>
  <c r="O400" i="11"/>
  <c r="N400" i="11"/>
  <c r="B400" i="11"/>
  <c r="Q399" i="11"/>
  <c r="P399" i="11"/>
  <c r="O399" i="11"/>
  <c r="N399" i="11"/>
  <c r="B399" i="11"/>
  <c r="Q398" i="11"/>
  <c r="P398" i="11"/>
  <c r="O398" i="11"/>
  <c r="N398" i="11"/>
  <c r="S398" i="11" s="1"/>
  <c r="B398" i="11"/>
  <c r="Q397" i="11"/>
  <c r="P397" i="11"/>
  <c r="O397" i="11"/>
  <c r="N397" i="11"/>
  <c r="S397" i="11" s="1"/>
  <c r="B397" i="11"/>
  <c r="Q396" i="11"/>
  <c r="P396" i="11"/>
  <c r="O396" i="11"/>
  <c r="N396" i="11"/>
  <c r="B396" i="11"/>
  <c r="Q395" i="11"/>
  <c r="P395" i="11"/>
  <c r="O395" i="11"/>
  <c r="N395" i="11"/>
  <c r="B395" i="11"/>
  <c r="Q394" i="11"/>
  <c r="P394" i="11"/>
  <c r="O394" i="11"/>
  <c r="N394" i="11"/>
  <c r="S394" i="11" s="1"/>
  <c r="B394" i="11"/>
  <c r="Q393" i="11"/>
  <c r="P393" i="11"/>
  <c r="O393" i="11"/>
  <c r="N393" i="11"/>
  <c r="B393" i="11"/>
  <c r="Q392" i="11"/>
  <c r="P392" i="11"/>
  <c r="O392" i="11"/>
  <c r="N392" i="11"/>
  <c r="S392" i="11" s="1"/>
  <c r="B392" i="11"/>
  <c r="Q391" i="11"/>
  <c r="P391" i="11"/>
  <c r="O391" i="11"/>
  <c r="N391" i="11"/>
  <c r="S391" i="11" s="1"/>
  <c r="B391" i="11"/>
  <c r="Q390" i="11"/>
  <c r="P390" i="11"/>
  <c r="O390" i="11"/>
  <c r="N390" i="11"/>
  <c r="B390" i="11"/>
  <c r="Q389" i="11"/>
  <c r="P389" i="11"/>
  <c r="O389" i="11"/>
  <c r="N389" i="11"/>
  <c r="B389" i="11"/>
  <c r="Q388" i="11"/>
  <c r="P388" i="11"/>
  <c r="O388" i="11"/>
  <c r="N388" i="11"/>
  <c r="B388" i="11"/>
  <c r="Q387" i="11"/>
  <c r="P387" i="11"/>
  <c r="O387" i="11"/>
  <c r="N387" i="11"/>
  <c r="S387" i="11" s="1"/>
  <c r="B387" i="11"/>
  <c r="Q386" i="11"/>
  <c r="P386" i="11"/>
  <c r="O386" i="11"/>
  <c r="N386" i="11"/>
  <c r="S386" i="11" s="1"/>
  <c r="B386" i="11"/>
  <c r="Q385" i="11"/>
  <c r="P385" i="11"/>
  <c r="O385" i="11"/>
  <c r="N385" i="11"/>
  <c r="B385" i="11"/>
  <c r="Q384" i="11"/>
  <c r="P384" i="11"/>
  <c r="O384" i="11"/>
  <c r="N384" i="11"/>
  <c r="B384" i="11"/>
  <c r="Q383" i="11"/>
  <c r="P383" i="11"/>
  <c r="O383" i="11"/>
  <c r="N383" i="11"/>
  <c r="B383" i="11"/>
  <c r="Q382" i="11"/>
  <c r="P382" i="11"/>
  <c r="O382" i="11"/>
  <c r="N382" i="11"/>
  <c r="S382" i="11" s="1"/>
  <c r="B382" i="11"/>
  <c r="Q381" i="11"/>
  <c r="P381" i="11"/>
  <c r="O381" i="11"/>
  <c r="N381" i="11"/>
  <c r="B381" i="11"/>
  <c r="Q380" i="11"/>
  <c r="P380" i="11"/>
  <c r="O380" i="11"/>
  <c r="N380" i="11"/>
  <c r="B380" i="11"/>
  <c r="Q379" i="11"/>
  <c r="P379" i="11"/>
  <c r="O379" i="11"/>
  <c r="N379" i="11"/>
  <c r="B379" i="11"/>
  <c r="Q378" i="11"/>
  <c r="P378" i="11"/>
  <c r="O378" i="11"/>
  <c r="N378" i="11"/>
  <c r="S378" i="11" s="1"/>
  <c r="B378" i="11"/>
  <c r="Q377" i="11"/>
  <c r="P377" i="11"/>
  <c r="O377" i="11"/>
  <c r="N377" i="11"/>
  <c r="B377" i="11"/>
  <c r="Q376" i="11"/>
  <c r="P376" i="11"/>
  <c r="O376" i="11"/>
  <c r="N376" i="11"/>
  <c r="S376" i="11" s="1"/>
  <c r="B376" i="11"/>
  <c r="Q375" i="11"/>
  <c r="P375" i="11"/>
  <c r="O375" i="11"/>
  <c r="N375" i="11"/>
  <c r="B375" i="11"/>
  <c r="Q374" i="11"/>
  <c r="P374" i="11"/>
  <c r="O374" i="11"/>
  <c r="N374" i="11"/>
  <c r="B374" i="11"/>
  <c r="Q373" i="11"/>
  <c r="P373" i="11"/>
  <c r="O373" i="11"/>
  <c r="N373" i="11"/>
  <c r="B373" i="11"/>
  <c r="Q372" i="11"/>
  <c r="P372" i="11"/>
  <c r="O372" i="11"/>
  <c r="N372" i="11"/>
  <c r="B372" i="11"/>
  <c r="Q371" i="11"/>
  <c r="P371" i="11"/>
  <c r="O371" i="11"/>
  <c r="N371" i="11"/>
  <c r="B371" i="11"/>
  <c r="Q370" i="11"/>
  <c r="P370" i="11"/>
  <c r="O370" i="11"/>
  <c r="N370" i="11"/>
  <c r="B370" i="11"/>
  <c r="Q369" i="11"/>
  <c r="P369" i="11"/>
  <c r="O369" i="11"/>
  <c r="N369" i="11"/>
  <c r="B369" i="11"/>
  <c r="Q368" i="11"/>
  <c r="P368" i="11"/>
  <c r="O368" i="11"/>
  <c r="N368" i="11"/>
  <c r="S368" i="11" s="1"/>
  <c r="B368" i="11"/>
  <c r="Q367" i="11"/>
  <c r="P367" i="11"/>
  <c r="O367" i="11"/>
  <c r="N367" i="11"/>
  <c r="B367" i="11"/>
  <c r="Q366" i="11"/>
  <c r="P366" i="11"/>
  <c r="O366" i="11"/>
  <c r="N366" i="11"/>
  <c r="S366" i="11" s="1"/>
  <c r="B366" i="11"/>
  <c r="Q365" i="11"/>
  <c r="P365" i="11"/>
  <c r="O365" i="11"/>
  <c r="N365" i="11"/>
  <c r="B365" i="11"/>
  <c r="Q364" i="11"/>
  <c r="P364" i="11"/>
  <c r="O364" i="11"/>
  <c r="N364" i="11"/>
  <c r="B364" i="11"/>
  <c r="Q363" i="11"/>
  <c r="P363" i="11"/>
  <c r="O363" i="11"/>
  <c r="N363" i="11"/>
  <c r="B363" i="11"/>
  <c r="Q362" i="11"/>
  <c r="P362" i="11"/>
  <c r="O362" i="11"/>
  <c r="N362" i="11"/>
  <c r="B362" i="11"/>
  <c r="Q361" i="11"/>
  <c r="P361" i="11"/>
  <c r="O361" i="11"/>
  <c r="N361" i="11"/>
  <c r="B361" i="11"/>
  <c r="Q360" i="11"/>
  <c r="P360" i="11"/>
  <c r="O360" i="11"/>
  <c r="N360" i="11"/>
  <c r="S360" i="11" s="1"/>
  <c r="B360" i="11"/>
  <c r="Q359" i="11"/>
  <c r="P359" i="11"/>
  <c r="O359" i="11"/>
  <c r="N359" i="11"/>
  <c r="B359" i="11"/>
  <c r="Q358" i="11"/>
  <c r="P358" i="11"/>
  <c r="O358" i="11"/>
  <c r="N358" i="11"/>
  <c r="B358" i="11"/>
  <c r="Q357" i="11"/>
  <c r="P357" i="11"/>
  <c r="O357" i="11"/>
  <c r="N357" i="11"/>
  <c r="B357" i="11"/>
  <c r="Q356" i="11"/>
  <c r="P356" i="11"/>
  <c r="O356" i="11"/>
  <c r="N356" i="11"/>
  <c r="B356" i="11"/>
  <c r="Q355" i="11"/>
  <c r="P355" i="11"/>
  <c r="O355" i="11"/>
  <c r="N355" i="11"/>
  <c r="B355" i="11"/>
  <c r="Q354" i="11"/>
  <c r="P354" i="11"/>
  <c r="O354" i="11"/>
  <c r="N354" i="11"/>
  <c r="B354" i="11"/>
  <c r="Q353" i="11"/>
  <c r="P353" i="11"/>
  <c r="O353" i="11"/>
  <c r="N353" i="11"/>
  <c r="B353" i="11"/>
  <c r="Q352" i="11"/>
  <c r="P352" i="11"/>
  <c r="O352" i="11"/>
  <c r="N352" i="11"/>
  <c r="S352" i="11" s="1"/>
  <c r="B352" i="11"/>
  <c r="Q351" i="11"/>
  <c r="P351" i="11"/>
  <c r="O351" i="11"/>
  <c r="N351" i="11"/>
  <c r="B351" i="11"/>
  <c r="Q350" i="11"/>
  <c r="P350" i="11"/>
  <c r="O350" i="11"/>
  <c r="N350" i="11"/>
  <c r="S350" i="11" s="1"/>
  <c r="B350" i="11"/>
  <c r="Q349" i="11"/>
  <c r="P349" i="11"/>
  <c r="O349" i="11"/>
  <c r="N349" i="11"/>
  <c r="B349" i="11"/>
  <c r="Q348" i="11"/>
  <c r="P348" i="11"/>
  <c r="O348" i="11"/>
  <c r="N348" i="11"/>
  <c r="B348" i="11"/>
  <c r="Q347" i="11"/>
  <c r="P347" i="11"/>
  <c r="O347" i="11"/>
  <c r="N347" i="11"/>
  <c r="B347" i="11"/>
  <c r="Q346" i="11"/>
  <c r="P346" i="11"/>
  <c r="O346" i="11"/>
  <c r="N346" i="11"/>
  <c r="S346" i="11" s="1"/>
  <c r="B346" i="11"/>
  <c r="Q345" i="11"/>
  <c r="P345" i="11"/>
  <c r="O345" i="11"/>
  <c r="N345" i="11"/>
  <c r="B345" i="11"/>
  <c r="Q344" i="11"/>
  <c r="P344" i="11"/>
  <c r="O344" i="11"/>
  <c r="N344" i="11"/>
  <c r="S344" i="11" s="1"/>
  <c r="B344" i="11"/>
  <c r="Q343" i="11"/>
  <c r="P343" i="11"/>
  <c r="O343" i="11"/>
  <c r="N343" i="11"/>
  <c r="B343" i="11"/>
  <c r="Q342" i="11"/>
  <c r="P342" i="11"/>
  <c r="O342" i="11"/>
  <c r="N342" i="11"/>
  <c r="B342" i="11"/>
  <c r="Q341" i="11"/>
  <c r="P341" i="11"/>
  <c r="O341" i="11"/>
  <c r="N341" i="11"/>
  <c r="B341" i="11"/>
  <c r="Q340" i="11"/>
  <c r="P340" i="11"/>
  <c r="O340" i="11"/>
  <c r="N340" i="11"/>
  <c r="B340" i="11"/>
  <c r="Q339" i="11"/>
  <c r="P339" i="11"/>
  <c r="O339" i="11"/>
  <c r="N339" i="11"/>
  <c r="B339" i="11"/>
  <c r="Q338" i="11"/>
  <c r="P338" i="11"/>
  <c r="O338" i="11"/>
  <c r="N338" i="11"/>
  <c r="B338" i="11"/>
  <c r="Q337" i="11"/>
  <c r="P337" i="11"/>
  <c r="O337" i="11"/>
  <c r="N337" i="11"/>
  <c r="B337" i="11"/>
  <c r="Q336" i="11"/>
  <c r="P336" i="11"/>
  <c r="O336" i="11"/>
  <c r="N336" i="11"/>
  <c r="S336" i="11" s="1"/>
  <c r="B336" i="11"/>
  <c r="Q335" i="11"/>
  <c r="P335" i="11"/>
  <c r="O335" i="11"/>
  <c r="N335" i="11"/>
  <c r="B335" i="11"/>
  <c r="Q334" i="11"/>
  <c r="P334" i="11"/>
  <c r="O334" i="11"/>
  <c r="N334" i="11"/>
  <c r="S334" i="11" s="1"/>
  <c r="B334" i="11"/>
  <c r="Q333" i="11"/>
  <c r="P333" i="11"/>
  <c r="O333" i="11"/>
  <c r="N333" i="11"/>
  <c r="B333" i="11"/>
  <c r="Q332" i="11"/>
  <c r="P332" i="11"/>
  <c r="O332" i="11"/>
  <c r="N332" i="11"/>
  <c r="B332" i="11"/>
  <c r="Q331" i="11"/>
  <c r="P331" i="11"/>
  <c r="O331" i="11"/>
  <c r="N331" i="11"/>
  <c r="B331" i="11"/>
  <c r="Q330" i="11"/>
  <c r="P330" i="11"/>
  <c r="O330" i="11"/>
  <c r="N330" i="11"/>
  <c r="B330" i="11"/>
  <c r="Q329" i="11"/>
  <c r="P329" i="11"/>
  <c r="O329" i="11"/>
  <c r="N329" i="11"/>
  <c r="B329" i="11"/>
  <c r="Q328" i="11"/>
  <c r="P328" i="11"/>
  <c r="O328" i="11"/>
  <c r="N328" i="11"/>
  <c r="S328" i="11" s="1"/>
  <c r="B328" i="11"/>
  <c r="Q327" i="11"/>
  <c r="P327" i="11"/>
  <c r="O327" i="11"/>
  <c r="N327" i="11"/>
  <c r="S327" i="11" s="1"/>
  <c r="B327" i="11"/>
  <c r="Q326" i="11"/>
  <c r="P326" i="11"/>
  <c r="O326" i="11"/>
  <c r="N326" i="11"/>
  <c r="B326" i="11"/>
  <c r="Q325" i="11"/>
  <c r="P325" i="11"/>
  <c r="O325" i="11"/>
  <c r="N325" i="11"/>
  <c r="B325" i="11"/>
  <c r="Q324" i="11"/>
  <c r="P324" i="11"/>
  <c r="O324" i="11"/>
  <c r="N324" i="11"/>
  <c r="S324" i="11" s="1"/>
  <c r="B324" i="11"/>
  <c r="Q323" i="11"/>
  <c r="P323" i="11"/>
  <c r="O323" i="11"/>
  <c r="N323" i="11"/>
  <c r="B323" i="11"/>
  <c r="Q322" i="11"/>
  <c r="P322" i="11"/>
  <c r="O322" i="11"/>
  <c r="N322" i="11"/>
  <c r="S322" i="11" s="1"/>
  <c r="B322" i="11"/>
  <c r="Q321" i="11"/>
  <c r="P321" i="11"/>
  <c r="O321" i="11"/>
  <c r="N321" i="11"/>
  <c r="B321" i="11"/>
  <c r="Q320" i="11"/>
  <c r="P320" i="11"/>
  <c r="O320" i="11"/>
  <c r="N320" i="11"/>
  <c r="B320" i="11"/>
  <c r="Q319" i="11"/>
  <c r="P319" i="11"/>
  <c r="O319" i="11"/>
  <c r="N319" i="11"/>
  <c r="B319" i="11"/>
  <c r="Q318" i="11"/>
  <c r="P318" i="11"/>
  <c r="O318" i="11"/>
  <c r="N318" i="11"/>
  <c r="S318" i="11" s="1"/>
  <c r="B318" i="11"/>
  <c r="Q317" i="11"/>
  <c r="P317" i="11"/>
  <c r="O317" i="11"/>
  <c r="N317" i="11"/>
  <c r="B317" i="11"/>
  <c r="Q316" i="11"/>
  <c r="P316" i="11"/>
  <c r="O316" i="11"/>
  <c r="N316" i="11"/>
  <c r="B316" i="11"/>
  <c r="Q315" i="11"/>
  <c r="P315" i="11"/>
  <c r="O315" i="11"/>
  <c r="N315" i="11"/>
  <c r="B315" i="11"/>
  <c r="Q314" i="11"/>
  <c r="P314" i="11"/>
  <c r="O314" i="11"/>
  <c r="N314" i="11"/>
  <c r="B314" i="11"/>
  <c r="Q313" i="11"/>
  <c r="P313" i="11"/>
  <c r="O313" i="11"/>
  <c r="N313" i="11"/>
  <c r="B313" i="11"/>
  <c r="Q312" i="11"/>
  <c r="P312" i="11"/>
  <c r="O312" i="11"/>
  <c r="N312" i="11"/>
  <c r="B312" i="11"/>
  <c r="Q311" i="11"/>
  <c r="P311" i="11"/>
  <c r="O311" i="11"/>
  <c r="N311" i="11"/>
  <c r="B311" i="11"/>
  <c r="Q310" i="11"/>
  <c r="P310" i="11"/>
  <c r="O310" i="11"/>
  <c r="N310" i="11"/>
  <c r="B310" i="11"/>
  <c r="Q309" i="11"/>
  <c r="P309" i="11"/>
  <c r="O309" i="11"/>
  <c r="N309" i="11"/>
  <c r="B309" i="11"/>
  <c r="Q308" i="11"/>
  <c r="P308" i="11"/>
  <c r="O308" i="11"/>
  <c r="N308" i="11"/>
  <c r="S308" i="11" s="1"/>
  <c r="B308" i="11"/>
  <c r="Q307" i="11"/>
  <c r="P307" i="11"/>
  <c r="O307" i="11"/>
  <c r="N307" i="11"/>
  <c r="B307" i="11"/>
  <c r="Q306" i="11"/>
  <c r="P306" i="11"/>
  <c r="O306" i="11"/>
  <c r="N306" i="11"/>
  <c r="B306" i="11"/>
  <c r="Q305" i="11"/>
  <c r="P305" i="11"/>
  <c r="O305" i="11"/>
  <c r="N305" i="11"/>
  <c r="B305" i="11"/>
  <c r="Q304" i="11"/>
  <c r="P304" i="11"/>
  <c r="O304" i="11"/>
  <c r="N304" i="11"/>
  <c r="B304" i="11"/>
  <c r="Q303" i="11"/>
  <c r="P303" i="11"/>
  <c r="O303" i="11"/>
  <c r="N303" i="11"/>
  <c r="B303" i="11"/>
  <c r="Q302" i="11"/>
  <c r="P302" i="11"/>
  <c r="O302" i="11"/>
  <c r="N302" i="11"/>
  <c r="S302" i="11" s="1"/>
  <c r="B302" i="11"/>
  <c r="Q301" i="11"/>
  <c r="P301" i="11"/>
  <c r="O301" i="11"/>
  <c r="N301" i="11"/>
  <c r="B301" i="11"/>
  <c r="Q300" i="11"/>
  <c r="P300" i="11"/>
  <c r="O300" i="11"/>
  <c r="N300" i="11"/>
  <c r="S300" i="11" s="1"/>
  <c r="B300" i="11"/>
  <c r="Q299" i="11"/>
  <c r="P299" i="11"/>
  <c r="O299" i="11"/>
  <c r="N299" i="11"/>
  <c r="B299" i="11"/>
  <c r="Q298" i="11"/>
  <c r="P298" i="11"/>
  <c r="O298" i="11"/>
  <c r="N298" i="11"/>
  <c r="S298" i="11" s="1"/>
  <c r="B298" i="11"/>
  <c r="Q297" i="11"/>
  <c r="P297" i="11"/>
  <c r="O297" i="11"/>
  <c r="N297" i="11"/>
  <c r="B297" i="11"/>
  <c r="Q296" i="11"/>
  <c r="P296" i="11"/>
  <c r="O296" i="11"/>
  <c r="N296" i="11"/>
  <c r="B296" i="11"/>
  <c r="Q295" i="11"/>
  <c r="P295" i="11"/>
  <c r="O295" i="11"/>
  <c r="N295" i="11"/>
  <c r="S295" i="11" s="1"/>
  <c r="B295" i="11"/>
  <c r="Q294" i="11"/>
  <c r="P294" i="11"/>
  <c r="O294" i="11"/>
  <c r="N294" i="11"/>
  <c r="B294" i="11"/>
  <c r="Q293" i="11"/>
  <c r="P293" i="11"/>
  <c r="O293" i="11"/>
  <c r="N293" i="11"/>
  <c r="S293" i="11" s="1"/>
  <c r="B293" i="11"/>
  <c r="Q292" i="11"/>
  <c r="P292" i="11"/>
  <c r="O292" i="11"/>
  <c r="N292" i="11"/>
  <c r="B292" i="11"/>
  <c r="Q291" i="11"/>
  <c r="P291" i="11"/>
  <c r="O291" i="11"/>
  <c r="N291" i="11"/>
  <c r="B291" i="11"/>
  <c r="Q290" i="11"/>
  <c r="P290" i="11"/>
  <c r="O290" i="11"/>
  <c r="N290" i="11"/>
  <c r="B290" i="11"/>
  <c r="Q289" i="11"/>
  <c r="P289" i="11"/>
  <c r="O289" i="11"/>
  <c r="N289" i="11"/>
  <c r="S289" i="11" s="1"/>
  <c r="B289" i="11"/>
  <c r="Q288" i="11"/>
  <c r="P288" i="11"/>
  <c r="O288" i="11"/>
  <c r="N288" i="11"/>
  <c r="B288" i="11"/>
  <c r="Q287" i="11"/>
  <c r="P287" i="11"/>
  <c r="O287" i="11"/>
  <c r="N287" i="11"/>
  <c r="B287" i="11"/>
  <c r="Q286" i="11"/>
  <c r="P286" i="11"/>
  <c r="O286" i="11"/>
  <c r="N286" i="11"/>
  <c r="S286" i="11" s="1"/>
  <c r="B286" i="11"/>
  <c r="Q285" i="11"/>
  <c r="P285" i="11"/>
  <c r="O285" i="11"/>
  <c r="N285" i="11"/>
  <c r="B285" i="11"/>
  <c r="Q284" i="11"/>
  <c r="P284" i="11"/>
  <c r="O284" i="11"/>
  <c r="N284" i="11"/>
  <c r="B284" i="11"/>
  <c r="Q283" i="11"/>
  <c r="P283" i="11"/>
  <c r="O283" i="11"/>
  <c r="N283" i="11"/>
  <c r="B283" i="11"/>
  <c r="Q282" i="11"/>
  <c r="P282" i="11"/>
  <c r="O282" i="11"/>
  <c r="N282" i="11"/>
  <c r="B282" i="11"/>
  <c r="Q281" i="11"/>
  <c r="P281" i="11"/>
  <c r="O281" i="11"/>
  <c r="N281" i="11"/>
  <c r="B281" i="11"/>
  <c r="Q280" i="11"/>
  <c r="P280" i="11"/>
  <c r="O280" i="11"/>
  <c r="N280" i="11"/>
  <c r="B280" i="11"/>
  <c r="Q279" i="11"/>
  <c r="P279" i="11"/>
  <c r="O279" i="11"/>
  <c r="N279" i="11"/>
  <c r="S279" i="11" s="1"/>
  <c r="B279" i="11"/>
  <c r="Q278" i="11"/>
  <c r="P278" i="11"/>
  <c r="O278" i="11"/>
  <c r="N278" i="11"/>
  <c r="B278" i="11"/>
  <c r="Q277" i="11"/>
  <c r="P277" i="11"/>
  <c r="O277" i="11"/>
  <c r="N277" i="11"/>
  <c r="S277" i="11" s="1"/>
  <c r="B277" i="11"/>
  <c r="Q276" i="11"/>
  <c r="P276" i="11"/>
  <c r="O276" i="11"/>
  <c r="N276" i="11"/>
  <c r="S276" i="11" s="1"/>
  <c r="B276" i="11"/>
  <c r="Q275" i="11"/>
  <c r="P275" i="11"/>
  <c r="O275" i="11"/>
  <c r="N275" i="11"/>
  <c r="B275" i="11"/>
  <c r="Q274" i="11"/>
  <c r="P274" i="11"/>
  <c r="O274" i="11"/>
  <c r="N274" i="11"/>
  <c r="B274" i="11"/>
  <c r="Q273" i="11"/>
  <c r="P273" i="11"/>
  <c r="O273" i="11"/>
  <c r="N273" i="11"/>
  <c r="S273" i="11" s="1"/>
  <c r="B273" i="11"/>
  <c r="Q272" i="11"/>
  <c r="P272" i="11"/>
  <c r="O272" i="11"/>
  <c r="N272" i="11"/>
  <c r="B272" i="11"/>
  <c r="Q271" i="11"/>
  <c r="P271" i="11"/>
  <c r="O271" i="11"/>
  <c r="N271" i="11"/>
  <c r="B271" i="11"/>
  <c r="Q270" i="11"/>
  <c r="P270" i="11"/>
  <c r="O270" i="11"/>
  <c r="N270" i="11"/>
  <c r="S270" i="11" s="1"/>
  <c r="B270" i="11"/>
  <c r="Q269" i="11"/>
  <c r="P269" i="11"/>
  <c r="O269" i="11"/>
  <c r="N269" i="11"/>
  <c r="B269" i="11"/>
  <c r="Q268" i="11"/>
  <c r="P268" i="11"/>
  <c r="O268" i="11"/>
  <c r="N268" i="11"/>
  <c r="B268" i="11"/>
  <c r="Q267" i="11"/>
  <c r="P267" i="11"/>
  <c r="O267" i="11"/>
  <c r="N267" i="11"/>
  <c r="B267" i="11"/>
  <c r="Q266" i="11"/>
  <c r="P266" i="11"/>
  <c r="O266" i="11"/>
  <c r="N266" i="11"/>
  <c r="B266" i="11"/>
  <c r="Q265" i="11"/>
  <c r="P265" i="11"/>
  <c r="O265" i="11"/>
  <c r="N265" i="11"/>
  <c r="B265" i="11"/>
  <c r="Q264" i="11"/>
  <c r="P264" i="11"/>
  <c r="O264" i="11"/>
  <c r="N264" i="11"/>
  <c r="B264" i="11"/>
  <c r="Q263" i="11"/>
  <c r="P263" i="11"/>
  <c r="O263" i="11"/>
  <c r="N263" i="11"/>
  <c r="B263" i="11"/>
  <c r="Q262" i="11"/>
  <c r="P262" i="11"/>
  <c r="O262" i="11"/>
  <c r="N262" i="11"/>
  <c r="B262" i="11"/>
  <c r="Q261" i="11"/>
  <c r="P261" i="11"/>
  <c r="O261" i="11"/>
  <c r="N261" i="11"/>
  <c r="B261" i="11"/>
  <c r="Q260" i="11"/>
  <c r="P260" i="11"/>
  <c r="O260" i="11"/>
  <c r="N260" i="11"/>
  <c r="S260" i="11" s="1"/>
  <c r="B260" i="11"/>
  <c r="Q259" i="11"/>
  <c r="P259" i="11"/>
  <c r="O259" i="11"/>
  <c r="N259" i="11"/>
  <c r="S259" i="11" s="1"/>
  <c r="B259" i="11"/>
  <c r="Q258" i="11"/>
  <c r="P258" i="11"/>
  <c r="O258" i="11"/>
  <c r="N258" i="11"/>
  <c r="B258" i="11"/>
  <c r="Q257" i="11"/>
  <c r="P257" i="11"/>
  <c r="O257" i="11"/>
  <c r="N257" i="11"/>
  <c r="B257" i="11"/>
  <c r="Q256" i="11"/>
  <c r="P256" i="11"/>
  <c r="O256" i="11"/>
  <c r="N256" i="11"/>
  <c r="B256" i="11"/>
  <c r="Q255" i="11"/>
  <c r="P255" i="11"/>
  <c r="O255" i="11"/>
  <c r="N255" i="11"/>
  <c r="B255" i="11"/>
  <c r="Q254" i="11"/>
  <c r="P254" i="11"/>
  <c r="O254" i="11"/>
  <c r="N254" i="11"/>
  <c r="S254" i="11" s="1"/>
  <c r="B254" i="11"/>
  <c r="Q253" i="11"/>
  <c r="P253" i="11"/>
  <c r="O253" i="11"/>
  <c r="N253" i="11"/>
  <c r="S253" i="11" s="1"/>
  <c r="B253" i="11"/>
  <c r="Q252" i="11"/>
  <c r="P252" i="11"/>
  <c r="O252" i="11"/>
  <c r="N252" i="11"/>
  <c r="B252" i="11"/>
  <c r="Q251" i="11"/>
  <c r="P251" i="11"/>
  <c r="O251" i="11"/>
  <c r="N251" i="11"/>
  <c r="B251" i="11"/>
  <c r="Q250" i="11"/>
  <c r="P250" i="11"/>
  <c r="O250" i="11"/>
  <c r="N250" i="11"/>
  <c r="B250" i="11"/>
  <c r="Q249" i="11"/>
  <c r="P249" i="11"/>
  <c r="O249" i="11"/>
  <c r="N249" i="11"/>
  <c r="B249" i="11"/>
  <c r="Q248" i="11"/>
  <c r="P248" i="11"/>
  <c r="O248" i="11"/>
  <c r="N248" i="11"/>
  <c r="B248" i="11"/>
  <c r="Q247" i="11"/>
  <c r="P247" i="11"/>
  <c r="O247" i="11"/>
  <c r="N247" i="11"/>
  <c r="S247" i="11" s="1"/>
  <c r="B247" i="11"/>
  <c r="Q246" i="11"/>
  <c r="P246" i="11"/>
  <c r="O246" i="11"/>
  <c r="S246" i="11" s="1"/>
  <c r="N246" i="11"/>
  <c r="B246" i="11"/>
  <c r="Q245" i="11"/>
  <c r="P245" i="11"/>
  <c r="O245" i="11"/>
  <c r="N245" i="11"/>
  <c r="B245" i="11"/>
  <c r="Q244" i="11"/>
  <c r="P244" i="11"/>
  <c r="O244" i="11"/>
  <c r="N244" i="11"/>
  <c r="B244" i="11"/>
  <c r="Q243" i="11"/>
  <c r="P243" i="11"/>
  <c r="O243" i="11"/>
  <c r="N243" i="11"/>
  <c r="B243" i="11"/>
  <c r="Q242" i="11"/>
  <c r="P242" i="11"/>
  <c r="O242" i="11"/>
  <c r="N242" i="11"/>
  <c r="B242" i="11"/>
  <c r="Q241" i="11"/>
  <c r="P241" i="11"/>
  <c r="O241" i="11"/>
  <c r="N241" i="11"/>
  <c r="B241" i="11"/>
  <c r="Q240" i="11"/>
  <c r="P240" i="11"/>
  <c r="O240" i="11"/>
  <c r="N240" i="11"/>
  <c r="B240" i="11"/>
  <c r="Q239" i="11"/>
  <c r="P239" i="11"/>
  <c r="O239" i="11"/>
  <c r="N239" i="11"/>
  <c r="B239" i="11"/>
  <c r="Q238" i="11"/>
  <c r="P238" i="11"/>
  <c r="O238" i="11"/>
  <c r="N238" i="11"/>
  <c r="B238" i="11"/>
  <c r="Q237" i="11"/>
  <c r="P237" i="11"/>
  <c r="O237" i="11"/>
  <c r="N237" i="11"/>
  <c r="B237" i="11"/>
  <c r="Q236" i="11"/>
  <c r="P236" i="11"/>
  <c r="O236" i="11"/>
  <c r="N236" i="11"/>
  <c r="B236" i="11"/>
  <c r="Q235" i="11"/>
  <c r="P235" i="11"/>
  <c r="O235" i="11"/>
  <c r="N235" i="11"/>
  <c r="B235" i="11"/>
  <c r="Q234" i="11"/>
  <c r="P234" i="11"/>
  <c r="O234" i="11"/>
  <c r="N234" i="11"/>
  <c r="B234" i="11"/>
  <c r="Q233" i="11"/>
  <c r="P233" i="11"/>
  <c r="O233" i="11"/>
  <c r="N233" i="11"/>
  <c r="B233" i="11"/>
  <c r="Q232" i="11"/>
  <c r="P232" i="11"/>
  <c r="O232" i="11"/>
  <c r="N232" i="11"/>
  <c r="B232" i="11"/>
  <c r="Q231" i="11"/>
  <c r="P231" i="11"/>
  <c r="O231" i="11"/>
  <c r="N231" i="11"/>
  <c r="B231" i="11"/>
  <c r="Q230" i="11"/>
  <c r="P230" i="11"/>
  <c r="O230" i="11"/>
  <c r="N230" i="11"/>
  <c r="B230" i="11"/>
  <c r="Q229" i="11"/>
  <c r="P229" i="11"/>
  <c r="O229" i="11"/>
  <c r="N229" i="11"/>
  <c r="B229" i="11"/>
  <c r="Q228" i="11"/>
  <c r="P228" i="11"/>
  <c r="O228" i="11"/>
  <c r="N228" i="11"/>
  <c r="B228" i="11"/>
  <c r="Q227" i="11"/>
  <c r="P227" i="11"/>
  <c r="O227" i="11"/>
  <c r="N227" i="11"/>
  <c r="B227" i="11"/>
  <c r="Q226" i="11"/>
  <c r="P226" i="11"/>
  <c r="O226" i="11"/>
  <c r="N226" i="11"/>
  <c r="B226" i="11"/>
  <c r="Q225" i="11"/>
  <c r="P225" i="11"/>
  <c r="O225" i="11"/>
  <c r="N225" i="11"/>
  <c r="B225" i="11"/>
  <c r="Q224" i="11"/>
  <c r="P224" i="11"/>
  <c r="O224" i="11"/>
  <c r="N224" i="11"/>
  <c r="S224" i="11" s="1"/>
  <c r="B224" i="11"/>
  <c r="Q223" i="11"/>
  <c r="P223" i="11"/>
  <c r="O223" i="11"/>
  <c r="N223" i="11"/>
  <c r="B223" i="11"/>
  <c r="Q222" i="11"/>
  <c r="P222" i="11"/>
  <c r="O222" i="11"/>
  <c r="N222" i="11"/>
  <c r="B222" i="11"/>
  <c r="Q221" i="11"/>
  <c r="P221" i="11"/>
  <c r="O221" i="11"/>
  <c r="N221" i="11"/>
  <c r="B221" i="11"/>
  <c r="Q220" i="11"/>
  <c r="P220" i="11"/>
  <c r="O220" i="11"/>
  <c r="N220" i="11"/>
  <c r="B220" i="11"/>
  <c r="Q219" i="11"/>
  <c r="P219" i="11"/>
  <c r="O219" i="11"/>
  <c r="N219" i="11"/>
  <c r="S219" i="11" s="1"/>
  <c r="B219" i="11"/>
  <c r="Q218" i="11"/>
  <c r="P218" i="11"/>
  <c r="O218" i="11"/>
  <c r="N218" i="11"/>
  <c r="B218" i="11"/>
  <c r="Q217" i="11"/>
  <c r="P217" i="11"/>
  <c r="O217" i="11"/>
  <c r="N217" i="11"/>
  <c r="B217" i="11"/>
  <c r="Q216" i="11"/>
  <c r="P216" i="11"/>
  <c r="O216" i="11"/>
  <c r="N216" i="11"/>
  <c r="B216" i="11"/>
  <c r="Q215" i="11"/>
  <c r="P215" i="11"/>
  <c r="O215" i="11"/>
  <c r="N215" i="11"/>
  <c r="B215" i="11"/>
  <c r="Q214" i="11"/>
  <c r="P214" i="11"/>
  <c r="O214" i="11"/>
  <c r="N214" i="11"/>
  <c r="S214" i="11" s="1"/>
  <c r="B214" i="11"/>
  <c r="Q213" i="11"/>
  <c r="P213" i="11"/>
  <c r="O213" i="11"/>
  <c r="N213" i="11"/>
  <c r="B213" i="11"/>
  <c r="Q212" i="11"/>
  <c r="P212" i="11"/>
  <c r="O212" i="11"/>
  <c r="N212" i="11"/>
  <c r="B212" i="11"/>
  <c r="Q211" i="11"/>
  <c r="P211" i="11"/>
  <c r="O211" i="11"/>
  <c r="N211" i="11"/>
  <c r="B211" i="11"/>
  <c r="Q210" i="11"/>
  <c r="P210" i="11"/>
  <c r="O210" i="11"/>
  <c r="N210" i="11"/>
  <c r="B210" i="11"/>
  <c r="Q209" i="11"/>
  <c r="P209" i="11"/>
  <c r="O209" i="11"/>
  <c r="N209" i="11"/>
  <c r="B209" i="11"/>
  <c r="Q208" i="11"/>
  <c r="P208" i="11"/>
  <c r="O208" i="11"/>
  <c r="N208" i="11"/>
  <c r="B208" i="11"/>
  <c r="Q207" i="11"/>
  <c r="P207" i="11"/>
  <c r="O207" i="11"/>
  <c r="N207" i="11"/>
  <c r="B207" i="11"/>
  <c r="Q206" i="11"/>
  <c r="P206" i="11"/>
  <c r="O206" i="11"/>
  <c r="N206" i="11"/>
  <c r="B206" i="11"/>
  <c r="Q205" i="11"/>
  <c r="P205" i="11"/>
  <c r="O205" i="11"/>
  <c r="N205" i="11"/>
  <c r="B205" i="11"/>
  <c r="Q204" i="11"/>
  <c r="P204" i="11"/>
  <c r="O204" i="11"/>
  <c r="N204" i="11"/>
  <c r="B204" i="11"/>
  <c r="Q203" i="11"/>
  <c r="P203" i="11"/>
  <c r="O203" i="11"/>
  <c r="N203" i="11"/>
  <c r="B203" i="11"/>
  <c r="Q202" i="11"/>
  <c r="P202" i="11"/>
  <c r="O202" i="11"/>
  <c r="N202" i="11"/>
  <c r="B202" i="11"/>
  <c r="Q201" i="11"/>
  <c r="P201" i="11"/>
  <c r="O201" i="11"/>
  <c r="N201" i="11"/>
  <c r="B201" i="11"/>
  <c r="Q200" i="11"/>
  <c r="P200" i="11"/>
  <c r="O200" i="11"/>
  <c r="N200" i="11"/>
  <c r="B200" i="11"/>
  <c r="B199" i="11"/>
  <c r="B198" i="11"/>
  <c r="B197" i="11"/>
  <c r="Q196" i="11"/>
  <c r="P196" i="11"/>
  <c r="O196" i="11"/>
  <c r="N196" i="11"/>
  <c r="B196" i="11"/>
  <c r="B195" i="11"/>
  <c r="B194" i="11"/>
  <c r="B193" i="11"/>
  <c r="B192" i="11"/>
  <c r="B191" i="11"/>
  <c r="B190" i="11"/>
  <c r="B189" i="11"/>
  <c r="Q188" i="11"/>
  <c r="P188" i="11"/>
  <c r="O188" i="11"/>
  <c r="N188" i="11"/>
  <c r="B188" i="11"/>
  <c r="Q187" i="11"/>
  <c r="P187" i="11"/>
  <c r="O187" i="11"/>
  <c r="N187" i="11"/>
  <c r="B187" i="11"/>
  <c r="Q186" i="11"/>
  <c r="P186" i="11"/>
  <c r="O186" i="11"/>
  <c r="N186" i="11"/>
  <c r="B186" i="11"/>
  <c r="Q185" i="11"/>
  <c r="P185" i="11"/>
  <c r="O185" i="11"/>
  <c r="N185" i="11"/>
  <c r="B185" i="11"/>
  <c r="Q184" i="11"/>
  <c r="P184" i="11"/>
  <c r="O184" i="11"/>
  <c r="N184" i="11"/>
  <c r="B184" i="11"/>
  <c r="Q183" i="11"/>
  <c r="P183" i="11"/>
  <c r="O183" i="11"/>
  <c r="N183" i="11"/>
  <c r="B183" i="11"/>
  <c r="Q182" i="11"/>
  <c r="P182" i="11"/>
  <c r="O182" i="11"/>
  <c r="N182" i="11"/>
  <c r="B182" i="11"/>
  <c r="Q181" i="11"/>
  <c r="P181" i="11"/>
  <c r="O181" i="11"/>
  <c r="N181" i="11"/>
  <c r="B181" i="11"/>
  <c r="Q180" i="11"/>
  <c r="P180" i="11"/>
  <c r="O180" i="11"/>
  <c r="N180" i="11"/>
  <c r="B180" i="11"/>
  <c r="Q179" i="11"/>
  <c r="P179" i="11"/>
  <c r="O179" i="11"/>
  <c r="N179" i="11"/>
  <c r="B179" i="11"/>
  <c r="Q178" i="11"/>
  <c r="P178" i="11"/>
  <c r="O178" i="11"/>
  <c r="N178" i="11"/>
  <c r="B178" i="11"/>
  <c r="Q177" i="11"/>
  <c r="P177" i="11"/>
  <c r="O177" i="11"/>
  <c r="N177" i="11"/>
  <c r="B177" i="11"/>
  <c r="Q176" i="11"/>
  <c r="P176" i="11"/>
  <c r="O176" i="11"/>
  <c r="N176" i="11"/>
  <c r="B176" i="11"/>
  <c r="Q175" i="11"/>
  <c r="P175" i="11"/>
  <c r="O175" i="11"/>
  <c r="N175" i="11"/>
  <c r="B175" i="11"/>
  <c r="Q174" i="11"/>
  <c r="P174" i="11"/>
  <c r="O174" i="11"/>
  <c r="N174" i="11"/>
  <c r="B174" i="11"/>
  <c r="Q173" i="11"/>
  <c r="P173" i="11"/>
  <c r="O173" i="11"/>
  <c r="N173" i="11"/>
  <c r="B173" i="11"/>
  <c r="Q172" i="11"/>
  <c r="P172" i="11"/>
  <c r="O172" i="11"/>
  <c r="N172" i="11"/>
  <c r="B172" i="11"/>
  <c r="Q171" i="11"/>
  <c r="P171" i="11"/>
  <c r="O171" i="11"/>
  <c r="N171" i="11"/>
  <c r="B171" i="11"/>
  <c r="Q170" i="11"/>
  <c r="P170" i="11"/>
  <c r="O170" i="11"/>
  <c r="N170" i="11"/>
  <c r="B170" i="11"/>
  <c r="Q169" i="11"/>
  <c r="P169" i="11"/>
  <c r="O169" i="11"/>
  <c r="N169" i="11"/>
  <c r="B169" i="11"/>
  <c r="Q168" i="11"/>
  <c r="P168" i="11"/>
  <c r="O168" i="11"/>
  <c r="N168" i="11"/>
  <c r="B168" i="11"/>
  <c r="Q167" i="11"/>
  <c r="P167" i="11"/>
  <c r="O167" i="11"/>
  <c r="N167" i="11"/>
  <c r="B167" i="11"/>
  <c r="B166" i="11"/>
  <c r="Q165" i="11"/>
  <c r="P165" i="11"/>
  <c r="O165" i="11"/>
  <c r="N165" i="11"/>
  <c r="B165" i="11"/>
  <c r="Q164" i="11"/>
  <c r="P164" i="11"/>
  <c r="O164" i="11"/>
  <c r="N164" i="11"/>
  <c r="B164" i="11"/>
  <c r="Q163" i="11"/>
  <c r="P163" i="11"/>
  <c r="O163" i="11"/>
  <c r="N163" i="11"/>
  <c r="B163" i="11"/>
  <c r="Q162" i="11"/>
  <c r="P162" i="11"/>
  <c r="O162" i="11"/>
  <c r="N162" i="11"/>
  <c r="B162" i="11"/>
  <c r="B161" i="11"/>
  <c r="Q160" i="11"/>
  <c r="P160" i="11"/>
  <c r="O160" i="11"/>
  <c r="N160" i="11"/>
  <c r="B160" i="11"/>
  <c r="Q159" i="11"/>
  <c r="P159" i="11"/>
  <c r="O159" i="11"/>
  <c r="N159" i="11"/>
  <c r="B159" i="11"/>
  <c r="Q158" i="11"/>
  <c r="P158" i="11"/>
  <c r="O158" i="11"/>
  <c r="N158" i="11"/>
  <c r="B158" i="11"/>
  <c r="Q157" i="11"/>
  <c r="P157" i="11"/>
  <c r="O157" i="11"/>
  <c r="N157" i="11"/>
  <c r="B157" i="11"/>
  <c r="B156" i="11"/>
  <c r="Q155" i="11"/>
  <c r="P155" i="11"/>
  <c r="O155" i="11"/>
  <c r="N155" i="11"/>
  <c r="B155" i="11"/>
  <c r="Q154" i="11"/>
  <c r="P154" i="11"/>
  <c r="O154" i="11"/>
  <c r="N154" i="11"/>
  <c r="B154" i="11"/>
  <c r="Q153" i="11"/>
  <c r="P153" i="11"/>
  <c r="O153" i="11"/>
  <c r="N153" i="11"/>
  <c r="B153" i="11"/>
  <c r="Q152" i="11"/>
  <c r="P152" i="11"/>
  <c r="O152" i="11"/>
  <c r="N152" i="11"/>
  <c r="B152" i="11"/>
  <c r="B151" i="11"/>
  <c r="Q150" i="11"/>
  <c r="P150" i="11"/>
  <c r="O150" i="11"/>
  <c r="N150" i="11"/>
  <c r="B150" i="11"/>
  <c r="Q149" i="11"/>
  <c r="P149" i="11"/>
  <c r="O149" i="11"/>
  <c r="N149" i="11"/>
  <c r="B149" i="11"/>
  <c r="Q148" i="11"/>
  <c r="P148" i="11"/>
  <c r="O148" i="11"/>
  <c r="N148" i="11"/>
  <c r="B148" i="11"/>
  <c r="Q147" i="11"/>
  <c r="P147" i="11"/>
  <c r="O147" i="11"/>
  <c r="N147" i="11"/>
  <c r="B147" i="11"/>
  <c r="B146" i="11"/>
  <c r="Q145" i="11"/>
  <c r="P145" i="11"/>
  <c r="O145" i="11"/>
  <c r="N145" i="11"/>
  <c r="B145" i="11"/>
  <c r="Q144" i="11"/>
  <c r="P144" i="11"/>
  <c r="O144" i="11"/>
  <c r="N144" i="11"/>
  <c r="B144" i="11"/>
  <c r="Q143" i="11"/>
  <c r="P143" i="11"/>
  <c r="O143" i="11"/>
  <c r="N143" i="11"/>
  <c r="B143" i="11"/>
  <c r="Q142" i="11"/>
  <c r="P142" i="11"/>
  <c r="O142" i="11"/>
  <c r="N142" i="11"/>
  <c r="B142" i="11"/>
  <c r="B141" i="11"/>
  <c r="B140" i="11"/>
  <c r="B139" i="11"/>
  <c r="Q138" i="11"/>
  <c r="P138" i="11"/>
  <c r="O138" i="11"/>
  <c r="N138" i="11"/>
  <c r="B138" i="11"/>
  <c r="B137" i="11"/>
  <c r="B136" i="11"/>
  <c r="B135" i="11"/>
  <c r="Q134" i="11"/>
  <c r="P134" i="11"/>
  <c r="O134" i="11"/>
  <c r="N134" i="11"/>
  <c r="B134" i="11"/>
  <c r="B133" i="11"/>
  <c r="B132" i="11"/>
  <c r="B131" i="11"/>
  <c r="Q130" i="11"/>
  <c r="P130" i="11"/>
  <c r="O130" i="11"/>
  <c r="N130" i="11"/>
  <c r="B130" i="11"/>
  <c r="Q129" i="11"/>
  <c r="P129" i="11"/>
  <c r="O129" i="11"/>
  <c r="N129" i="11"/>
  <c r="B129" i="11"/>
  <c r="Q128" i="11"/>
  <c r="P128" i="11"/>
  <c r="O128" i="11"/>
  <c r="N128" i="11"/>
  <c r="B128" i="11"/>
  <c r="Q127" i="11"/>
  <c r="P127" i="11"/>
  <c r="O127" i="11"/>
  <c r="N127" i="11"/>
  <c r="B127" i="11"/>
  <c r="Q126" i="11"/>
  <c r="P126" i="11"/>
  <c r="O126" i="11"/>
  <c r="N126" i="11"/>
  <c r="B126" i="11"/>
  <c r="Q125" i="11"/>
  <c r="P125" i="11"/>
  <c r="O125" i="11"/>
  <c r="N125" i="11"/>
  <c r="B125" i="11"/>
  <c r="Q124" i="11"/>
  <c r="P124" i="11"/>
  <c r="O124" i="11"/>
  <c r="N124" i="11"/>
  <c r="B124" i="11"/>
  <c r="Q123" i="11"/>
  <c r="P123" i="11"/>
  <c r="O123" i="11"/>
  <c r="N123" i="11"/>
  <c r="B123" i="11"/>
  <c r="Q122" i="11"/>
  <c r="P122" i="11"/>
  <c r="O122" i="11"/>
  <c r="N122" i="11"/>
  <c r="B122" i="11"/>
  <c r="Q121" i="11"/>
  <c r="P121" i="11"/>
  <c r="O121" i="11"/>
  <c r="N121" i="11"/>
  <c r="B121" i="11"/>
  <c r="Q120" i="11"/>
  <c r="P120" i="11"/>
  <c r="O120" i="11"/>
  <c r="N120" i="11"/>
  <c r="B120" i="11"/>
  <c r="Q119" i="11"/>
  <c r="P119" i="11"/>
  <c r="O119" i="11"/>
  <c r="N119" i="11"/>
  <c r="B119" i="11"/>
  <c r="Q118" i="11"/>
  <c r="P118" i="11"/>
  <c r="O118" i="11"/>
  <c r="N118" i="11"/>
  <c r="B118" i="11"/>
  <c r="Q117" i="11"/>
  <c r="P117" i="11"/>
  <c r="O117" i="11"/>
  <c r="N117" i="11"/>
  <c r="B117" i="11"/>
  <c r="Q116" i="11"/>
  <c r="P116" i="11"/>
  <c r="O116" i="11"/>
  <c r="N116" i="11"/>
  <c r="B116" i="11"/>
  <c r="Q115" i="11"/>
  <c r="P115" i="11"/>
  <c r="O115" i="11"/>
  <c r="N115" i="11"/>
  <c r="B115" i="11"/>
  <c r="Q114" i="11"/>
  <c r="P114" i="11"/>
  <c r="O114" i="11"/>
  <c r="N114" i="11"/>
  <c r="B114" i="11"/>
  <c r="Q113" i="11"/>
  <c r="P113" i="11"/>
  <c r="O113" i="11"/>
  <c r="N113" i="11"/>
  <c r="B113" i="11"/>
  <c r="Q112" i="11"/>
  <c r="P112" i="11"/>
  <c r="O112" i="11"/>
  <c r="N112" i="11"/>
  <c r="B112" i="11"/>
  <c r="Q111" i="11"/>
  <c r="P111" i="11"/>
  <c r="O111" i="11"/>
  <c r="N111" i="11"/>
  <c r="B111" i="11"/>
  <c r="B110" i="11"/>
  <c r="Q109" i="11"/>
  <c r="P109" i="11"/>
  <c r="O109" i="11"/>
  <c r="N109" i="11"/>
  <c r="B109" i="11"/>
  <c r="Q108" i="11"/>
  <c r="P108" i="11"/>
  <c r="O108" i="11"/>
  <c r="N108" i="11"/>
  <c r="B108" i="11"/>
  <c r="Q107" i="11"/>
  <c r="P107" i="11"/>
  <c r="O107" i="11"/>
  <c r="N107" i="11"/>
  <c r="B107" i="11"/>
  <c r="Q106" i="11"/>
  <c r="P106" i="11"/>
  <c r="O106" i="11"/>
  <c r="N106" i="11"/>
  <c r="B106" i="11"/>
  <c r="B105" i="11"/>
  <c r="Q104" i="11"/>
  <c r="P104" i="11"/>
  <c r="O104" i="11"/>
  <c r="N104" i="11"/>
  <c r="B104" i="11"/>
  <c r="Q103" i="11"/>
  <c r="P103" i="11"/>
  <c r="O103" i="11"/>
  <c r="N103" i="11"/>
  <c r="B103" i="11"/>
  <c r="Q102" i="11"/>
  <c r="P102" i="11"/>
  <c r="O102" i="11"/>
  <c r="N102" i="11"/>
  <c r="B102" i="11"/>
  <c r="Q101" i="11"/>
  <c r="P101" i="11"/>
  <c r="O101" i="11"/>
  <c r="N101" i="11"/>
  <c r="B101" i="11"/>
  <c r="Q100" i="11"/>
  <c r="B100" i="11"/>
  <c r="Q75" i="11"/>
  <c r="B75" i="11"/>
  <c r="Q74" i="11"/>
  <c r="B74" i="11"/>
  <c r="Q73" i="11"/>
  <c r="B73" i="11"/>
  <c r="Q72" i="11"/>
  <c r="B72" i="11"/>
  <c r="Q71" i="11"/>
  <c r="B71" i="11"/>
  <c r="Q70" i="11"/>
  <c r="B70" i="11"/>
  <c r="B69" i="11"/>
  <c r="B68" i="11"/>
  <c r="B67" i="11"/>
  <c r="B66" i="11"/>
  <c r="B65" i="11"/>
  <c r="B64" i="11"/>
  <c r="Q63" i="11"/>
  <c r="P63" i="11"/>
  <c r="O63" i="11"/>
  <c r="N63" i="11"/>
  <c r="B63" i="11"/>
  <c r="Q62" i="11"/>
  <c r="P62" i="11"/>
  <c r="O62" i="11"/>
  <c r="N62" i="11"/>
  <c r="B62" i="11"/>
  <c r="Q61" i="11"/>
  <c r="P61" i="11"/>
  <c r="O61" i="11"/>
  <c r="N61" i="11"/>
  <c r="B61" i="11"/>
  <c r="Q60" i="11"/>
  <c r="P60" i="11"/>
  <c r="O60" i="11"/>
  <c r="N60" i="11"/>
  <c r="B60" i="11"/>
  <c r="Q59" i="11"/>
  <c r="P59" i="11"/>
  <c r="O59" i="11"/>
  <c r="N59" i="11"/>
  <c r="B59" i="11"/>
  <c r="Q58" i="11"/>
  <c r="P58" i="11"/>
  <c r="O58" i="11"/>
  <c r="N58" i="11"/>
  <c r="B58" i="11"/>
  <c r="Q57" i="11"/>
  <c r="P57" i="11"/>
  <c r="O57" i="11"/>
  <c r="N57" i="11"/>
  <c r="B57" i="11"/>
  <c r="Q56" i="11"/>
  <c r="P56" i="11"/>
  <c r="O56" i="11"/>
  <c r="N56" i="11"/>
  <c r="B56" i="11"/>
  <c r="Q55" i="11"/>
  <c r="P55" i="11"/>
  <c r="O55" i="11"/>
  <c r="N55" i="11"/>
  <c r="B55" i="11"/>
  <c r="Q54" i="11"/>
  <c r="P54" i="11"/>
  <c r="O54" i="11"/>
  <c r="N54" i="11"/>
  <c r="B54" i="11"/>
  <c r="Q53" i="11"/>
  <c r="P53" i="11"/>
  <c r="O53" i="11"/>
  <c r="N53" i="11"/>
  <c r="B53" i="11"/>
  <c r="Q52" i="11"/>
  <c r="P52" i="11"/>
  <c r="O52" i="11"/>
  <c r="N52" i="11"/>
  <c r="B52" i="11"/>
  <c r="Q51" i="11"/>
  <c r="P51" i="11"/>
  <c r="O51" i="11"/>
  <c r="N51" i="11"/>
  <c r="B51" i="11"/>
  <c r="Q50" i="11"/>
  <c r="P50" i="11"/>
  <c r="O50" i="11"/>
  <c r="N50" i="11"/>
  <c r="B50" i="11"/>
  <c r="B49" i="11"/>
  <c r="B48" i="11"/>
  <c r="Q47" i="11"/>
  <c r="P47" i="11"/>
  <c r="O47" i="11"/>
  <c r="N47" i="11"/>
  <c r="B47" i="11"/>
  <c r="Q46" i="11"/>
  <c r="P46" i="11"/>
  <c r="O46" i="11"/>
  <c r="N46" i="11"/>
  <c r="B46" i="11"/>
  <c r="Q45" i="11"/>
  <c r="P45" i="11"/>
  <c r="O45" i="11"/>
  <c r="N45" i="11"/>
  <c r="B45" i="11"/>
  <c r="Q44" i="11"/>
  <c r="P44" i="11"/>
  <c r="O44" i="11"/>
  <c r="N44" i="11"/>
  <c r="B44" i="11"/>
  <c r="Q43" i="11"/>
  <c r="P43" i="11"/>
  <c r="O43" i="11"/>
  <c r="N43" i="11"/>
  <c r="B43" i="11"/>
  <c r="Q42" i="11"/>
  <c r="P42" i="11"/>
  <c r="O42" i="11"/>
  <c r="N42" i="11"/>
  <c r="B42" i="11"/>
  <c r="Q41" i="11"/>
  <c r="P41" i="11"/>
  <c r="O41" i="11"/>
  <c r="N41" i="11"/>
  <c r="B41" i="11"/>
  <c r="Q40" i="11"/>
  <c r="P40" i="11"/>
  <c r="O40" i="11"/>
  <c r="N40" i="11"/>
  <c r="B40" i="11"/>
  <c r="Q39" i="11"/>
  <c r="P39" i="11"/>
  <c r="O39" i="11"/>
  <c r="N39" i="11"/>
  <c r="B39" i="11"/>
  <c r="Q38" i="11"/>
  <c r="P38" i="11"/>
  <c r="O38" i="11"/>
  <c r="N38" i="11"/>
  <c r="B38" i="11"/>
  <c r="Q37" i="11"/>
  <c r="P37" i="11"/>
  <c r="O37" i="11"/>
  <c r="N37" i="11"/>
  <c r="B37" i="11"/>
  <c r="Q36" i="11"/>
  <c r="P36" i="11"/>
  <c r="O36" i="11"/>
  <c r="N36" i="11"/>
  <c r="B36" i="11"/>
  <c r="Q35" i="11"/>
  <c r="P35" i="11"/>
  <c r="O35" i="11"/>
  <c r="N35" i="11"/>
  <c r="B35" i="11"/>
  <c r="Q34" i="11"/>
  <c r="P34" i="11"/>
  <c r="O34" i="11"/>
  <c r="N34" i="11"/>
  <c r="B34" i="11"/>
  <c r="AC33" i="11"/>
  <c r="AD33" i="11" s="1"/>
  <c r="B33" i="11"/>
  <c r="AC32" i="11"/>
  <c r="AD32" i="11" s="1"/>
  <c r="B32" i="11"/>
  <c r="AC31" i="11"/>
  <c r="AD31" i="11" s="1"/>
  <c r="B31" i="11"/>
  <c r="AC30" i="11"/>
  <c r="AD30" i="11" s="1"/>
  <c r="B30" i="11"/>
  <c r="AC29" i="11"/>
  <c r="AD29" i="11" s="1"/>
  <c r="B29" i="11"/>
  <c r="AC28" i="11"/>
  <c r="AD28" i="11" s="1"/>
  <c r="B28" i="11"/>
  <c r="AC27" i="11"/>
  <c r="AD27" i="11" s="1"/>
  <c r="B27" i="11"/>
  <c r="AC26" i="11"/>
  <c r="AD26" i="11" s="1"/>
  <c r="B26" i="11"/>
  <c r="AC25" i="11"/>
  <c r="AD25" i="11" s="1"/>
  <c r="B25" i="11"/>
  <c r="AC24" i="11"/>
  <c r="AD24" i="11" s="1"/>
  <c r="B24" i="11"/>
  <c r="AC23" i="11"/>
  <c r="AD23" i="11" s="1"/>
  <c r="B23" i="11"/>
  <c r="B22" i="11"/>
  <c r="AC21" i="11"/>
  <c r="AD21" i="11" s="1"/>
  <c r="B21" i="11"/>
  <c r="AD20" i="11"/>
  <c r="B20" i="11"/>
  <c r="AC19" i="11"/>
  <c r="AD19" i="11" s="1"/>
  <c r="B19" i="11"/>
  <c r="AC18" i="11"/>
  <c r="AD18" i="11" s="1"/>
  <c r="B18" i="11"/>
  <c r="AC17" i="11"/>
  <c r="AD17" i="11" s="1"/>
  <c r="Q17" i="11"/>
  <c r="B17" i="11"/>
  <c r="AC16" i="11"/>
  <c r="AD16" i="11" s="1"/>
  <c r="Q16" i="11"/>
  <c r="B16" i="11"/>
  <c r="AC15" i="11"/>
  <c r="AD15" i="11" s="1"/>
  <c r="Q15" i="11"/>
  <c r="B15" i="11"/>
  <c r="AC14" i="11"/>
  <c r="AD14" i="11" s="1"/>
  <c r="B14" i="11"/>
  <c r="B13" i="11"/>
  <c r="B12" i="11"/>
  <c r="B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B10" i="11"/>
  <c r="S255" i="11" l="1"/>
  <c r="S303" i="11"/>
  <c r="S319" i="11"/>
  <c r="S272" i="11"/>
  <c r="S288" i="11"/>
  <c r="S304" i="11"/>
  <c r="S396" i="11"/>
  <c r="S204" i="11"/>
  <c r="S261" i="11"/>
  <c r="S274" i="11"/>
  <c r="S306" i="11"/>
  <c r="S347" i="11"/>
  <c r="S363" i="11"/>
  <c r="S406" i="11"/>
  <c r="S196" i="11"/>
  <c r="S262" i="11"/>
  <c r="S278" i="11"/>
  <c r="S294" i="11"/>
  <c r="S335" i="11"/>
  <c r="S351" i="11"/>
  <c r="S383" i="11"/>
  <c r="S250" i="11"/>
  <c r="S301" i="11"/>
  <c r="S320" i="11"/>
  <c r="S342" i="11"/>
  <c r="S358" i="11"/>
  <c r="S374" i="11"/>
  <c r="S390" i="11"/>
  <c r="S138" i="11"/>
  <c r="S248" i="11"/>
  <c r="S267" i="11"/>
  <c r="S340" i="11"/>
  <c r="S356" i="11"/>
  <c r="S372" i="11"/>
  <c r="S388" i="11"/>
  <c r="S404" i="11"/>
  <c r="S407" i="11"/>
  <c r="S280" i="11"/>
  <c r="S312" i="11"/>
  <c r="S353" i="11"/>
  <c r="S369" i="11"/>
  <c r="S265" i="11"/>
  <c r="S400" i="11"/>
  <c r="S256" i="11"/>
  <c r="S307" i="11"/>
  <c r="S332" i="11"/>
  <c r="S348" i="11"/>
  <c r="S380" i="11"/>
  <c r="S268" i="11"/>
  <c r="S271" i="11"/>
  <c r="S296" i="11"/>
  <c r="S343" i="11"/>
  <c r="S359" i="11"/>
  <c r="S375" i="11"/>
  <c r="S403" i="11"/>
  <c r="S263" i="11"/>
  <c r="S310" i="11"/>
  <c r="S338" i="11"/>
  <c r="S354" i="11"/>
  <c r="S373" i="11"/>
  <c r="S395" i="11"/>
  <c r="S245" i="11"/>
  <c r="S329" i="11"/>
  <c r="S405" i="11"/>
  <c r="S185" i="11"/>
  <c r="S183" i="11"/>
  <c r="S258" i="11"/>
  <c r="S292" i="11"/>
  <c r="S311" i="11"/>
  <c r="S371" i="11"/>
  <c r="S283" i="11"/>
  <c r="S333" i="11"/>
  <c r="S349" i="11"/>
  <c r="S365" i="11"/>
  <c r="S381" i="11"/>
  <c r="S384" i="11"/>
  <c r="S415" i="11"/>
  <c r="S420" i="11"/>
  <c r="S331" i="11"/>
  <c r="S337" i="11"/>
  <c r="S361" i="11"/>
  <c r="S423" i="11"/>
  <c r="S316" i="11"/>
  <c r="S389" i="11"/>
  <c r="S377" i="11"/>
  <c r="V10" i="11" a="1"/>
  <c r="V10" i="11" s="1"/>
  <c r="S37" i="11"/>
  <c r="S167" i="11"/>
  <c r="S317" i="11"/>
  <c r="S323" i="11"/>
  <c r="S326" i="11"/>
  <c r="S341" i="11"/>
  <c r="S313" i="11"/>
  <c r="S40" i="11"/>
  <c r="S177" i="11"/>
  <c r="S251" i="11"/>
  <c r="S269" i="11"/>
  <c r="S284" i="11"/>
  <c r="S287" i="11"/>
  <c r="S290" i="11"/>
  <c r="S299" i="11"/>
  <c r="S314" i="11"/>
  <c r="S399" i="11"/>
  <c r="S402" i="11"/>
  <c r="S411" i="11"/>
  <c r="S228" i="11"/>
  <c r="S281" i="11"/>
  <c r="S345" i="11"/>
  <c r="S357" i="11"/>
  <c r="S169" i="11"/>
  <c r="S59" i="11"/>
  <c r="S142" i="11"/>
  <c r="S285" i="11"/>
  <c r="S291" i="11"/>
  <c r="S315" i="11"/>
  <c r="S143" i="11"/>
  <c r="S213" i="11"/>
  <c r="S325" i="11"/>
  <c r="S118" i="11"/>
  <c r="S393" i="11"/>
  <c r="S220" i="11"/>
  <c r="S116" i="11"/>
  <c r="S252" i="11"/>
  <c r="S176" i="11"/>
  <c r="S236" i="11"/>
  <c r="S35" i="11"/>
  <c r="S109" i="11"/>
  <c r="S249" i="11"/>
  <c r="S264" i="11"/>
  <c r="S297" i="11"/>
  <c r="S309" i="11"/>
  <c r="S364" i="11"/>
  <c r="S367" i="11"/>
  <c r="S370" i="11"/>
  <c r="S379" i="11"/>
  <c r="S385" i="11"/>
  <c r="S409" i="11"/>
  <c r="S426" i="11"/>
  <c r="S429" i="11"/>
  <c r="S112" i="11"/>
  <c r="S115" i="11"/>
  <c r="S120" i="11"/>
  <c r="S154" i="11"/>
  <c r="S188" i="11"/>
  <c r="S210" i="11"/>
  <c r="S215" i="11"/>
  <c r="S227" i="11"/>
  <c r="S241" i="11"/>
  <c r="S186" i="11"/>
  <c r="S127" i="11"/>
  <c r="S42" i="11"/>
  <c r="S108" i="11"/>
  <c r="S52" i="11"/>
  <c r="S134" i="11"/>
  <c r="S158" i="11"/>
  <c r="S162" i="11"/>
  <c r="S238" i="11"/>
  <c r="S275" i="11"/>
  <c r="S362" i="11"/>
  <c r="S431" i="11"/>
  <c r="S50" i="11"/>
  <c r="S242" i="11"/>
  <c r="S145" i="11"/>
  <c r="S445" i="11"/>
  <c r="S122" i="11"/>
  <c r="S181" i="11"/>
  <c r="S200" i="11"/>
  <c r="S203" i="11"/>
  <c r="S208" i="11"/>
  <c r="S234" i="11"/>
  <c r="S237" i="11"/>
  <c r="S321" i="11"/>
  <c r="S355" i="11"/>
  <c r="S438" i="11"/>
  <c r="S244" i="11"/>
  <c r="S202" i="11"/>
  <c r="S432" i="11"/>
  <c r="S41" i="11"/>
  <c r="S51" i="11"/>
  <c r="S36" i="11"/>
  <c r="S56" i="11"/>
  <c r="S34" i="11"/>
  <c r="S155" i="11"/>
  <c r="S211" i="11"/>
  <c r="S175" i="11"/>
  <c r="S58" i="11"/>
  <c r="S55" i="11"/>
  <c r="S222" i="11"/>
  <c r="S421" i="11"/>
  <c r="S424" i="11"/>
  <c r="S47" i="11"/>
  <c r="S128" i="11"/>
  <c r="S147" i="11"/>
  <c r="S223" i="11"/>
  <c r="S231" i="11"/>
  <c r="S243" i="11"/>
  <c r="S282" i="11"/>
  <c r="S148" i="11"/>
  <c r="S63" i="11"/>
  <c r="S106" i="11"/>
  <c r="S174" i="11"/>
  <c r="S239" i="11"/>
  <c r="S130" i="11"/>
  <c r="S159" i="11"/>
  <c r="S46" i="11"/>
  <c r="S119" i="11"/>
  <c r="S114" i="11"/>
  <c r="S117" i="11"/>
  <c r="S125" i="11"/>
  <c r="S170" i="11"/>
  <c r="S173" i="11"/>
  <c r="S178" i="11"/>
  <c r="S209" i="11"/>
  <c r="S226" i="11"/>
  <c r="S257" i="11"/>
  <c r="S330" i="11"/>
  <c r="S436" i="11"/>
  <c r="S439" i="11"/>
  <c r="S441" i="11"/>
  <c r="S121" i="11"/>
  <c r="S216" i="11"/>
  <c r="S152" i="11"/>
  <c r="S444" i="11"/>
  <c r="S149" i="11"/>
  <c r="S225" i="11"/>
  <c r="S442" i="11"/>
  <c r="S101" i="11"/>
  <c r="S44" i="11"/>
  <c r="S157" i="11"/>
  <c r="S443" i="11"/>
  <c r="S446" i="11"/>
  <c r="S111" i="11"/>
  <c r="S123" i="11"/>
  <c r="S144" i="11"/>
  <c r="S153" i="11"/>
  <c r="S232" i="11"/>
  <c r="S235" i="11"/>
  <c r="S240" i="11"/>
  <c r="S305" i="11"/>
  <c r="S339" i="11"/>
  <c r="S412" i="11"/>
  <c r="S434" i="11"/>
  <c r="S437" i="11"/>
  <c r="S440" i="11"/>
  <c r="S435" i="11"/>
  <c r="S205" i="11"/>
  <c r="S172" i="11"/>
  <c r="S103" i="11"/>
  <c r="S62" i="11"/>
  <c r="S57" i="11"/>
  <c r="S206" i="11"/>
  <c r="S422" i="11"/>
  <c r="S180" i="11"/>
  <c r="S104" i="11"/>
  <c r="S179" i="11"/>
  <c r="S218" i="11"/>
  <c r="S221" i="11"/>
  <c r="S229" i="11"/>
  <c r="S230" i="11"/>
  <c r="S150" i="11"/>
  <c r="S164" i="11"/>
  <c r="S207" i="11"/>
  <c r="S266" i="11"/>
  <c r="S401" i="11"/>
  <c r="S425" i="11"/>
  <c r="S107" i="11"/>
  <c r="S102" i="11"/>
  <c r="S124" i="11"/>
  <c r="S54" i="11"/>
  <c r="S165" i="11"/>
  <c r="S39" i="11"/>
  <c r="S61" i="11"/>
  <c r="S113" i="11"/>
  <c r="S129" i="11"/>
  <c r="S171" i="11"/>
  <c r="S187" i="11"/>
  <c r="S201" i="11"/>
  <c r="S217" i="11"/>
  <c r="S233" i="11"/>
  <c r="S433" i="11"/>
  <c r="S53" i="11"/>
  <c r="S38" i="11"/>
  <c r="S60" i="11"/>
  <c r="S45" i="11"/>
  <c r="S126" i="11"/>
  <c r="S168" i="11"/>
  <c r="S43" i="11"/>
  <c r="S160" i="11"/>
  <c r="S163" i="11"/>
  <c r="S182" i="11"/>
  <c r="S212" i="11"/>
  <c r="S184" i="11"/>
  <c r="B69" i="8" l="1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A39" i="8"/>
  <c r="A18" i="3"/>
  <c r="A15" i="3"/>
  <c r="A16" i="3"/>
  <c r="A17" i="3"/>
  <c r="B15" i="3"/>
  <c r="Q15" i="3"/>
  <c r="B16" i="3"/>
  <c r="Q16" i="3"/>
  <c r="B17" i="3"/>
  <c r="Q17" i="3"/>
  <c r="A16" i="8" l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N10" i="8"/>
  <c r="O10" i="8"/>
  <c r="P10" i="8"/>
  <c r="N11" i="8"/>
  <c r="O11" i="8"/>
  <c r="P11" i="8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4" i="3"/>
  <c r="B12" i="3"/>
  <c r="B11" i="3"/>
  <c r="B10" i="3"/>
  <c r="B13" i="3"/>
  <c r="N33" i="8"/>
  <c r="O33" i="8"/>
  <c r="P33" i="8"/>
  <c r="N27" i="8"/>
  <c r="N55" i="3"/>
  <c r="O55" i="3"/>
  <c r="P55" i="3"/>
  <c r="Q55" i="3"/>
  <c r="N54" i="3"/>
  <c r="O54" i="3"/>
  <c r="P54" i="3"/>
  <c r="Q54" i="3"/>
  <c r="N53" i="3"/>
  <c r="O53" i="3"/>
  <c r="P53" i="3"/>
  <c r="Q53" i="3"/>
  <c r="N52" i="3"/>
  <c r="O52" i="3"/>
  <c r="P52" i="3"/>
  <c r="Q52" i="3"/>
  <c r="N51" i="3"/>
  <c r="O51" i="3"/>
  <c r="P51" i="3"/>
  <c r="Q51" i="3"/>
  <c r="N40" i="3"/>
  <c r="O40" i="3"/>
  <c r="P40" i="3"/>
  <c r="S391" i="3"/>
  <c r="S390" i="3"/>
  <c r="S389" i="3"/>
  <c r="Q40" i="3"/>
  <c r="N45" i="3"/>
  <c r="O45" i="3"/>
  <c r="P45" i="3"/>
  <c r="Q45" i="3"/>
  <c r="N46" i="3"/>
  <c r="O46" i="3"/>
  <c r="P46" i="3"/>
  <c r="Q46" i="3"/>
  <c r="N47" i="3"/>
  <c r="O47" i="3"/>
  <c r="P47" i="3"/>
  <c r="Q47" i="3"/>
  <c r="N42" i="3"/>
  <c r="O42" i="3"/>
  <c r="P42" i="3"/>
  <c r="Q42" i="3"/>
  <c r="N43" i="3"/>
  <c r="O43" i="3"/>
  <c r="P43" i="3"/>
  <c r="Q43" i="3"/>
  <c r="N44" i="3"/>
  <c r="O44" i="3"/>
  <c r="P44" i="3"/>
  <c r="Q44" i="3"/>
  <c r="Q82" i="3"/>
  <c r="Q83" i="3"/>
  <c r="Q84" i="3"/>
  <c r="Q85" i="3"/>
  <c r="Q87" i="3"/>
  <c r="Q88" i="3"/>
  <c r="Q89" i="3"/>
  <c r="Q90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41" i="3"/>
  <c r="Q34" i="3"/>
  <c r="Q114" i="3"/>
  <c r="Q115" i="3"/>
  <c r="Q116" i="3"/>
  <c r="Q117" i="3"/>
  <c r="Q35" i="3"/>
  <c r="Q119" i="3"/>
  <c r="Q120" i="3"/>
  <c r="Q121" i="3"/>
  <c r="Q122" i="3"/>
  <c r="Q36" i="3"/>
  <c r="Q124" i="3"/>
  <c r="Q125" i="3"/>
  <c r="Q126" i="3"/>
  <c r="Q127" i="3"/>
  <c r="Q37" i="3"/>
  <c r="Q129" i="3"/>
  <c r="Q130" i="3"/>
  <c r="Q131" i="3"/>
  <c r="Q132" i="3"/>
  <c r="Q38" i="3"/>
  <c r="Q134" i="3"/>
  <c r="Q135" i="3"/>
  <c r="Q136" i="3"/>
  <c r="Q137" i="3"/>
  <c r="Q39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58" i="3"/>
  <c r="Q59" i="3"/>
  <c r="Q60" i="3"/>
  <c r="Q61" i="3"/>
  <c r="Q62" i="3"/>
  <c r="Q63" i="3"/>
  <c r="Q168" i="3"/>
  <c r="Q56" i="3"/>
  <c r="Q57" i="3"/>
  <c r="Q50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N204" i="8"/>
  <c r="O204" i="8"/>
  <c r="P204" i="8"/>
  <c r="N203" i="8"/>
  <c r="O203" i="8"/>
  <c r="P203" i="8"/>
  <c r="N202" i="8"/>
  <c r="O202" i="8"/>
  <c r="P202" i="8"/>
  <c r="N201" i="8"/>
  <c r="O201" i="8"/>
  <c r="P201" i="8"/>
  <c r="S10" i="8" l="1"/>
  <c r="S11" i="8"/>
  <c r="N411" i="3"/>
  <c r="N412" i="3"/>
  <c r="N413" i="3"/>
  <c r="N414" i="3"/>
  <c r="N415" i="3"/>
  <c r="N416" i="3"/>
  <c r="N417" i="3"/>
  <c r="N418" i="3"/>
  <c r="O411" i="3"/>
  <c r="O412" i="3"/>
  <c r="O413" i="3"/>
  <c r="O414" i="3"/>
  <c r="O415" i="3"/>
  <c r="O416" i="3"/>
  <c r="O417" i="3"/>
  <c r="O418" i="3"/>
  <c r="P411" i="3"/>
  <c r="P412" i="3"/>
  <c r="P413" i="3"/>
  <c r="P414" i="3"/>
  <c r="P415" i="3"/>
  <c r="P416" i="3"/>
  <c r="P417" i="3"/>
  <c r="P418" i="3"/>
  <c r="N406" i="3"/>
  <c r="N407" i="3"/>
  <c r="N408" i="3"/>
  <c r="N409" i="3"/>
  <c r="N410" i="3"/>
  <c r="O406" i="3"/>
  <c r="O407" i="3"/>
  <c r="O408" i="3"/>
  <c r="O409" i="3"/>
  <c r="O410" i="3"/>
  <c r="P406" i="3"/>
  <c r="P407" i="3"/>
  <c r="P408" i="3"/>
  <c r="P409" i="3"/>
  <c r="P410" i="3"/>
  <c r="N401" i="3"/>
  <c r="N402" i="3"/>
  <c r="O401" i="3"/>
  <c r="O402" i="3"/>
  <c r="P401" i="3"/>
  <c r="P402" i="3"/>
  <c r="N398" i="3"/>
  <c r="N399" i="3"/>
  <c r="N400" i="3"/>
  <c r="O398" i="3"/>
  <c r="O399" i="3"/>
  <c r="O400" i="3"/>
  <c r="P398" i="3"/>
  <c r="P399" i="3"/>
  <c r="P400" i="3"/>
  <c r="N396" i="3"/>
  <c r="N397" i="3"/>
  <c r="O396" i="3"/>
  <c r="O397" i="3"/>
  <c r="P396" i="3"/>
  <c r="P397" i="3"/>
  <c r="N394" i="3"/>
  <c r="N395" i="3"/>
  <c r="O394" i="3"/>
  <c r="O395" i="3"/>
  <c r="P394" i="3"/>
  <c r="P395" i="3"/>
  <c r="N393" i="3"/>
  <c r="O393" i="3"/>
  <c r="P393" i="3"/>
  <c r="N392" i="3"/>
  <c r="O392" i="3"/>
  <c r="P392" i="3"/>
  <c r="N200" i="8"/>
  <c r="O200" i="8"/>
  <c r="P200" i="8"/>
  <c r="N168" i="3"/>
  <c r="O168" i="3"/>
  <c r="P168" i="3"/>
  <c r="S402" i="3" l="1"/>
  <c r="S399" i="3"/>
  <c r="S398" i="3"/>
  <c r="S400" i="3"/>
  <c r="S168" i="3"/>
  <c r="S401" i="3"/>
  <c r="N199" i="8"/>
  <c r="O199" i="8"/>
  <c r="P199" i="8"/>
  <c r="N404" i="3"/>
  <c r="O404" i="3"/>
  <c r="P404" i="3"/>
  <c r="N405" i="3"/>
  <c r="O405" i="3"/>
  <c r="P405" i="3"/>
  <c r="N403" i="3"/>
  <c r="O403" i="3"/>
  <c r="P403" i="3"/>
  <c r="N388" i="3"/>
  <c r="O388" i="3"/>
  <c r="P388" i="3"/>
  <c r="N194" i="8"/>
  <c r="O194" i="8"/>
  <c r="P194" i="8"/>
  <c r="N193" i="8"/>
  <c r="O193" i="8"/>
  <c r="P193" i="8"/>
  <c r="X1" i="8"/>
  <c r="W1" i="8"/>
  <c r="S388" i="3" l="1"/>
  <c r="N111" i="3"/>
  <c r="O111" i="3"/>
  <c r="P111" i="3"/>
  <c r="N105" i="3"/>
  <c r="N106" i="3"/>
  <c r="N107" i="3"/>
  <c r="N108" i="3"/>
  <c r="N109" i="3"/>
  <c r="O105" i="3"/>
  <c r="O106" i="3"/>
  <c r="O107" i="3"/>
  <c r="O108" i="3"/>
  <c r="O109" i="3"/>
  <c r="P105" i="3"/>
  <c r="P106" i="3"/>
  <c r="P107" i="3"/>
  <c r="P108" i="3"/>
  <c r="P109" i="3"/>
  <c r="N14" i="8"/>
  <c r="O14" i="8"/>
  <c r="P14" i="8"/>
  <c r="N104" i="3"/>
  <c r="N110" i="3"/>
  <c r="O104" i="3"/>
  <c r="O110" i="3"/>
  <c r="P104" i="3"/>
  <c r="P110" i="3"/>
  <c r="P97" i="3"/>
  <c r="O97" i="3"/>
  <c r="N97" i="3"/>
  <c r="P96" i="3"/>
  <c r="O96" i="3"/>
  <c r="N96" i="3"/>
  <c r="S14" i="8" l="1"/>
  <c r="V10" i="3" a="1"/>
  <c r="V10" i="3" l="1"/>
  <c r="AC32" i="3"/>
  <c r="AD32" i="3" s="1"/>
  <c r="AC24" i="3"/>
  <c r="AD24" i="3" s="1"/>
  <c r="AC27" i="3"/>
  <c r="AD27" i="3" s="1"/>
  <c r="AC18" i="3"/>
  <c r="AD18" i="3" s="1"/>
  <c r="AC19" i="3"/>
  <c r="AD19" i="3" s="1"/>
  <c r="AC20" i="3"/>
  <c r="AD20" i="3" s="1"/>
  <c r="AC21" i="3"/>
  <c r="AD21" i="3" s="1"/>
  <c r="AC22" i="3"/>
  <c r="AD22" i="3" s="1"/>
  <c r="F62" i="9"/>
  <c r="G62" i="9" s="1"/>
  <c r="F63" i="9"/>
  <c r="G85" i="9" s="1"/>
  <c r="F64" i="9"/>
  <c r="G64" i="9"/>
  <c r="F65" i="9"/>
  <c r="G68" i="9" s="1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A62" i="9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12" i="4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K147" i="4"/>
  <c r="J147" i="4"/>
  <c r="I147" i="4"/>
  <c r="F147" i="4"/>
  <c r="E147" i="4"/>
  <c r="K146" i="4"/>
  <c r="J146" i="4"/>
  <c r="I146" i="4"/>
  <c r="F146" i="4"/>
  <c r="E146" i="4"/>
  <c r="K145" i="4"/>
  <c r="J145" i="4"/>
  <c r="I145" i="4"/>
  <c r="F145" i="4"/>
  <c r="E145" i="4"/>
  <c r="K144" i="4"/>
  <c r="J144" i="4"/>
  <c r="I144" i="4"/>
  <c r="F144" i="4"/>
  <c r="E144" i="4"/>
  <c r="K143" i="4"/>
  <c r="J143" i="4"/>
  <c r="I143" i="4"/>
  <c r="F143" i="4"/>
  <c r="E143" i="4"/>
  <c r="K142" i="4"/>
  <c r="J142" i="4"/>
  <c r="I142" i="4"/>
  <c r="F142" i="4"/>
  <c r="E142" i="4"/>
  <c r="K141" i="4"/>
  <c r="J141" i="4"/>
  <c r="I141" i="4"/>
  <c r="K140" i="4"/>
  <c r="J140" i="4"/>
  <c r="I140" i="4"/>
  <c r="K139" i="4"/>
  <c r="J139" i="4"/>
  <c r="I139" i="4"/>
  <c r="K138" i="4"/>
  <c r="J138" i="4"/>
  <c r="I138" i="4"/>
  <c r="K137" i="4"/>
  <c r="J137" i="4"/>
  <c r="I137" i="4"/>
  <c r="K136" i="4"/>
  <c r="J136" i="4"/>
  <c r="I136" i="4"/>
  <c r="K135" i="4"/>
  <c r="J135" i="4"/>
  <c r="I135" i="4"/>
  <c r="K134" i="4"/>
  <c r="J134" i="4"/>
  <c r="I134" i="4"/>
  <c r="F134" i="4"/>
  <c r="E134" i="4"/>
  <c r="K133" i="4"/>
  <c r="J133" i="4"/>
  <c r="I133" i="4"/>
  <c r="F133" i="4"/>
  <c r="E133" i="4"/>
  <c r="M132" i="4"/>
  <c r="K132" i="4"/>
  <c r="J132" i="4"/>
  <c r="I132" i="4"/>
  <c r="F132" i="4"/>
  <c r="E132" i="4"/>
  <c r="M131" i="4"/>
  <c r="K131" i="4"/>
  <c r="J131" i="4"/>
  <c r="I131" i="4"/>
  <c r="F131" i="4"/>
  <c r="E131" i="4"/>
  <c r="K130" i="4"/>
  <c r="J130" i="4"/>
  <c r="I130" i="4"/>
  <c r="M130" i="4" s="1"/>
  <c r="F130" i="4"/>
  <c r="E130" i="4"/>
  <c r="K129" i="4"/>
  <c r="J129" i="4"/>
  <c r="I129" i="4"/>
  <c r="M129" i="4" s="1"/>
  <c r="F129" i="4"/>
  <c r="E129" i="4"/>
  <c r="K128" i="4"/>
  <c r="J128" i="4"/>
  <c r="I128" i="4"/>
  <c r="M128" i="4" s="1"/>
  <c r="F128" i="4"/>
  <c r="E128" i="4"/>
  <c r="E108" i="4"/>
  <c r="E109" i="4"/>
  <c r="E110" i="4"/>
  <c r="E111" i="4"/>
  <c r="E112" i="4"/>
  <c r="E113" i="4"/>
  <c r="E114" i="4"/>
  <c r="E122" i="4"/>
  <c r="E123" i="4"/>
  <c r="E124" i="4"/>
  <c r="E125" i="4"/>
  <c r="E126" i="4"/>
  <c r="E127" i="4"/>
  <c r="F108" i="4"/>
  <c r="F109" i="4"/>
  <c r="F110" i="4"/>
  <c r="F111" i="4"/>
  <c r="F112" i="4"/>
  <c r="F113" i="4"/>
  <c r="F114" i="4"/>
  <c r="F122" i="4"/>
  <c r="F123" i="4"/>
  <c r="F124" i="4"/>
  <c r="F125" i="4"/>
  <c r="F126" i="4"/>
  <c r="F127" i="4"/>
  <c r="K127" i="4"/>
  <c r="J127" i="4"/>
  <c r="I127" i="4"/>
  <c r="K126" i="4"/>
  <c r="J126" i="4"/>
  <c r="I126" i="4"/>
  <c r="K125" i="4"/>
  <c r="J125" i="4"/>
  <c r="I125" i="4"/>
  <c r="K124" i="4"/>
  <c r="J124" i="4"/>
  <c r="I124" i="4"/>
  <c r="K123" i="4"/>
  <c r="J123" i="4"/>
  <c r="I123" i="4"/>
  <c r="K122" i="4"/>
  <c r="J122" i="4"/>
  <c r="I122" i="4"/>
  <c r="K121" i="4"/>
  <c r="J121" i="4"/>
  <c r="I121" i="4"/>
  <c r="K120" i="4"/>
  <c r="J120" i="4"/>
  <c r="I120" i="4"/>
  <c r="K119" i="4"/>
  <c r="J119" i="4"/>
  <c r="I119" i="4"/>
  <c r="K118" i="4"/>
  <c r="J118" i="4"/>
  <c r="I118" i="4"/>
  <c r="K117" i="4"/>
  <c r="J117" i="4"/>
  <c r="I117" i="4"/>
  <c r="K116" i="4"/>
  <c r="J116" i="4"/>
  <c r="I116" i="4"/>
  <c r="K115" i="4"/>
  <c r="J115" i="4"/>
  <c r="I115" i="4"/>
  <c r="K114" i="4"/>
  <c r="J114" i="4"/>
  <c r="I114" i="4"/>
  <c r="K113" i="4"/>
  <c r="J113" i="4"/>
  <c r="I113" i="4"/>
  <c r="K112" i="4"/>
  <c r="J112" i="4"/>
  <c r="I112" i="4"/>
  <c r="M112" i="4" s="1"/>
  <c r="K111" i="4"/>
  <c r="J111" i="4"/>
  <c r="I111" i="4"/>
  <c r="M111" i="4" s="1"/>
  <c r="M110" i="4"/>
  <c r="K110" i="4"/>
  <c r="J110" i="4"/>
  <c r="I110" i="4"/>
  <c r="K109" i="4"/>
  <c r="J109" i="4"/>
  <c r="I109" i="4"/>
  <c r="M109" i="4" s="1"/>
  <c r="K108" i="4"/>
  <c r="J108" i="4"/>
  <c r="I108" i="4"/>
  <c r="N13" i="8"/>
  <c r="O13" i="8"/>
  <c r="P13" i="8"/>
  <c r="N21" i="8"/>
  <c r="O21" i="8"/>
  <c r="P21" i="8"/>
  <c r="N22" i="8"/>
  <c r="O22" i="8"/>
  <c r="P22" i="8"/>
  <c r="N23" i="8"/>
  <c r="O23" i="8"/>
  <c r="P23" i="8"/>
  <c r="N24" i="8"/>
  <c r="O24" i="8"/>
  <c r="P24" i="8"/>
  <c r="N25" i="8"/>
  <c r="O25" i="8"/>
  <c r="P25" i="8"/>
  <c r="N26" i="8"/>
  <c r="O26" i="8"/>
  <c r="P26" i="8"/>
  <c r="O27" i="8"/>
  <c r="P27" i="8"/>
  <c r="N28" i="8"/>
  <c r="O28" i="8"/>
  <c r="P28" i="8"/>
  <c r="N31" i="8"/>
  <c r="O31" i="8"/>
  <c r="P31" i="8"/>
  <c r="N29" i="8"/>
  <c r="O29" i="8"/>
  <c r="P29" i="8"/>
  <c r="N32" i="8"/>
  <c r="O32" i="8"/>
  <c r="P32" i="8"/>
  <c r="N30" i="8"/>
  <c r="O30" i="8"/>
  <c r="P30" i="8"/>
  <c r="N15" i="8"/>
  <c r="O15" i="8"/>
  <c r="P15" i="8"/>
  <c r="N16" i="8"/>
  <c r="O16" i="8"/>
  <c r="P16" i="8"/>
  <c r="N34" i="8"/>
  <c r="O34" i="8"/>
  <c r="P34" i="8"/>
  <c r="N35" i="8"/>
  <c r="O35" i="8"/>
  <c r="P35" i="8"/>
  <c r="N41" i="8"/>
  <c r="O41" i="8"/>
  <c r="P41" i="8"/>
  <c r="N42" i="8"/>
  <c r="O42" i="8"/>
  <c r="P42" i="8"/>
  <c r="N43" i="8"/>
  <c r="O43" i="8"/>
  <c r="P43" i="8"/>
  <c r="N44" i="8"/>
  <c r="O44" i="8"/>
  <c r="P44" i="8"/>
  <c r="N40" i="8"/>
  <c r="O40" i="8"/>
  <c r="P40" i="8"/>
  <c r="N45" i="8"/>
  <c r="O45" i="8"/>
  <c r="P45" i="8"/>
  <c r="N46" i="8"/>
  <c r="O46" i="8"/>
  <c r="P46" i="8"/>
  <c r="N47" i="8"/>
  <c r="O47" i="8"/>
  <c r="P47" i="8"/>
  <c r="N52" i="8"/>
  <c r="O52" i="8"/>
  <c r="P52" i="8"/>
  <c r="N50" i="8"/>
  <c r="O50" i="8"/>
  <c r="P50" i="8"/>
  <c r="N48" i="8"/>
  <c r="O48" i="8"/>
  <c r="P48" i="8"/>
  <c r="N51" i="8"/>
  <c r="O51" i="8"/>
  <c r="P51" i="8"/>
  <c r="N49" i="8"/>
  <c r="O49" i="8"/>
  <c r="P49" i="8"/>
  <c r="N17" i="8"/>
  <c r="O17" i="8"/>
  <c r="P17" i="8"/>
  <c r="N18" i="8"/>
  <c r="O18" i="8"/>
  <c r="P18" i="8"/>
  <c r="N53" i="8"/>
  <c r="O53" i="8"/>
  <c r="P53" i="8"/>
  <c r="N57" i="8"/>
  <c r="O57" i="8"/>
  <c r="P57" i="8"/>
  <c r="N59" i="8"/>
  <c r="O59" i="8"/>
  <c r="P59" i="8"/>
  <c r="N60" i="8"/>
  <c r="O60" i="8"/>
  <c r="P60" i="8"/>
  <c r="N61" i="8"/>
  <c r="O61" i="8"/>
  <c r="P61" i="8"/>
  <c r="N62" i="8"/>
  <c r="O62" i="8"/>
  <c r="P62" i="8"/>
  <c r="N58" i="8"/>
  <c r="O58" i="8"/>
  <c r="P58" i="8"/>
  <c r="N63" i="8"/>
  <c r="O63" i="8"/>
  <c r="P63" i="8"/>
  <c r="N64" i="8"/>
  <c r="O64" i="8"/>
  <c r="P64" i="8"/>
  <c r="N65" i="8"/>
  <c r="O65" i="8"/>
  <c r="P65" i="8"/>
  <c r="N70" i="8"/>
  <c r="O70" i="8"/>
  <c r="P70" i="8"/>
  <c r="N68" i="8"/>
  <c r="O68" i="8"/>
  <c r="P68" i="8"/>
  <c r="N66" i="8"/>
  <c r="O66" i="8"/>
  <c r="P66" i="8"/>
  <c r="N69" i="8"/>
  <c r="O69" i="8"/>
  <c r="P69" i="8"/>
  <c r="N67" i="8"/>
  <c r="O67" i="8"/>
  <c r="P67" i="8"/>
  <c r="N19" i="8"/>
  <c r="O19" i="8"/>
  <c r="P19" i="8"/>
  <c r="N20" i="8"/>
  <c r="O20" i="8"/>
  <c r="P20" i="8"/>
  <c r="N71" i="8"/>
  <c r="O71" i="8"/>
  <c r="P71" i="8"/>
  <c r="N93" i="8"/>
  <c r="O93" i="8"/>
  <c r="P93" i="8"/>
  <c r="N94" i="8"/>
  <c r="O94" i="8"/>
  <c r="P94" i="8"/>
  <c r="N95" i="8"/>
  <c r="O95" i="8"/>
  <c r="P95" i="8"/>
  <c r="N96" i="8"/>
  <c r="O96" i="8"/>
  <c r="P96" i="8"/>
  <c r="N97" i="8"/>
  <c r="O97" i="8"/>
  <c r="P97" i="8"/>
  <c r="N98" i="8"/>
  <c r="O98" i="8"/>
  <c r="P98" i="8"/>
  <c r="N99" i="8"/>
  <c r="O99" i="8"/>
  <c r="P99" i="8"/>
  <c r="N100" i="8"/>
  <c r="O100" i="8"/>
  <c r="P100" i="8"/>
  <c r="N101" i="8"/>
  <c r="O101" i="8"/>
  <c r="P101" i="8"/>
  <c r="N102" i="8"/>
  <c r="O102" i="8"/>
  <c r="P102" i="8"/>
  <c r="N103" i="8"/>
  <c r="O103" i="8"/>
  <c r="P103" i="8"/>
  <c r="N104" i="8"/>
  <c r="O104" i="8"/>
  <c r="P104" i="8"/>
  <c r="N105" i="8"/>
  <c r="O105" i="8"/>
  <c r="P105" i="8"/>
  <c r="N106" i="8"/>
  <c r="O106" i="8"/>
  <c r="P106" i="8"/>
  <c r="N107" i="8"/>
  <c r="O107" i="8"/>
  <c r="P107" i="8"/>
  <c r="N108" i="8"/>
  <c r="O108" i="8"/>
  <c r="P108" i="8"/>
  <c r="N109" i="8"/>
  <c r="O109" i="8"/>
  <c r="P109" i="8"/>
  <c r="N110" i="8"/>
  <c r="O110" i="8"/>
  <c r="P110" i="8"/>
  <c r="N111" i="8"/>
  <c r="O111" i="8"/>
  <c r="P111" i="8"/>
  <c r="N112" i="8"/>
  <c r="O112" i="8"/>
  <c r="P112" i="8"/>
  <c r="N113" i="8"/>
  <c r="O113" i="8"/>
  <c r="P113" i="8"/>
  <c r="N114" i="8"/>
  <c r="O114" i="8"/>
  <c r="P114" i="8"/>
  <c r="N115" i="8"/>
  <c r="O115" i="8"/>
  <c r="P115" i="8"/>
  <c r="N116" i="8"/>
  <c r="O116" i="8"/>
  <c r="P116" i="8"/>
  <c r="N117" i="8"/>
  <c r="O117" i="8"/>
  <c r="P117" i="8"/>
  <c r="N118" i="8"/>
  <c r="O118" i="8"/>
  <c r="P118" i="8"/>
  <c r="N119" i="8"/>
  <c r="O119" i="8"/>
  <c r="P119" i="8"/>
  <c r="N120" i="8"/>
  <c r="O120" i="8"/>
  <c r="P120" i="8"/>
  <c r="N121" i="8"/>
  <c r="O121" i="8"/>
  <c r="P121" i="8"/>
  <c r="N122" i="8"/>
  <c r="O122" i="8"/>
  <c r="P122" i="8"/>
  <c r="N123" i="8"/>
  <c r="O123" i="8"/>
  <c r="P123" i="8"/>
  <c r="N124" i="8"/>
  <c r="O124" i="8"/>
  <c r="P124" i="8"/>
  <c r="N125" i="8"/>
  <c r="O125" i="8"/>
  <c r="P125" i="8"/>
  <c r="N126" i="8"/>
  <c r="O126" i="8"/>
  <c r="P126" i="8"/>
  <c r="N127" i="8"/>
  <c r="O127" i="8"/>
  <c r="P127" i="8"/>
  <c r="N128" i="8"/>
  <c r="O128" i="8"/>
  <c r="P128" i="8"/>
  <c r="N129" i="8"/>
  <c r="O129" i="8"/>
  <c r="P129" i="8"/>
  <c r="N130" i="8"/>
  <c r="O130" i="8"/>
  <c r="P130" i="8"/>
  <c r="N131" i="8"/>
  <c r="O131" i="8"/>
  <c r="P131" i="8"/>
  <c r="N132" i="8"/>
  <c r="O132" i="8"/>
  <c r="P132" i="8"/>
  <c r="N133" i="8"/>
  <c r="O133" i="8"/>
  <c r="P133" i="8"/>
  <c r="N134" i="8"/>
  <c r="O134" i="8"/>
  <c r="P134" i="8"/>
  <c r="N135" i="8"/>
  <c r="O135" i="8"/>
  <c r="P135" i="8"/>
  <c r="N136" i="8"/>
  <c r="O136" i="8"/>
  <c r="P136" i="8"/>
  <c r="N137" i="8"/>
  <c r="O137" i="8"/>
  <c r="P137" i="8"/>
  <c r="N138" i="8"/>
  <c r="O138" i="8"/>
  <c r="P138" i="8"/>
  <c r="N139" i="8"/>
  <c r="O139" i="8"/>
  <c r="P139" i="8"/>
  <c r="N140" i="8"/>
  <c r="O140" i="8"/>
  <c r="P140" i="8"/>
  <c r="N141" i="8"/>
  <c r="O141" i="8"/>
  <c r="P141" i="8"/>
  <c r="N142" i="8"/>
  <c r="O142" i="8"/>
  <c r="P142" i="8"/>
  <c r="N143" i="8"/>
  <c r="O143" i="8"/>
  <c r="P143" i="8"/>
  <c r="N144" i="8"/>
  <c r="O144" i="8"/>
  <c r="P144" i="8"/>
  <c r="N145" i="8"/>
  <c r="O145" i="8"/>
  <c r="P145" i="8"/>
  <c r="N146" i="8"/>
  <c r="O146" i="8"/>
  <c r="P146" i="8"/>
  <c r="N147" i="8"/>
  <c r="O147" i="8"/>
  <c r="P147" i="8"/>
  <c r="N148" i="8"/>
  <c r="O148" i="8"/>
  <c r="P148" i="8"/>
  <c r="N149" i="8"/>
  <c r="O149" i="8"/>
  <c r="P149" i="8"/>
  <c r="N150" i="8"/>
  <c r="O150" i="8"/>
  <c r="P150" i="8"/>
  <c r="N151" i="8"/>
  <c r="O151" i="8"/>
  <c r="P151" i="8"/>
  <c r="N152" i="8"/>
  <c r="O152" i="8"/>
  <c r="P152" i="8"/>
  <c r="N153" i="8"/>
  <c r="O153" i="8"/>
  <c r="P153" i="8"/>
  <c r="N154" i="8"/>
  <c r="O154" i="8"/>
  <c r="P154" i="8"/>
  <c r="N155" i="8"/>
  <c r="O155" i="8"/>
  <c r="P155" i="8"/>
  <c r="N156" i="8"/>
  <c r="O156" i="8"/>
  <c r="P156" i="8"/>
  <c r="N157" i="8"/>
  <c r="O157" i="8"/>
  <c r="P157" i="8"/>
  <c r="N158" i="8"/>
  <c r="O158" i="8"/>
  <c r="P158" i="8"/>
  <c r="N159" i="8"/>
  <c r="O159" i="8"/>
  <c r="P159" i="8"/>
  <c r="N160" i="8"/>
  <c r="O160" i="8"/>
  <c r="P160" i="8"/>
  <c r="N161" i="8"/>
  <c r="O161" i="8"/>
  <c r="P161" i="8"/>
  <c r="N162" i="8"/>
  <c r="O162" i="8"/>
  <c r="P162" i="8"/>
  <c r="N163" i="8"/>
  <c r="O163" i="8"/>
  <c r="P163" i="8"/>
  <c r="N164" i="8"/>
  <c r="O164" i="8"/>
  <c r="P164" i="8"/>
  <c r="N165" i="8"/>
  <c r="O165" i="8"/>
  <c r="P165" i="8"/>
  <c r="N166" i="8"/>
  <c r="O166" i="8"/>
  <c r="P166" i="8"/>
  <c r="N167" i="8"/>
  <c r="O167" i="8"/>
  <c r="P167" i="8"/>
  <c r="N168" i="8"/>
  <c r="O168" i="8"/>
  <c r="P168" i="8"/>
  <c r="N169" i="8"/>
  <c r="O169" i="8"/>
  <c r="P169" i="8"/>
  <c r="N170" i="8"/>
  <c r="O170" i="8"/>
  <c r="P170" i="8"/>
  <c r="N171" i="8"/>
  <c r="O171" i="8"/>
  <c r="P171" i="8"/>
  <c r="N172" i="8"/>
  <c r="O172" i="8"/>
  <c r="P172" i="8"/>
  <c r="N173" i="8"/>
  <c r="O173" i="8"/>
  <c r="P173" i="8"/>
  <c r="N174" i="8"/>
  <c r="O174" i="8"/>
  <c r="P174" i="8"/>
  <c r="N175" i="8"/>
  <c r="O175" i="8"/>
  <c r="P175" i="8"/>
  <c r="N176" i="8"/>
  <c r="O176" i="8"/>
  <c r="P176" i="8"/>
  <c r="N177" i="8"/>
  <c r="O177" i="8"/>
  <c r="P177" i="8"/>
  <c r="N178" i="8"/>
  <c r="O178" i="8"/>
  <c r="P178" i="8"/>
  <c r="N179" i="8"/>
  <c r="O179" i="8"/>
  <c r="P179" i="8"/>
  <c r="N180" i="8"/>
  <c r="O180" i="8"/>
  <c r="P180" i="8"/>
  <c r="N181" i="8"/>
  <c r="O181" i="8"/>
  <c r="P181" i="8"/>
  <c r="N182" i="8"/>
  <c r="O182" i="8"/>
  <c r="P182" i="8"/>
  <c r="N183" i="8"/>
  <c r="O183" i="8"/>
  <c r="P183" i="8"/>
  <c r="N184" i="8"/>
  <c r="O184" i="8"/>
  <c r="P184" i="8"/>
  <c r="N185" i="8"/>
  <c r="O185" i="8"/>
  <c r="P185" i="8"/>
  <c r="N186" i="8"/>
  <c r="O186" i="8"/>
  <c r="P186" i="8"/>
  <c r="N187" i="8"/>
  <c r="O187" i="8"/>
  <c r="P187" i="8"/>
  <c r="N188" i="8"/>
  <c r="O188" i="8"/>
  <c r="P188" i="8"/>
  <c r="N189" i="8"/>
  <c r="O189" i="8"/>
  <c r="P189" i="8"/>
  <c r="N190" i="8"/>
  <c r="O190" i="8"/>
  <c r="P190" i="8"/>
  <c r="N191" i="8"/>
  <c r="O191" i="8"/>
  <c r="P191" i="8"/>
  <c r="N192" i="8"/>
  <c r="O192" i="8"/>
  <c r="P192" i="8"/>
  <c r="P387" i="3"/>
  <c r="O387" i="3"/>
  <c r="N387" i="3"/>
  <c r="P386" i="3"/>
  <c r="O386" i="3"/>
  <c r="N386" i="3"/>
  <c r="P385" i="3"/>
  <c r="O385" i="3"/>
  <c r="N385" i="3"/>
  <c r="P384" i="3"/>
  <c r="O384" i="3"/>
  <c r="N384" i="3"/>
  <c r="P383" i="3"/>
  <c r="O383" i="3"/>
  <c r="N383" i="3"/>
  <c r="P382" i="3"/>
  <c r="O382" i="3"/>
  <c r="N382" i="3"/>
  <c r="P381" i="3"/>
  <c r="O381" i="3"/>
  <c r="N381" i="3"/>
  <c r="P380" i="3"/>
  <c r="O380" i="3"/>
  <c r="N380" i="3"/>
  <c r="P379" i="3"/>
  <c r="O379" i="3"/>
  <c r="N379" i="3"/>
  <c r="P378" i="3"/>
  <c r="O378" i="3"/>
  <c r="N378" i="3"/>
  <c r="P377" i="3"/>
  <c r="O377" i="3"/>
  <c r="N377" i="3"/>
  <c r="P376" i="3"/>
  <c r="O376" i="3"/>
  <c r="N376" i="3"/>
  <c r="P375" i="3"/>
  <c r="O375" i="3"/>
  <c r="N375" i="3"/>
  <c r="P374" i="3"/>
  <c r="O374" i="3"/>
  <c r="N374" i="3"/>
  <c r="P373" i="3"/>
  <c r="O373" i="3"/>
  <c r="N373" i="3"/>
  <c r="P372" i="3"/>
  <c r="O372" i="3"/>
  <c r="N372" i="3"/>
  <c r="P371" i="3"/>
  <c r="O371" i="3"/>
  <c r="N371" i="3"/>
  <c r="P370" i="3"/>
  <c r="O370" i="3"/>
  <c r="N370" i="3"/>
  <c r="P369" i="3"/>
  <c r="O369" i="3"/>
  <c r="N369" i="3"/>
  <c r="P368" i="3"/>
  <c r="O368" i="3"/>
  <c r="N368" i="3"/>
  <c r="P367" i="3"/>
  <c r="O367" i="3"/>
  <c r="N367" i="3"/>
  <c r="P366" i="3"/>
  <c r="O366" i="3"/>
  <c r="N366" i="3"/>
  <c r="P365" i="3"/>
  <c r="O365" i="3"/>
  <c r="N365" i="3"/>
  <c r="P364" i="3"/>
  <c r="O364" i="3"/>
  <c r="N364" i="3"/>
  <c r="P363" i="3"/>
  <c r="O363" i="3"/>
  <c r="N363" i="3"/>
  <c r="P362" i="3"/>
  <c r="O362" i="3"/>
  <c r="N362" i="3"/>
  <c r="P361" i="3"/>
  <c r="O361" i="3"/>
  <c r="N361" i="3"/>
  <c r="P360" i="3"/>
  <c r="O360" i="3"/>
  <c r="N360" i="3"/>
  <c r="P359" i="3"/>
  <c r="O359" i="3"/>
  <c r="N359" i="3"/>
  <c r="P358" i="3"/>
  <c r="O358" i="3"/>
  <c r="N358" i="3"/>
  <c r="P357" i="3"/>
  <c r="O357" i="3"/>
  <c r="N357" i="3"/>
  <c r="P356" i="3"/>
  <c r="O356" i="3"/>
  <c r="N356" i="3"/>
  <c r="P355" i="3"/>
  <c r="O355" i="3"/>
  <c r="N355" i="3"/>
  <c r="P354" i="3"/>
  <c r="O354" i="3"/>
  <c r="N354" i="3"/>
  <c r="P353" i="3"/>
  <c r="O353" i="3"/>
  <c r="N353" i="3"/>
  <c r="P352" i="3"/>
  <c r="O352" i="3"/>
  <c r="N352" i="3"/>
  <c r="P351" i="3"/>
  <c r="O351" i="3"/>
  <c r="N351" i="3"/>
  <c r="P350" i="3"/>
  <c r="O350" i="3"/>
  <c r="N350" i="3"/>
  <c r="P349" i="3"/>
  <c r="O349" i="3"/>
  <c r="N349" i="3"/>
  <c r="P348" i="3"/>
  <c r="O348" i="3"/>
  <c r="N348" i="3"/>
  <c r="P347" i="3"/>
  <c r="O347" i="3"/>
  <c r="N347" i="3"/>
  <c r="P346" i="3"/>
  <c r="O346" i="3"/>
  <c r="N346" i="3"/>
  <c r="P345" i="3"/>
  <c r="O345" i="3"/>
  <c r="N345" i="3"/>
  <c r="P344" i="3"/>
  <c r="O344" i="3"/>
  <c r="N344" i="3"/>
  <c r="P343" i="3"/>
  <c r="O343" i="3"/>
  <c r="N343" i="3"/>
  <c r="P342" i="3"/>
  <c r="O342" i="3"/>
  <c r="N342" i="3"/>
  <c r="P341" i="3"/>
  <c r="O341" i="3"/>
  <c r="N341" i="3"/>
  <c r="P340" i="3"/>
  <c r="O340" i="3"/>
  <c r="N340" i="3"/>
  <c r="P339" i="3"/>
  <c r="O339" i="3"/>
  <c r="N339" i="3"/>
  <c r="P338" i="3"/>
  <c r="O338" i="3"/>
  <c r="N338" i="3"/>
  <c r="P337" i="3"/>
  <c r="O337" i="3"/>
  <c r="N337" i="3"/>
  <c r="P336" i="3"/>
  <c r="O336" i="3"/>
  <c r="N336" i="3"/>
  <c r="P335" i="3"/>
  <c r="O335" i="3"/>
  <c r="N335" i="3"/>
  <c r="P334" i="3"/>
  <c r="O334" i="3"/>
  <c r="N334" i="3"/>
  <c r="P333" i="3"/>
  <c r="O333" i="3"/>
  <c r="N333" i="3"/>
  <c r="P332" i="3"/>
  <c r="O332" i="3"/>
  <c r="N332" i="3"/>
  <c r="P331" i="3"/>
  <c r="O331" i="3"/>
  <c r="N331" i="3"/>
  <c r="P330" i="3"/>
  <c r="O330" i="3"/>
  <c r="N330" i="3"/>
  <c r="P329" i="3"/>
  <c r="O329" i="3"/>
  <c r="N329" i="3"/>
  <c r="P328" i="3"/>
  <c r="O328" i="3"/>
  <c r="N328" i="3"/>
  <c r="P327" i="3"/>
  <c r="O327" i="3"/>
  <c r="N327" i="3"/>
  <c r="P326" i="3"/>
  <c r="O326" i="3"/>
  <c r="N326" i="3"/>
  <c r="P325" i="3"/>
  <c r="O325" i="3"/>
  <c r="N325" i="3"/>
  <c r="P324" i="3"/>
  <c r="O324" i="3"/>
  <c r="N324" i="3"/>
  <c r="P323" i="3"/>
  <c r="O323" i="3"/>
  <c r="N323" i="3"/>
  <c r="P322" i="3"/>
  <c r="O322" i="3"/>
  <c r="N322" i="3"/>
  <c r="P321" i="3"/>
  <c r="O321" i="3"/>
  <c r="N321" i="3"/>
  <c r="P320" i="3"/>
  <c r="O320" i="3"/>
  <c r="N320" i="3"/>
  <c r="P319" i="3"/>
  <c r="O319" i="3"/>
  <c r="N319" i="3"/>
  <c r="P318" i="3"/>
  <c r="O318" i="3"/>
  <c r="N318" i="3"/>
  <c r="P317" i="3"/>
  <c r="O317" i="3"/>
  <c r="N317" i="3"/>
  <c r="P316" i="3"/>
  <c r="O316" i="3"/>
  <c r="N316" i="3"/>
  <c r="P315" i="3"/>
  <c r="O315" i="3"/>
  <c r="N315" i="3"/>
  <c r="P314" i="3"/>
  <c r="O314" i="3"/>
  <c r="N314" i="3"/>
  <c r="P313" i="3"/>
  <c r="O313" i="3"/>
  <c r="N313" i="3"/>
  <c r="P312" i="3"/>
  <c r="O312" i="3"/>
  <c r="N312" i="3"/>
  <c r="P311" i="3"/>
  <c r="O311" i="3"/>
  <c r="N311" i="3"/>
  <c r="P310" i="3"/>
  <c r="O310" i="3"/>
  <c r="N310" i="3"/>
  <c r="P309" i="3"/>
  <c r="O309" i="3"/>
  <c r="N309" i="3"/>
  <c r="P308" i="3"/>
  <c r="O308" i="3"/>
  <c r="N308" i="3"/>
  <c r="P307" i="3"/>
  <c r="O307" i="3"/>
  <c r="N307" i="3"/>
  <c r="P306" i="3"/>
  <c r="O306" i="3"/>
  <c r="N306" i="3"/>
  <c r="P305" i="3"/>
  <c r="O305" i="3"/>
  <c r="N305" i="3"/>
  <c r="P304" i="3"/>
  <c r="O304" i="3"/>
  <c r="N304" i="3"/>
  <c r="P303" i="3"/>
  <c r="O303" i="3"/>
  <c r="N303" i="3"/>
  <c r="P302" i="3"/>
  <c r="O302" i="3"/>
  <c r="N302" i="3"/>
  <c r="P301" i="3"/>
  <c r="O301" i="3"/>
  <c r="N301" i="3"/>
  <c r="P300" i="3"/>
  <c r="O300" i="3"/>
  <c r="N300" i="3"/>
  <c r="P299" i="3"/>
  <c r="O299" i="3"/>
  <c r="N299" i="3"/>
  <c r="P298" i="3"/>
  <c r="O298" i="3"/>
  <c r="N298" i="3"/>
  <c r="P297" i="3"/>
  <c r="O297" i="3"/>
  <c r="N297" i="3"/>
  <c r="P296" i="3"/>
  <c r="O296" i="3"/>
  <c r="N296" i="3"/>
  <c r="P295" i="3"/>
  <c r="O295" i="3"/>
  <c r="N295" i="3"/>
  <c r="P294" i="3"/>
  <c r="O294" i="3"/>
  <c r="N294" i="3"/>
  <c r="P293" i="3"/>
  <c r="O293" i="3"/>
  <c r="N293" i="3"/>
  <c r="P292" i="3"/>
  <c r="O292" i="3"/>
  <c r="N292" i="3"/>
  <c r="P291" i="3"/>
  <c r="O291" i="3"/>
  <c r="N291" i="3"/>
  <c r="P290" i="3"/>
  <c r="O290" i="3"/>
  <c r="N290" i="3"/>
  <c r="P289" i="3"/>
  <c r="O289" i="3"/>
  <c r="N289" i="3"/>
  <c r="P288" i="3"/>
  <c r="O288" i="3"/>
  <c r="N288" i="3"/>
  <c r="P287" i="3"/>
  <c r="O287" i="3"/>
  <c r="N287" i="3"/>
  <c r="P286" i="3"/>
  <c r="O286" i="3"/>
  <c r="N286" i="3"/>
  <c r="P285" i="3"/>
  <c r="O285" i="3"/>
  <c r="N285" i="3"/>
  <c r="P284" i="3"/>
  <c r="O284" i="3"/>
  <c r="N284" i="3"/>
  <c r="P283" i="3"/>
  <c r="O283" i="3"/>
  <c r="N283" i="3"/>
  <c r="P282" i="3"/>
  <c r="O282" i="3"/>
  <c r="N282" i="3"/>
  <c r="P281" i="3"/>
  <c r="O281" i="3"/>
  <c r="N281" i="3"/>
  <c r="P280" i="3"/>
  <c r="O280" i="3"/>
  <c r="N280" i="3"/>
  <c r="P279" i="3"/>
  <c r="O279" i="3"/>
  <c r="N279" i="3"/>
  <c r="P278" i="3"/>
  <c r="O278" i="3"/>
  <c r="N278" i="3"/>
  <c r="P277" i="3"/>
  <c r="O277" i="3"/>
  <c r="N277" i="3"/>
  <c r="P276" i="3"/>
  <c r="O276" i="3"/>
  <c r="N276" i="3"/>
  <c r="P275" i="3"/>
  <c r="O275" i="3"/>
  <c r="N275" i="3"/>
  <c r="P274" i="3"/>
  <c r="O274" i="3"/>
  <c r="N274" i="3"/>
  <c r="P273" i="3"/>
  <c r="O273" i="3"/>
  <c r="N273" i="3"/>
  <c r="P272" i="3"/>
  <c r="O272" i="3"/>
  <c r="N272" i="3"/>
  <c r="P271" i="3"/>
  <c r="O271" i="3"/>
  <c r="N271" i="3"/>
  <c r="P270" i="3"/>
  <c r="O270" i="3"/>
  <c r="N270" i="3"/>
  <c r="P269" i="3"/>
  <c r="O269" i="3"/>
  <c r="N269" i="3"/>
  <c r="P268" i="3"/>
  <c r="O268" i="3"/>
  <c r="N268" i="3"/>
  <c r="A12" i="10"/>
  <c r="U14" i="10"/>
  <c r="A2" i="10"/>
  <c r="S22" i="10"/>
  <c r="S192" i="8" l="1"/>
  <c r="S287" i="3"/>
  <c r="S383" i="3"/>
  <c r="S303" i="3"/>
  <c r="S319" i="3"/>
  <c r="S351" i="3"/>
  <c r="S271" i="3"/>
  <c r="S367" i="3"/>
  <c r="S335" i="3"/>
  <c r="S272" i="3"/>
  <c r="S304" i="3"/>
  <c r="S281" i="3"/>
  <c r="S288" i="3"/>
  <c r="S320" i="3"/>
  <c r="S384" i="3"/>
  <c r="S274" i="3"/>
  <c r="S290" i="3"/>
  <c r="S306" i="3"/>
  <c r="S322" i="3"/>
  <c r="S338" i="3"/>
  <c r="S354" i="3"/>
  <c r="S370" i="3"/>
  <c r="S386" i="3"/>
  <c r="S282" i="3"/>
  <c r="S298" i="3"/>
  <c r="S314" i="3"/>
  <c r="S330" i="3"/>
  <c r="S346" i="3"/>
  <c r="S362" i="3"/>
  <c r="S378" i="3"/>
  <c r="S270" i="3"/>
  <c r="S286" i="3"/>
  <c r="S302" i="3"/>
  <c r="S318" i="3"/>
  <c r="S334" i="3"/>
  <c r="S350" i="3"/>
  <c r="S366" i="3"/>
  <c r="S382" i="3"/>
  <c r="S297" i="3"/>
  <c r="S313" i="3"/>
  <c r="S329" i="3"/>
  <c r="S345" i="3"/>
  <c r="S361" i="3"/>
  <c r="S377" i="3"/>
  <c r="S336" i="3"/>
  <c r="S352" i="3"/>
  <c r="S368" i="3"/>
  <c r="S283" i="3"/>
  <c r="S299" i="3"/>
  <c r="S315" i="3"/>
  <c r="S331" i="3"/>
  <c r="S347" i="3"/>
  <c r="S363" i="3"/>
  <c r="S379" i="3"/>
  <c r="S273" i="3"/>
  <c r="S289" i="3"/>
  <c r="S305" i="3"/>
  <c r="S321" i="3"/>
  <c r="S337" i="3"/>
  <c r="S353" i="3"/>
  <c r="S369" i="3"/>
  <c r="S385" i="3"/>
  <c r="S268" i="3"/>
  <c r="S284" i="3"/>
  <c r="S300" i="3"/>
  <c r="S316" i="3"/>
  <c r="S332" i="3"/>
  <c r="S348" i="3"/>
  <c r="S364" i="3"/>
  <c r="S380" i="3"/>
  <c r="S279" i="3"/>
  <c r="S295" i="3"/>
  <c r="S311" i="3"/>
  <c r="S327" i="3"/>
  <c r="S343" i="3"/>
  <c r="S359" i="3"/>
  <c r="S375" i="3"/>
  <c r="S278" i="3"/>
  <c r="S294" i="3"/>
  <c r="S310" i="3"/>
  <c r="S326" i="3"/>
  <c r="S342" i="3"/>
  <c r="S358" i="3"/>
  <c r="S374" i="3"/>
  <c r="S280" i="3"/>
  <c r="S296" i="3"/>
  <c r="S312" i="3"/>
  <c r="S328" i="3"/>
  <c r="S344" i="3"/>
  <c r="S360" i="3"/>
  <c r="S376" i="3"/>
  <c r="S276" i="3"/>
  <c r="S292" i="3"/>
  <c r="S308" i="3"/>
  <c r="S324" i="3"/>
  <c r="S340" i="3"/>
  <c r="S356" i="3"/>
  <c r="S372" i="3"/>
  <c r="S277" i="3"/>
  <c r="S293" i="3"/>
  <c r="S309" i="3"/>
  <c r="S325" i="3"/>
  <c r="S341" i="3"/>
  <c r="S357" i="3"/>
  <c r="S373" i="3"/>
  <c r="S269" i="3"/>
  <c r="S285" i="3"/>
  <c r="S301" i="3"/>
  <c r="S317" i="3"/>
  <c r="S333" i="3"/>
  <c r="S349" i="3"/>
  <c r="S365" i="3"/>
  <c r="S381" i="3"/>
  <c r="S275" i="3"/>
  <c r="S291" i="3"/>
  <c r="S307" i="3"/>
  <c r="S323" i="3"/>
  <c r="S339" i="3"/>
  <c r="S355" i="3"/>
  <c r="S371" i="3"/>
  <c r="S387" i="3"/>
  <c r="S166" i="8"/>
  <c r="S142" i="8"/>
  <c r="S110" i="8"/>
  <c r="S171" i="8"/>
  <c r="S139" i="8"/>
  <c r="S135" i="8"/>
  <c r="S111" i="8"/>
  <c r="S167" i="8"/>
  <c r="S163" i="8"/>
  <c r="S141" i="8"/>
  <c r="S137" i="8"/>
  <c r="S109" i="8"/>
  <c r="S105" i="8"/>
  <c r="S165" i="8"/>
  <c r="S134" i="8"/>
  <c r="S103" i="8"/>
  <c r="S133" i="8"/>
  <c r="S112" i="8"/>
  <c r="S169" i="8"/>
  <c r="S107" i="8"/>
  <c r="G81" i="9"/>
  <c r="G77" i="9"/>
  <c r="G73" i="9"/>
  <c r="G69" i="9"/>
  <c r="G65" i="9"/>
  <c r="G84" i="9"/>
  <c r="G80" i="9"/>
  <c r="G76" i="9"/>
  <c r="G72" i="9"/>
  <c r="G83" i="9"/>
  <c r="G79" i="9"/>
  <c r="G75" i="9"/>
  <c r="G71" i="9"/>
  <c r="G67" i="9"/>
  <c r="G63" i="9"/>
  <c r="G82" i="9"/>
  <c r="G78" i="9"/>
  <c r="G74" i="9"/>
  <c r="G70" i="9"/>
  <c r="G66" i="9"/>
  <c r="M108" i="4"/>
  <c r="S164" i="8"/>
  <c r="S136" i="8"/>
  <c r="S170" i="8"/>
  <c r="S138" i="8"/>
  <c r="S106" i="8"/>
  <c r="S168" i="8"/>
  <c r="S104" i="8"/>
  <c r="S172" i="8"/>
  <c r="S140" i="8"/>
  <c r="S108" i="8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G17" i="9" l="1"/>
  <c r="G61" i="9"/>
  <c r="G34" i="9"/>
  <c r="G57" i="9"/>
  <c r="G49" i="9"/>
  <c r="G41" i="9"/>
  <c r="G33" i="9"/>
  <c r="G25" i="9"/>
  <c r="G56" i="9"/>
  <c r="G48" i="9"/>
  <c r="G40" i="9"/>
  <c r="G32" i="9"/>
  <c r="G24" i="9"/>
  <c r="G16" i="9"/>
  <c r="G14" i="9"/>
  <c r="G39" i="9"/>
  <c r="G54" i="9"/>
  <c r="G38" i="9"/>
  <c r="G13" i="9"/>
  <c r="G47" i="9"/>
  <c r="G23" i="9"/>
  <c r="G46" i="9"/>
  <c r="G22" i="9"/>
  <c r="G53" i="9"/>
  <c r="G45" i="9"/>
  <c r="G37" i="9"/>
  <c r="G21" i="9"/>
  <c r="G60" i="9"/>
  <c r="G52" i="9"/>
  <c r="G44" i="9"/>
  <c r="G36" i="9"/>
  <c r="G28" i="9"/>
  <c r="G20" i="9"/>
  <c r="G55" i="9"/>
  <c r="G31" i="9"/>
  <c r="G15" i="9"/>
  <c r="G30" i="9"/>
  <c r="G29" i="9"/>
  <c r="G59" i="9"/>
  <c r="G51" i="9"/>
  <c r="G43" i="9"/>
  <c r="G35" i="9"/>
  <c r="G27" i="9"/>
  <c r="G19" i="9"/>
  <c r="G58" i="9"/>
  <c r="G50" i="9"/>
  <c r="G42" i="9"/>
  <c r="G26" i="9"/>
  <c r="G18" i="9"/>
  <c r="I107" i="4"/>
  <c r="J107" i="4"/>
  <c r="K107" i="4"/>
  <c r="K67" i="4"/>
  <c r="J67" i="4"/>
  <c r="I67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N82" i="3"/>
  <c r="O82" i="3"/>
  <c r="P82" i="3"/>
  <c r="N83" i="3"/>
  <c r="O83" i="3"/>
  <c r="P83" i="3"/>
  <c r="N84" i="3"/>
  <c r="O84" i="3"/>
  <c r="P84" i="3"/>
  <c r="N85" i="3"/>
  <c r="O85" i="3"/>
  <c r="P85" i="3"/>
  <c r="N87" i="3"/>
  <c r="O87" i="3"/>
  <c r="P87" i="3"/>
  <c r="N88" i="3"/>
  <c r="O88" i="3"/>
  <c r="P88" i="3"/>
  <c r="N89" i="3"/>
  <c r="O89" i="3"/>
  <c r="P89" i="3"/>
  <c r="N90" i="3"/>
  <c r="O90" i="3"/>
  <c r="P90" i="3"/>
  <c r="N92" i="3"/>
  <c r="O92" i="3"/>
  <c r="P92" i="3"/>
  <c r="N93" i="3"/>
  <c r="O93" i="3"/>
  <c r="P93" i="3"/>
  <c r="N94" i="3"/>
  <c r="O94" i="3"/>
  <c r="P94" i="3"/>
  <c r="N95" i="3"/>
  <c r="O95" i="3"/>
  <c r="P95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41" i="3"/>
  <c r="O41" i="3"/>
  <c r="P41" i="3"/>
  <c r="N34" i="3"/>
  <c r="O34" i="3"/>
  <c r="P34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35" i="3"/>
  <c r="O35" i="3"/>
  <c r="P35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36" i="3"/>
  <c r="O36" i="3"/>
  <c r="P36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37" i="3"/>
  <c r="O37" i="3"/>
  <c r="P37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38" i="3"/>
  <c r="O38" i="3"/>
  <c r="P38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39" i="3"/>
  <c r="O39" i="3"/>
  <c r="P39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56" i="3"/>
  <c r="O56" i="3"/>
  <c r="P56" i="3"/>
  <c r="N57" i="3"/>
  <c r="O57" i="3"/>
  <c r="P57" i="3"/>
  <c r="N50" i="3"/>
  <c r="O50" i="3"/>
  <c r="P50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N242" i="3"/>
  <c r="O242" i="3"/>
  <c r="P242" i="3"/>
  <c r="N243" i="3"/>
  <c r="O243" i="3"/>
  <c r="P243" i="3"/>
  <c r="N244" i="3"/>
  <c r="O244" i="3"/>
  <c r="P244" i="3"/>
  <c r="N245" i="3"/>
  <c r="O245" i="3"/>
  <c r="P245" i="3"/>
  <c r="N246" i="3"/>
  <c r="O246" i="3"/>
  <c r="P246" i="3"/>
  <c r="N247" i="3"/>
  <c r="O247" i="3"/>
  <c r="P247" i="3"/>
  <c r="N248" i="3"/>
  <c r="O248" i="3"/>
  <c r="P248" i="3"/>
  <c r="N249" i="3"/>
  <c r="O249" i="3"/>
  <c r="P249" i="3"/>
  <c r="N250" i="3"/>
  <c r="O250" i="3"/>
  <c r="P250" i="3"/>
  <c r="N251" i="3"/>
  <c r="O251" i="3"/>
  <c r="P251" i="3"/>
  <c r="N252" i="3"/>
  <c r="O252" i="3"/>
  <c r="P252" i="3"/>
  <c r="N253" i="3"/>
  <c r="O253" i="3"/>
  <c r="P253" i="3"/>
  <c r="N254" i="3"/>
  <c r="O254" i="3"/>
  <c r="P254" i="3"/>
  <c r="N255" i="3"/>
  <c r="O255" i="3"/>
  <c r="P255" i="3"/>
  <c r="N256" i="3"/>
  <c r="O256" i="3"/>
  <c r="P256" i="3"/>
  <c r="N257" i="3"/>
  <c r="O257" i="3"/>
  <c r="P257" i="3"/>
  <c r="N258" i="3"/>
  <c r="O258" i="3"/>
  <c r="P258" i="3"/>
  <c r="N259" i="3"/>
  <c r="O259" i="3"/>
  <c r="P259" i="3"/>
  <c r="N260" i="3"/>
  <c r="O260" i="3"/>
  <c r="P260" i="3"/>
  <c r="N261" i="3"/>
  <c r="O261" i="3"/>
  <c r="P261" i="3"/>
  <c r="N262" i="3"/>
  <c r="O262" i="3"/>
  <c r="P262" i="3"/>
  <c r="N263" i="3"/>
  <c r="O263" i="3"/>
  <c r="P263" i="3"/>
  <c r="N264" i="3"/>
  <c r="O264" i="3"/>
  <c r="P264" i="3"/>
  <c r="N265" i="3"/>
  <c r="O265" i="3"/>
  <c r="P265" i="3"/>
  <c r="N266" i="3"/>
  <c r="O266" i="3"/>
  <c r="P266" i="3"/>
  <c r="N267" i="3"/>
  <c r="O267" i="3"/>
  <c r="P267" i="3"/>
  <c r="S52" i="3" l="1"/>
  <c r="S51" i="3"/>
  <c r="S55" i="3"/>
  <c r="S53" i="3"/>
  <c r="S54" i="3"/>
  <c r="S257" i="3"/>
  <c r="S83" i="3"/>
  <c r="S253" i="3"/>
  <c r="S221" i="3"/>
  <c r="S103" i="3"/>
  <c r="S237" i="3"/>
  <c r="S40" i="3"/>
  <c r="S230" i="3"/>
  <c r="S82" i="3"/>
  <c r="S224" i="3"/>
  <c r="S208" i="3"/>
  <c r="S126" i="3"/>
  <c r="S255" i="3"/>
  <c r="S223" i="3"/>
  <c r="S262" i="3"/>
  <c r="S192" i="3"/>
  <c r="S142" i="3"/>
  <c r="S239" i="3"/>
  <c r="S256" i="3"/>
  <c r="S176" i="3"/>
  <c r="S240" i="3"/>
  <c r="S246" i="3"/>
  <c r="S47" i="3"/>
  <c r="S44" i="3"/>
  <c r="S46" i="3"/>
  <c r="S42" i="3"/>
  <c r="S43" i="3"/>
  <c r="S45" i="3"/>
  <c r="S245" i="3"/>
  <c r="S229" i="3"/>
  <c r="S213" i="3"/>
  <c r="S197" i="3"/>
  <c r="S181" i="3"/>
  <c r="S60" i="3"/>
  <c r="S147" i="3"/>
  <c r="S131" i="3"/>
  <c r="S115" i="3"/>
  <c r="S89" i="3"/>
  <c r="S266" i="3"/>
  <c r="S250" i="3"/>
  <c r="S234" i="3"/>
  <c r="S218" i="3"/>
  <c r="S202" i="3"/>
  <c r="S186" i="3"/>
  <c r="S57" i="3"/>
  <c r="S152" i="3"/>
  <c r="S136" i="3"/>
  <c r="S120" i="3"/>
  <c r="S95" i="3"/>
  <c r="S249" i="3"/>
  <c r="S56" i="3"/>
  <c r="S238" i="3"/>
  <c r="S156" i="3"/>
  <c r="S101" i="3"/>
  <c r="S243" i="3"/>
  <c r="S227" i="3"/>
  <c r="S211" i="3"/>
  <c r="S195" i="3"/>
  <c r="S179" i="3"/>
  <c r="S58" i="3"/>
  <c r="S145" i="3"/>
  <c r="S129" i="3"/>
  <c r="S34" i="3"/>
  <c r="S87" i="3"/>
  <c r="S264" i="3"/>
  <c r="S248" i="3"/>
  <c r="S232" i="3"/>
  <c r="S216" i="3"/>
  <c r="S200" i="3"/>
  <c r="S184" i="3"/>
  <c r="S63" i="3"/>
  <c r="S150" i="3"/>
  <c r="S134" i="3"/>
  <c r="S35" i="3"/>
  <c r="S93" i="3"/>
  <c r="S397" i="3"/>
  <c r="S418" i="3"/>
  <c r="S394" i="3"/>
  <c r="S407" i="3"/>
  <c r="S395" i="3"/>
  <c r="S415" i="3"/>
  <c r="S392" i="3"/>
  <c r="S393" i="3"/>
  <c r="S396" i="3"/>
  <c r="S414" i="3"/>
  <c r="S408" i="3"/>
  <c r="S111" i="3"/>
  <c r="S107" i="3"/>
  <c r="S97" i="3"/>
  <c r="S109" i="3"/>
  <c r="S105" i="3"/>
  <c r="S191" i="3"/>
  <c r="S201" i="3"/>
  <c r="S222" i="3"/>
  <c r="S226" i="3"/>
  <c r="S210" i="3"/>
  <c r="S194" i="3"/>
  <c r="S178" i="3"/>
  <c r="S160" i="3"/>
  <c r="S144" i="3"/>
  <c r="S37" i="3"/>
  <c r="S41" i="3"/>
  <c r="S85" i="3"/>
  <c r="S88" i="3"/>
  <c r="S185" i="3"/>
  <c r="S254" i="3"/>
  <c r="S124" i="3"/>
  <c r="S228" i="3"/>
  <c r="S196" i="3"/>
  <c r="S59" i="3"/>
  <c r="S217" i="3"/>
  <c r="S135" i="3"/>
  <c r="S205" i="3"/>
  <c r="S36" i="3"/>
  <c r="S100" i="3"/>
  <c r="S412" i="3"/>
  <c r="S416" i="3"/>
  <c r="S406" i="3"/>
  <c r="S411" i="3"/>
  <c r="S410" i="3"/>
  <c r="S409" i="3"/>
  <c r="S417" i="3"/>
  <c r="S413" i="3"/>
  <c r="S403" i="3"/>
  <c r="S405" i="3"/>
  <c r="S404" i="3"/>
  <c r="S106" i="3"/>
  <c r="S96" i="3"/>
  <c r="S108" i="3"/>
  <c r="S104" i="3"/>
  <c r="S110" i="3"/>
  <c r="S242" i="3"/>
  <c r="S263" i="3"/>
  <c r="S215" i="3"/>
  <c r="S199" i="3"/>
  <c r="S62" i="3"/>
  <c r="S38" i="3"/>
  <c r="S117" i="3"/>
  <c r="S92" i="3"/>
  <c r="S252" i="3"/>
  <c r="S236" i="3"/>
  <c r="S220" i="3"/>
  <c r="S204" i="3"/>
  <c r="S188" i="3"/>
  <c r="S172" i="3"/>
  <c r="S154" i="3"/>
  <c r="S39" i="3"/>
  <c r="S122" i="3"/>
  <c r="S99" i="3"/>
  <c r="S261" i="3"/>
  <c r="S207" i="3"/>
  <c r="S141" i="3"/>
  <c r="S212" i="3"/>
  <c r="S146" i="3"/>
  <c r="S233" i="3"/>
  <c r="S94" i="3"/>
  <c r="S174" i="3"/>
  <c r="S140" i="3"/>
  <c r="S173" i="3"/>
  <c r="S258" i="3"/>
  <c r="S247" i="3"/>
  <c r="S231" i="3"/>
  <c r="S183" i="3"/>
  <c r="S149" i="3"/>
  <c r="S241" i="3"/>
  <c r="S225" i="3"/>
  <c r="S209" i="3"/>
  <c r="S193" i="3"/>
  <c r="S177" i="3"/>
  <c r="S159" i="3"/>
  <c r="S143" i="3"/>
  <c r="S127" i="3"/>
  <c r="S84" i="3"/>
  <c r="S157" i="3"/>
  <c r="S125" i="3"/>
  <c r="S260" i="3"/>
  <c r="S130" i="3"/>
  <c r="S190" i="3"/>
  <c r="S155" i="3"/>
  <c r="S198" i="3"/>
  <c r="S158" i="3"/>
  <c r="S175" i="3"/>
  <c r="S102" i="3"/>
  <c r="S244" i="3"/>
  <c r="S180" i="3"/>
  <c r="S114" i="3"/>
  <c r="S265" i="3"/>
  <c r="S151" i="3"/>
  <c r="S119" i="3"/>
  <c r="S206" i="3"/>
  <c r="S259" i="3"/>
  <c r="S189" i="3"/>
  <c r="S139" i="3"/>
  <c r="S214" i="3"/>
  <c r="S182" i="3"/>
  <c r="S61" i="3"/>
  <c r="S148" i="3"/>
  <c r="S132" i="3"/>
  <c r="S116" i="3"/>
  <c r="S90" i="3"/>
  <c r="S267" i="3"/>
  <c r="S251" i="3"/>
  <c r="S235" i="3"/>
  <c r="S219" i="3"/>
  <c r="S203" i="3"/>
  <c r="S187" i="3"/>
  <c r="S50" i="3"/>
  <c r="S153" i="3"/>
  <c r="S137" i="3"/>
  <c r="S121" i="3"/>
  <c r="S98" i="3"/>
  <c r="M133" i="4"/>
  <c r="M127" i="4"/>
  <c r="M147" i="4"/>
  <c r="M107" i="4"/>
  <c r="M113" i="4"/>
  <c r="M67" i="4"/>
  <c r="M11" i="4"/>
  <c r="M12" i="4"/>
  <c r="M17" i="4"/>
  <c r="M18" i="4"/>
  <c r="M29" i="4"/>
  <c r="M45" i="4"/>
  <c r="M51" i="4"/>
  <c r="M71" i="4"/>
  <c r="M72" i="4"/>
  <c r="M91" i="4"/>
  <c r="M92" i="4"/>
  <c r="M15" i="4"/>
  <c r="M27" i="4"/>
  <c r="M28" i="4"/>
  <c r="M44" i="4"/>
  <c r="M46" i="4"/>
  <c r="M47" i="4"/>
  <c r="M48" i="4"/>
  <c r="M49" i="4"/>
  <c r="M50" i="4"/>
  <c r="M52" i="4"/>
  <c r="M68" i="4"/>
  <c r="M69" i="4"/>
  <c r="M70" i="4"/>
  <c r="M87" i="4"/>
  <c r="M88" i="4"/>
  <c r="M89" i="4"/>
  <c r="M90" i="4"/>
  <c r="S53" i="4"/>
  <c r="R53" i="4"/>
  <c r="Q53" i="4"/>
  <c r="S52" i="4"/>
  <c r="R52" i="4"/>
  <c r="Q52" i="4"/>
  <c r="S51" i="4"/>
  <c r="R51" i="4"/>
  <c r="Q51" i="4"/>
  <c r="S50" i="4"/>
  <c r="R50" i="4"/>
  <c r="Q50" i="4"/>
  <c r="A11" i="4"/>
  <c r="I10" i="4"/>
  <c r="M106" i="4" s="1"/>
  <c r="M19" i="4" l="1"/>
  <c r="M136" i="4"/>
  <c r="M137" i="4"/>
  <c r="M142" i="4"/>
  <c r="M139" i="4"/>
  <c r="M141" i="4"/>
  <c r="M146" i="4"/>
  <c r="M140" i="4"/>
  <c r="M135" i="4"/>
  <c r="M143" i="4"/>
  <c r="M138" i="4"/>
  <c r="M144" i="4"/>
  <c r="M134" i="4"/>
  <c r="M126" i="4"/>
  <c r="M145" i="4"/>
  <c r="M13" i="4"/>
  <c r="M115" i="4"/>
  <c r="M123" i="4"/>
  <c r="M125" i="4"/>
  <c r="M120" i="4"/>
  <c r="M118" i="4"/>
  <c r="M114" i="4"/>
  <c r="M122" i="4"/>
  <c r="M117" i="4"/>
  <c r="M121" i="4"/>
  <c r="M116" i="4"/>
  <c r="M124" i="4"/>
  <c r="M119" i="4"/>
  <c r="M10" i="4"/>
  <c r="M53" i="4"/>
  <c r="M33" i="4"/>
  <c r="M73" i="4"/>
  <c r="M105" i="4"/>
  <c r="M81" i="4"/>
  <c r="M41" i="4"/>
  <c r="M64" i="4"/>
  <c r="M56" i="4"/>
  <c r="M40" i="4"/>
  <c r="M32" i="4"/>
  <c r="M24" i="4"/>
  <c r="M16" i="4"/>
  <c r="M57" i="4"/>
  <c r="M103" i="4"/>
  <c r="M95" i="4"/>
  <c r="M79" i="4"/>
  <c r="M63" i="4"/>
  <c r="M55" i="4"/>
  <c r="M39" i="4"/>
  <c r="M31" i="4"/>
  <c r="M23" i="4"/>
  <c r="M98" i="4"/>
  <c r="M82" i="4"/>
  <c r="M42" i="4"/>
  <c r="M80" i="4"/>
  <c r="M102" i="4"/>
  <c r="M94" i="4"/>
  <c r="M86" i="4"/>
  <c r="M78" i="4"/>
  <c r="M62" i="4"/>
  <c r="M54" i="4"/>
  <c r="M38" i="4"/>
  <c r="M30" i="4"/>
  <c r="M22" i="4"/>
  <c r="M14" i="4"/>
  <c r="M58" i="4"/>
  <c r="M104" i="4"/>
  <c r="M101" i="4"/>
  <c r="M93" i="4"/>
  <c r="M85" i="4"/>
  <c r="M77" i="4"/>
  <c r="M61" i="4"/>
  <c r="M37" i="4"/>
  <c r="M21" i="4"/>
  <c r="M74" i="4"/>
  <c r="M34" i="4"/>
  <c r="M97" i="4"/>
  <c r="M65" i="4"/>
  <c r="M25" i="4"/>
  <c r="M96" i="4"/>
  <c r="M100" i="4"/>
  <c r="M84" i="4"/>
  <c r="M76" i="4"/>
  <c r="M60" i="4"/>
  <c r="M36" i="4"/>
  <c r="M20" i="4"/>
  <c r="M66" i="4"/>
  <c r="M26" i="4"/>
  <c r="M99" i="4"/>
  <c r="M83" i="4"/>
  <c r="M75" i="4"/>
  <c r="M59" i="4"/>
  <c r="M43" i="4"/>
  <c r="M35" i="4"/>
  <c r="AC14" i="3" l="1"/>
  <c r="AD14" i="3" s="1"/>
  <c r="AC23" i="3"/>
  <c r="AD23" i="3" s="1"/>
  <c r="AC28" i="3"/>
  <c r="AD28" i="3" s="1"/>
  <c r="AC29" i="3"/>
  <c r="AD29" i="3" s="1"/>
  <c r="AC30" i="3"/>
  <c r="AD30" i="3" s="1"/>
  <c r="AC26" i="3"/>
  <c r="AD26" i="3" s="1"/>
  <c r="AC31" i="3"/>
  <c r="AD31" i="3" s="1"/>
  <c r="AC33" i="3"/>
  <c r="AD33" i="3" s="1"/>
  <c r="AC34" i="3"/>
  <c r="AD34" i="3" s="1"/>
  <c r="AC35" i="3"/>
  <c r="AD35" i="3" s="1"/>
  <c r="AC36" i="3"/>
  <c r="AD36" i="3" s="1"/>
  <c r="N12" i="8" l="1"/>
  <c r="O12" i="8"/>
  <c r="P12" i="8"/>
  <c r="A13" i="8"/>
  <c r="A14" i="8" s="1"/>
  <c r="S202" i="8" l="1"/>
  <c r="S203" i="8"/>
  <c r="S200" i="8"/>
  <c r="S199" i="8"/>
  <c r="S193" i="8"/>
  <c r="S201" i="8"/>
  <c r="S204" i="8"/>
  <c r="S194" i="8"/>
  <c r="S27" i="8"/>
  <c r="S33" i="8"/>
  <c r="S41" i="8"/>
  <c r="S66" i="8"/>
  <c r="S68" i="8"/>
  <c r="S58" i="8"/>
  <c r="S70" i="8"/>
  <c r="S61" i="8"/>
  <c r="S40" i="8"/>
  <c r="S64" i="8"/>
  <c r="S43" i="8"/>
  <c r="S63" i="8"/>
  <c r="S44" i="8"/>
  <c r="S62" i="8"/>
  <c r="S42" i="8"/>
  <c r="S65" i="8"/>
  <c r="S35" i="8"/>
  <c r="S21" i="8"/>
  <c r="S13" i="8"/>
  <c r="S31" i="8"/>
  <c r="S25" i="8"/>
  <c r="S23" i="8"/>
  <c r="S34" i="8"/>
  <c r="S48" i="8"/>
  <c r="S45" i="8"/>
  <c r="S145" i="8"/>
  <c r="S98" i="8"/>
  <c r="S158" i="8"/>
  <c r="S155" i="8"/>
  <c r="S181" i="8"/>
  <c r="S185" i="8"/>
  <c r="S57" i="8"/>
  <c r="S126" i="8"/>
  <c r="S186" i="8"/>
  <c r="S125" i="8"/>
  <c r="S191" i="8"/>
  <c r="S30" i="8"/>
  <c r="S151" i="8"/>
  <c r="S95" i="8"/>
  <c r="S69" i="8"/>
  <c r="S19" i="8"/>
  <c r="S93" i="8"/>
  <c r="S18" i="8"/>
  <c r="S121" i="8"/>
  <c r="S183" i="8"/>
  <c r="S149" i="8"/>
  <c r="S117" i="8"/>
  <c r="S153" i="8"/>
  <c r="S175" i="8"/>
  <c r="S47" i="8"/>
  <c r="S128" i="8"/>
  <c r="S96" i="8"/>
  <c r="S119" i="8"/>
  <c r="S177" i="8"/>
  <c r="S113" i="8"/>
  <c r="S59" i="8"/>
  <c r="S131" i="8"/>
  <c r="S147" i="8"/>
  <c r="S173" i="8"/>
  <c r="S71" i="8"/>
  <c r="S123" i="8"/>
  <c r="S101" i="8"/>
  <c r="S188" i="8"/>
  <c r="S115" i="8"/>
  <c r="S49" i="8"/>
  <c r="S143" i="8"/>
  <c r="S29" i="8"/>
  <c r="S161" i="8"/>
  <c r="S179" i="8"/>
  <c r="S156" i="8"/>
  <c r="S157" i="8"/>
  <c r="S160" i="8"/>
  <c r="S22" i="8"/>
  <c r="S24" i="8"/>
  <c r="S46" i="8"/>
  <c r="S189" i="8"/>
  <c r="S190" i="8"/>
  <c r="S118" i="8"/>
  <c r="S122" i="8"/>
  <c r="S152" i="8"/>
  <c r="S124" i="8"/>
  <c r="S150" i="8"/>
  <c r="S60" i="8"/>
  <c r="S26" i="8"/>
  <c r="S148" i="8"/>
  <c r="S28" i="8"/>
  <c r="S178" i="8"/>
  <c r="S132" i="8"/>
  <c r="S99" i="8"/>
  <c r="S120" i="8"/>
  <c r="S114" i="8"/>
  <c r="S176" i="8"/>
  <c r="S129" i="8"/>
  <c r="S184" i="8"/>
  <c r="S182" i="8"/>
  <c r="S94" i="8"/>
  <c r="S67" i="8"/>
  <c r="S174" i="8"/>
  <c r="S187" i="8"/>
  <c r="S180" i="8"/>
  <c r="S116" i="8"/>
  <c r="S53" i="8"/>
  <c r="S15" i="8"/>
  <c r="S144" i="8"/>
  <c r="S162" i="8"/>
  <c r="S32" i="8"/>
  <c r="S17" i="8"/>
  <c r="S127" i="8"/>
  <c r="S100" i="8"/>
  <c r="S130" i="8"/>
  <c r="S102" i="8"/>
  <c r="S52" i="8"/>
  <c r="S50" i="8"/>
  <c r="S51" i="8"/>
  <c r="S97" i="8"/>
  <c r="S154" i="8"/>
  <c r="S159" i="8"/>
  <c r="S20" i="8"/>
  <c r="S16" i="8"/>
  <c r="S146" i="8"/>
  <c r="S12" i="8"/>
  <c r="R61" i="4" l="1"/>
  <c r="S61" i="4"/>
  <c r="Q61" i="4"/>
  <c r="Q60" i="4"/>
  <c r="I16" i="2"/>
  <c r="J16" i="2"/>
  <c r="I17" i="2"/>
  <c r="J17" i="2"/>
  <c r="I18" i="2"/>
  <c r="J18" i="2"/>
  <c r="J15" i="2"/>
  <c r="I15" i="2"/>
  <c r="H8" i="8" l="1"/>
  <c r="A11" i="3" l="1"/>
  <c r="A12" i="3" s="1"/>
  <c r="A13" i="3" s="1"/>
  <c r="A14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l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B21" i="8" a="1"/>
  <c r="AB21" i="8" s="1"/>
  <c r="B1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tc={B830C44B-B469-4149-9990-588FE0F43042}</author>
  </authors>
  <commentList>
    <comment ref="C84" authorId="0" shapeId="0" xr:uid="{B830C44B-B469-4149-9990-588FE0F43042}">
      <text>
        <t>[Threaded comment]
Your version of Excel allows you to read this threaded comment; however, any edits to it will get removed if the file is opened in a newer version of Excel. Learn more: https://go.microsoft.com/fwlink/?linkid=870924
Comment:
    AO304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<sst xmlns="http://schemas.openxmlformats.org/spreadsheetml/2006/main" count="4341" uniqueCount="1165">
  <si>
    <t>Project Data</t>
  </si>
  <si>
    <t xml:space="preserve">Project  name </t>
  </si>
  <si>
    <t xml:space="preserve">Date </t>
  </si>
  <si>
    <t xml:space="preserve">Project  # </t>
  </si>
  <si>
    <t xml:space="preserve">Submittal  # </t>
  </si>
  <si>
    <t xml:space="preserve">Unit  # </t>
  </si>
  <si>
    <t xml:space="preserve">Prepared By </t>
  </si>
  <si>
    <t xml:space="preserve">For </t>
  </si>
  <si>
    <t xml:space="preserve">Country </t>
  </si>
  <si>
    <t>USA</t>
  </si>
  <si>
    <t>New York</t>
  </si>
  <si>
    <t>City:</t>
  </si>
  <si>
    <t xml:space="preserve">OA Db </t>
  </si>
  <si>
    <t/>
  </si>
  <si>
    <t xml:space="preserve">OA Wb </t>
  </si>
  <si>
    <t xml:space="preserve">Altitude </t>
  </si>
  <si>
    <t xml:space="preserve">Air  Density </t>
  </si>
  <si>
    <t>Condensing Unit Selection</t>
  </si>
  <si>
    <t xml:space="preserve">C. U. Type </t>
  </si>
  <si>
    <t>Air Cooled</t>
  </si>
  <si>
    <t xml:space="preserve">Application </t>
  </si>
  <si>
    <t>Heat pump</t>
  </si>
  <si>
    <t xml:space="preserve">CU Model # </t>
  </si>
  <si>
    <t>AP4  100O410</t>
  </si>
  <si>
    <t xml:space="preserve">Refrigerant </t>
  </si>
  <si>
    <t>R410a</t>
  </si>
  <si>
    <t>Nominal Capacity</t>
  </si>
  <si>
    <t xml:space="preserve">Comp. Type </t>
  </si>
  <si>
    <t xml:space="preserve">Circuit Qty </t>
  </si>
  <si>
    <t xml:space="preserve">Power </t>
  </si>
  <si>
    <t>460V/ 3/ 60</t>
  </si>
  <si>
    <t xml:space="preserve">HGR Circuit Qty </t>
  </si>
  <si>
    <t xml:space="preserve">LT Cooling </t>
  </si>
  <si>
    <t>No</t>
  </si>
  <si>
    <t>Yes</t>
  </si>
  <si>
    <t xml:space="preserve">Cond. Type </t>
  </si>
  <si>
    <t>Coated Finned tube Copper</t>
  </si>
  <si>
    <t xml:space="preserve">Coil/Circuit </t>
  </si>
  <si>
    <t>Turn Down Ratio</t>
  </si>
  <si>
    <t>41 : 1</t>
  </si>
  <si>
    <t>Head pressure Control</t>
  </si>
  <si>
    <t xml:space="preserve">EC Condenser Fan </t>
  </si>
  <si>
    <t>I/O Type</t>
  </si>
  <si>
    <t>BacNet # Start</t>
  </si>
  <si>
    <t>#</t>
  </si>
  <si>
    <t>XNRGY #</t>
  </si>
  <si>
    <t>Supplier model #</t>
  </si>
  <si>
    <t>Supplier Description</t>
  </si>
  <si>
    <t>Description</t>
  </si>
  <si>
    <t>Label</t>
  </si>
  <si>
    <t>Controller</t>
  </si>
  <si>
    <t>Type</t>
  </si>
  <si>
    <t>Comm Type</t>
  </si>
  <si>
    <t>Unit</t>
  </si>
  <si>
    <t>Range</t>
  </si>
  <si>
    <t>ModBurs Type</t>
  </si>
  <si>
    <t>A Counter</t>
  </si>
  <si>
    <t>B Counter</t>
  </si>
  <si>
    <t>BACnet Type</t>
  </si>
  <si>
    <t>Status</t>
  </si>
  <si>
    <t>ModBurs Adress</t>
  </si>
  <si>
    <t>BACnet Adresse</t>
  </si>
  <si>
    <t>Client Visibility</t>
  </si>
  <si>
    <t>XNNOV #</t>
  </si>
  <si>
    <t>Controller Input #</t>
  </si>
  <si>
    <t>Signal</t>
  </si>
  <si>
    <t>Controller Input</t>
  </si>
  <si>
    <t>Suction pressure circuit 1</t>
  </si>
  <si>
    <t>Suc_P1</t>
  </si>
  <si>
    <t>4-20mA</t>
  </si>
  <si>
    <t>Analog</t>
  </si>
  <si>
    <t>Direct</t>
  </si>
  <si>
    <t>PSIG</t>
  </si>
  <si>
    <t>0-200 PSIG</t>
  </si>
  <si>
    <t>Discharge Pressure Circuit 1</t>
  </si>
  <si>
    <t>Dis_P1</t>
  </si>
  <si>
    <t>0-500 PSIG</t>
  </si>
  <si>
    <t>Liquid Pressure Circuit 1</t>
  </si>
  <si>
    <t>Liq_P1</t>
  </si>
  <si>
    <t>2-10V</t>
  </si>
  <si>
    <t>%</t>
  </si>
  <si>
    <t>0-100%</t>
  </si>
  <si>
    <t>Suction Temperature Circuit 1</t>
  </si>
  <si>
    <t>Suc_T1</t>
  </si>
  <si>
    <t>°F</t>
  </si>
  <si>
    <t xml:space="preserve"> -40 - 158°F</t>
  </si>
  <si>
    <t>Suc</t>
  </si>
  <si>
    <t>T</t>
  </si>
  <si>
    <t>Discharge Temperature Circuit 1</t>
  </si>
  <si>
    <t>Dis_T1</t>
  </si>
  <si>
    <t xml:space="preserve"> -40 - 300°F</t>
  </si>
  <si>
    <t>Dis</t>
  </si>
  <si>
    <t>Liquid Temperature Circuit 1</t>
  </si>
  <si>
    <t>Liq_T1</t>
  </si>
  <si>
    <t>Liq</t>
  </si>
  <si>
    <t>Outdoor Air Temperature</t>
  </si>
  <si>
    <t>OAT</t>
  </si>
  <si>
    <t>EEV_Fdk1</t>
  </si>
  <si>
    <t>EEV</t>
  </si>
  <si>
    <t>Fdk</t>
  </si>
  <si>
    <t>Circuit 1 Low Pressure Switch</t>
  </si>
  <si>
    <t>LP_Sw1</t>
  </si>
  <si>
    <t>OFF/ON</t>
  </si>
  <si>
    <t>Binary</t>
  </si>
  <si>
    <t>EEV_Sts1</t>
  </si>
  <si>
    <t>Sts</t>
  </si>
  <si>
    <t>Circuit 1 High Pressure Switch</t>
  </si>
  <si>
    <t>HP_Sw1</t>
  </si>
  <si>
    <t>LP</t>
  </si>
  <si>
    <t>Sw</t>
  </si>
  <si>
    <t>Circuit 1 Compressor A status</t>
  </si>
  <si>
    <t>Cp_Sts1-A</t>
  </si>
  <si>
    <t>ON/OFF</t>
  </si>
  <si>
    <t>Comp_Amp1-1</t>
  </si>
  <si>
    <t>Comp</t>
  </si>
  <si>
    <t>Amp</t>
  </si>
  <si>
    <t>Circuit 1 Compressor B status</t>
  </si>
  <si>
    <t>Cp_Sts1-B</t>
  </si>
  <si>
    <t>Comp_kW1-1</t>
  </si>
  <si>
    <t>kW</t>
  </si>
  <si>
    <t>Circuit 1 Compressor C status</t>
  </si>
  <si>
    <t>Cp_Sts1-C</t>
  </si>
  <si>
    <t>Cond_Alm1-1</t>
  </si>
  <si>
    <t>Cond</t>
  </si>
  <si>
    <t>Alm</t>
  </si>
  <si>
    <t>ModBus</t>
  </si>
  <si>
    <t>Comp_Sts1-1</t>
  </si>
  <si>
    <t>Amps</t>
  </si>
  <si>
    <t>Comp_Alm1-1</t>
  </si>
  <si>
    <t>Comp_Sts1-2</t>
  </si>
  <si>
    <t>Comp_Sts1-4</t>
  </si>
  <si>
    <t>Circuit 1 Condenser A status</t>
  </si>
  <si>
    <t>Cd_Sts1-A</t>
  </si>
  <si>
    <t>0-10V</t>
  </si>
  <si>
    <t>Cond_Alm1-2</t>
  </si>
  <si>
    <t>Cond_Fdk1-3</t>
  </si>
  <si>
    <t>Cond_Amp1-3</t>
  </si>
  <si>
    <t>Cond_kW1-3</t>
  </si>
  <si>
    <t>Cond_Sts1-3</t>
  </si>
  <si>
    <t>Circuit 1 Condenser B status</t>
  </si>
  <si>
    <t>Cd_Sts1-B</t>
  </si>
  <si>
    <t>Cond_Alm1-3</t>
  </si>
  <si>
    <t>BV</t>
  </si>
  <si>
    <t>Circuit 1 Condenser A Alarm</t>
  </si>
  <si>
    <t>Cond_Alm1-A</t>
  </si>
  <si>
    <t>Circuit 1 Condenser A Feedback</t>
  </si>
  <si>
    <t>Cond_Fdk1-A</t>
  </si>
  <si>
    <t>Circuit 1 Condenser A Amperage</t>
  </si>
  <si>
    <t>Cond_Amp1-A</t>
  </si>
  <si>
    <t>Circuit 1 Condenser A Kilowatt</t>
  </si>
  <si>
    <t>Cond_kW1-A</t>
  </si>
  <si>
    <t>Condensing Unit Enable</t>
  </si>
  <si>
    <t>CU_En</t>
  </si>
  <si>
    <t>Ena/Dis</t>
  </si>
  <si>
    <t>Circuit 1 Condenser B Alarm</t>
  </si>
  <si>
    <t>Cond_Alm1-B</t>
  </si>
  <si>
    <t>Circuit 1 Condenser B Feedback</t>
  </si>
  <si>
    <t>Cond_Fdk1-B</t>
  </si>
  <si>
    <t>Circuit 1 Condenser B Amperage</t>
  </si>
  <si>
    <t>Cond_Amp1-B</t>
  </si>
  <si>
    <t>Circuit 1 Condenser B Kilowatt</t>
  </si>
  <si>
    <t>Cond_kW1-B</t>
  </si>
  <si>
    <t>Supply Fan Pressure Switch</t>
  </si>
  <si>
    <t xml:space="preserve">SFan_PSw </t>
  </si>
  <si>
    <t>Circuit 1 Condenser C Alarm</t>
  </si>
  <si>
    <t>Cond_Alm1-C</t>
  </si>
  <si>
    <t>Circuit 1 Condenser C Feedback</t>
  </si>
  <si>
    <t>Cond_Fdk1-C</t>
  </si>
  <si>
    <t>Circuit 1 Condenser C Amperage</t>
  </si>
  <si>
    <t>Cond_Amp1-C</t>
  </si>
  <si>
    <t>Circuit 1 Condenser C Kilowatt</t>
  </si>
  <si>
    <t>Cond_kW1-C</t>
  </si>
  <si>
    <t>Cooling Electric Expansion Valve 1-A Feedback</t>
  </si>
  <si>
    <t>EEV-C_Fdk1-A</t>
  </si>
  <si>
    <t>Cooling Electric Expansion Valve 1-A Satus</t>
  </si>
  <si>
    <t>EEV-C_Sts1-A</t>
  </si>
  <si>
    <t>Cooling Electric Expansion Valve 1-B Feedback</t>
  </si>
  <si>
    <t>EEV-C_Fdk1-B</t>
  </si>
  <si>
    <t>Cooling Electric Expansion Valve 1-B Satus</t>
  </si>
  <si>
    <t>EEV-C_Sts1-B</t>
  </si>
  <si>
    <t>Heating Electric Expansion Valve 1-A Feedback</t>
  </si>
  <si>
    <t>EEV-H_Fdk1-A</t>
  </si>
  <si>
    <t>Heating  Electric Expansion Valve 1-A Satus</t>
  </si>
  <si>
    <t>EEV-H_Sts1-A</t>
  </si>
  <si>
    <t>Heating  Electric Expansion Valve 1-B Feedback</t>
  </si>
  <si>
    <t>EEV-H_Fdk1-B</t>
  </si>
  <si>
    <t>Heating  Electric Expansion Valve 1-B Satus</t>
  </si>
  <si>
    <t>EEV-H_Sts1-B</t>
  </si>
  <si>
    <t>Circuit 1 Electric Expansion Valve Vapor Injection Feedback</t>
  </si>
  <si>
    <t>EEV-VI_Fdk1</t>
  </si>
  <si>
    <t>Circuit 1 Electric Expansion Valve Vapor Injection Status</t>
  </si>
  <si>
    <t>EEV-VI_Sts1</t>
  </si>
  <si>
    <t>Circuit 1 Low Ambient Valve 1 Feedback</t>
  </si>
  <si>
    <t>LA-Vlv1_Fdk1</t>
  </si>
  <si>
    <t>Circuit 1 Low Ambient Valve 1 Status</t>
  </si>
  <si>
    <t>LA-Vlv1_Sts1</t>
  </si>
  <si>
    <t>Circuit 1 Low Ambient Valve 2 Feedback</t>
  </si>
  <si>
    <t>LA-Vlv2_Fdk1</t>
  </si>
  <si>
    <t>Circuit 1 Low Ambient Valve 2 Status</t>
  </si>
  <si>
    <t>LA-Vlv2_Sts1</t>
  </si>
  <si>
    <t>Circuit 1 Reheat Valve Feedback</t>
  </si>
  <si>
    <t>Rht-Vlv_Fdk1</t>
  </si>
  <si>
    <t>Circuit 1 Reheat Valve Status</t>
  </si>
  <si>
    <t>Rht-Vlv_Sts1</t>
  </si>
  <si>
    <t>AI303</t>
  </si>
  <si>
    <t>Suction pressure Circuit 2</t>
  </si>
  <si>
    <t>Suc_P2</t>
  </si>
  <si>
    <t>AI304</t>
  </si>
  <si>
    <t>Discharge Pressure Circuit 2</t>
  </si>
  <si>
    <t>Dis_P2</t>
  </si>
  <si>
    <t>AI305</t>
  </si>
  <si>
    <t>Liquid Pressure Circuit 2</t>
  </si>
  <si>
    <t>Liq_P2</t>
  </si>
  <si>
    <t>AI306</t>
  </si>
  <si>
    <t>Unasigned</t>
  </si>
  <si>
    <t>PPM</t>
  </si>
  <si>
    <t>Suction Temperature Circuit 2</t>
  </si>
  <si>
    <t>Suc_T2</t>
  </si>
  <si>
    <t>PT1000</t>
  </si>
  <si>
    <t>Discharge Temperature Circuit 2</t>
  </si>
  <si>
    <t>Dis_T2</t>
  </si>
  <si>
    <t>Liquid Temperature Circuit 2</t>
  </si>
  <si>
    <t>Liq_T2</t>
  </si>
  <si>
    <t>Circuit 2 Low Pressure Switch</t>
  </si>
  <si>
    <t>LP_Sw2</t>
  </si>
  <si>
    <t>Circuit 2 High Pressure Switch</t>
  </si>
  <si>
    <t>HP_Sw2</t>
  </si>
  <si>
    <t>Circuit 2 Compressor A status</t>
  </si>
  <si>
    <t>Cp_Sts2-A</t>
  </si>
  <si>
    <t>Circuit 2 Compressor A Feedback</t>
  </si>
  <si>
    <t>Comp_Fdk2-A</t>
  </si>
  <si>
    <t>Circuit 2 Compressor A Amperage</t>
  </si>
  <si>
    <t>Comp_Amp2-A</t>
  </si>
  <si>
    <t>Circuit 2 Compressor A Kilowatt</t>
  </si>
  <si>
    <t>Comp_kW2-A</t>
  </si>
  <si>
    <t>Circuit 2 Compressor A Alarm</t>
  </si>
  <si>
    <t>Comp_Alm2-A</t>
  </si>
  <si>
    <t>Circuit 2 Compressor B status</t>
  </si>
  <si>
    <t>Cp_Sts2-B</t>
  </si>
  <si>
    <t>Circuit 2 Compressor B Feedback</t>
  </si>
  <si>
    <t>Comp_Fdk2-B</t>
  </si>
  <si>
    <t>Circuit 2 Compressor B Amperage</t>
  </si>
  <si>
    <t>Comp_Amp2-B</t>
  </si>
  <si>
    <t>Circuit 2 Compressor B Kilowatt</t>
  </si>
  <si>
    <t>Comp_kW2-B</t>
  </si>
  <si>
    <t>Circuit 2 Compressor B Alarm</t>
  </si>
  <si>
    <t>Comp_Alm2-B</t>
  </si>
  <si>
    <t>Circuit 2 Compressor C status</t>
  </si>
  <si>
    <t>Cp_Sts2-C</t>
  </si>
  <si>
    <t>Circuit 2 Compressor C Feedback</t>
  </si>
  <si>
    <t>Comp_Fdk2-C</t>
  </si>
  <si>
    <t>Circuit 2 Compressor C Amperage</t>
  </si>
  <si>
    <t>Comp_Amp2-C</t>
  </si>
  <si>
    <t>Circuit 2 Compressor C Kilowatt</t>
  </si>
  <si>
    <t>Comp_kW2-C</t>
  </si>
  <si>
    <t>Circuit 2 Compressor C Alarm</t>
  </si>
  <si>
    <t>Comp_Alm2-C</t>
  </si>
  <si>
    <t>Circuit 2 Condenser A status</t>
  </si>
  <si>
    <t>Cd_Sts2-A</t>
  </si>
  <si>
    <t>Circuit 2 Condenser A Alarm</t>
  </si>
  <si>
    <t>Cond_Alm2-A</t>
  </si>
  <si>
    <t>Circuit 2 Condenser A Feedback</t>
  </si>
  <si>
    <t>Cond_Fdk2-A</t>
  </si>
  <si>
    <t>Circuit 2 Condenser A Amperage</t>
  </si>
  <si>
    <t>Cond_Amp2-A</t>
  </si>
  <si>
    <t>Circuit 2 Condenser A Kilowatt</t>
  </si>
  <si>
    <t>Cond_kW2-A</t>
  </si>
  <si>
    <t>Circuit 2 Condenser B status</t>
  </si>
  <si>
    <t>Cd_Sts2-B</t>
  </si>
  <si>
    <t>Circuit 2 Condenser B Alarm</t>
  </si>
  <si>
    <t>Cond_Alm2-B</t>
  </si>
  <si>
    <t>Circuit 2 Condenser B Feedback</t>
  </si>
  <si>
    <t>Cond_Fdk2-B</t>
  </si>
  <si>
    <t>Circuit 2 Condenser B Amperage</t>
  </si>
  <si>
    <t>Cond_Amp2-B</t>
  </si>
  <si>
    <t>Circuit 2 Condenser B Kilowatt</t>
  </si>
  <si>
    <t>Cond_kW2-B</t>
  </si>
  <si>
    <t>Circuit 2 CondenserC status</t>
  </si>
  <si>
    <t>Cd-Sts2-C</t>
  </si>
  <si>
    <t>Circuit 2 Condenser C Alarm</t>
  </si>
  <si>
    <t>Cond_Alm2-C</t>
  </si>
  <si>
    <t>Circuit 2 Condenser C Feedback</t>
  </si>
  <si>
    <t>Cond_Fdk2-C</t>
  </si>
  <si>
    <t>Circuit 2 Condenser C Amperage</t>
  </si>
  <si>
    <t>Cond_Amp2-C</t>
  </si>
  <si>
    <t>Circuit 2 Condenser C Kilowatt</t>
  </si>
  <si>
    <t>Cond_kW2-C</t>
  </si>
  <si>
    <t>Cooling Electric Expansion Valve 2-A Feedback</t>
  </si>
  <si>
    <t>EEV-C_Fdk2-A</t>
  </si>
  <si>
    <t>Cooling Electric Expansion Valve 2-A Satus</t>
  </si>
  <si>
    <t>EEV-C_Sts2-A</t>
  </si>
  <si>
    <t>Cooling Electric Expansion Valve 2-B Feedback</t>
  </si>
  <si>
    <t>EEV-C_Fdk2-B</t>
  </si>
  <si>
    <t>Cooling Electric Expansion Valve 2-B Satus</t>
  </si>
  <si>
    <t>EEV-C_Sts2-B</t>
  </si>
  <si>
    <t>Heating Electric Expansion Valve 2-A Feedback</t>
  </si>
  <si>
    <t>EEV-H_Fdk2-A</t>
  </si>
  <si>
    <t>Heating  Electric Expansion Valve 2-A Satus</t>
  </si>
  <si>
    <t>EEV-H_Sts2-A</t>
  </si>
  <si>
    <t>Heating  Electric Expansion Valve 2-B Feedback</t>
  </si>
  <si>
    <t>EEV-H_Fdk2-B</t>
  </si>
  <si>
    <t>Heating  Electric Expansion Valve 2-B Satus</t>
  </si>
  <si>
    <t>EEV-H_Sts2-B</t>
  </si>
  <si>
    <t>Indoor Electric Expansion Valve 2-A Feedback</t>
  </si>
  <si>
    <t>EEV-I_Fdk2-A</t>
  </si>
  <si>
    <t>Indoor Electric Expansion Valve 2-A Satus</t>
  </si>
  <si>
    <t>EEV-I_Sts2-A</t>
  </si>
  <si>
    <t>Circuit 2 Electric Expansion Valve Vapor Injection Feedback</t>
  </si>
  <si>
    <t>EEV-VI_Fdk2</t>
  </si>
  <si>
    <t>Circuit 2 Electric Expansion Valve Vapor Injection Status</t>
  </si>
  <si>
    <t>EEV-VI_Sts2</t>
  </si>
  <si>
    <t>Circuit 2 Low Ambient Valve 1 Feedback</t>
  </si>
  <si>
    <t>LA-Vlv1_Fdk2</t>
  </si>
  <si>
    <t>Circuit 2 Low Ambient Valve 1 Status</t>
  </si>
  <si>
    <t>LA-Vlv1_Sts2</t>
  </si>
  <si>
    <t>Circuit 2 Low Ambient Valve 2 Feedback</t>
  </si>
  <si>
    <t>LA-Vlv2_Fdk2</t>
  </si>
  <si>
    <t>Circuit 2 Low Ambient Valve 2 Status</t>
  </si>
  <si>
    <t>LA-Vlv2_Sts2</t>
  </si>
  <si>
    <t>Circuit 2 Reheat Valve Feedback</t>
  </si>
  <si>
    <t>Rht-Vlv_Fdk2</t>
  </si>
  <si>
    <t>Circuit 2 Reheat Valve Status</t>
  </si>
  <si>
    <t>Rht-Vlv_Sts2</t>
  </si>
  <si>
    <t>Suction pressure Circuit 3</t>
  </si>
  <si>
    <t>Suc_P3</t>
  </si>
  <si>
    <t>Discharge Pressure Circuit 3</t>
  </si>
  <si>
    <t>Dis_P3</t>
  </si>
  <si>
    <t>Liquid Pressure Circuit 3</t>
  </si>
  <si>
    <t>Liq_P3</t>
  </si>
  <si>
    <t>AI506</t>
  </si>
  <si>
    <t>Suction Temperature Circuit 3</t>
  </si>
  <si>
    <t>Suc_T3</t>
  </si>
  <si>
    <t>Discharge Temperature Circuit 3</t>
  </si>
  <si>
    <t>Dis_T3</t>
  </si>
  <si>
    <t>Liquid Temperature Circuit 3</t>
  </si>
  <si>
    <t>Liq_T3</t>
  </si>
  <si>
    <t>AI602</t>
  </si>
  <si>
    <t>Circuit 3 Low Pressure Switch</t>
  </si>
  <si>
    <t>LP_Sw3</t>
  </si>
  <si>
    <t>Circuit 3 High Pressure Switch</t>
  </si>
  <si>
    <t>HP_Sw3</t>
  </si>
  <si>
    <t>Circuit 3 Compressor A status</t>
  </si>
  <si>
    <t>Cp_Sts3-A</t>
  </si>
  <si>
    <t>Circuit 3 Compressor A Feedback</t>
  </si>
  <si>
    <t>Comp_Fdk3-A</t>
  </si>
  <si>
    <t>Circuit 3 Compressor A Amperage</t>
  </si>
  <si>
    <t>Comp_Amp3-A</t>
  </si>
  <si>
    <t>Circuit 3 Compressor A Kilowatt</t>
  </si>
  <si>
    <t>Comp_kW3-A</t>
  </si>
  <si>
    <t>Circuit 3 Compressor A Alarm</t>
  </si>
  <si>
    <t>Comp_Alm3-A</t>
  </si>
  <si>
    <t>Circuit 3 Compressor B status</t>
  </si>
  <si>
    <t>Cp_Sts3-B</t>
  </si>
  <si>
    <t>Circuit 3 Compressor B Feedback</t>
  </si>
  <si>
    <t>Comp_Fdk3-B</t>
  </si>
  <si>
    <t>Circuit 3 Compressor B Amperage</t>
  </si>
  <si>
    <t>Comp_Amp3-B</t>
  </si>
  <si>
    <t>Circuit 3 Compressor B Kilowatt</t>
  </si>
  <si>
    <t>Comp_kW3-B</t>
  </si>
  <si>
    <t>Circuit 3 Compressor B Alarm</t>
  </si>
  <si>
    <t>Comp_Alm3-B</t>
  </si>
  <si>
    <t>Circuit 3 Compressor C status</t>
  </si>
  <si>
    <t>Cp_Sts3-C</t>
  </si>
  <si>
    <t>Circuit 3 Compressor C Feedback</t>
  </si>
  <si>
    <t>Comp_Fdk3-C</t>
  </si>
  <si>
    <t>Circuit 3 Compressor C Amperage</t>
  </si>
  <si>
    <t>Comp_Amp3-C</t>
  </si>
  <si>
    <t>Circuit 3 Compressor C Kilowatt</t>
  </si>
  <si>
    <t>Comp_kW3-C</t>
  </si>
  <si>
    <t>Circuit 3 Compressor C Alarm</t>
  </si>
  <si>
    <t>Comp_Alm3-C</t>
  </si>
  <si>
    <t>Circuit 3 Condenser A status</t>
  </si>
  <si>
    <t>Cd_Sts3-A</t>
  </si>
  <si>
    <t>Circuit 3 Condenser A Alarm</t>
  </si>
  <si>
    <t>Cond_Alm3-A</t>
  </si>
  <si>
    <t>Circuit 3 Condenser A Feedback</t>
  </si>
  <si>
    <t>Cond_Fdk3-A</t>
  </si>
  <si>
    <t>Circuit 3 Condenser A Amperage</t>
  </si>
  <si>
    <t>Cond_Amp3-A</t>
  </si>
  <si>
    <t>Circuit 3 Condenser A Kilowatt</t>
  </si>
  <si>
    <t>Cond_kW3-A</t>
  </si>
  <si>
    <t>Circuit 3 Condenser B status</t>
  </si>
  <si>
    <t>Cd_Sts3-B</t>
  </si>
  <si>
    <t>Circuit 3 Condenser B Alarm</t>
  </si>
  <si>
    <t>Cond_Alm3-B</t>
  </si>
  <si>
    <t>Circuit 3 Condenser B Feedback</t>
  </si>
  <si>
    <t>Cond_Fdk3-B</t>
  </si>
  <si>
    <t>Circuit 3 Condenser B Amperage</t>
  </si>
  <si>
    <t>Cond_Amp3-B</t>
  </si>
  <si>
    <t>Circuit 3 Condenser B Kilowatt</t>
  </si>
  <si>
    <t>Cond_kW3-B</t>
  </si>
  <si>
    <t>Circuit 3 Condenser C status</t>
  </si>
  <si>
    <t>Cd-Sts3-C</t>
  </si>
  <si>
    <t>Circuit 3 Condenser C Alarm</t>
  </si>
  <si>
    <t>Cond_Alm3-C</t>
  </si>
  <si>
    <t>Circuit 3 Condenser C Feedback</t>
  </si>
  <si>
    <t>Cond_Fdk3-C</t>
  </si>
  <si>
    <t>Circuit 3 Condenser C Amperage</t>
  </si>
  <si>
    <t>Cond_Amp3-C</t>
  </si>
  <si>
    <t>Circuit 3 Condenser C Kilowatt</t>
  </si>
  <si>
    <t>Cond_kW3-C</t>
  </si>
  <si>
    <t>Cooling Electric Expansion Valve 3-A Feedback</t>
  </si>
  <si>
    <t>EEV-C_Fdk3-A</t>
  </si>
  <si>
    <t>Cooling Electric Expansion Valve 3-A Satus</t>
  </si>
  <si>
    <t>EEV-C_Sts3-A</t>
  </si>
  <si>
    <t>Cooling Electric Expansion Valve 3-B Feedback</t>
  </si>
  <si>
    <t>EEV-C_Fdk3-B</t>
  </si>
  <si>
    <t>Cooling Electric Expansion Valve 3-B Satus</t>
  </si>
  <si>
    <t>EEV-C_Sts3-B</t>
  </si>
  <si>
    <t>Heating Electric Expansion Valve 3-A Feedback</t>
  </si>
  <si>
    <t>EEV-H_Fdk3-A</t>
  </si>
  <si>
    <t>Heating  Electric Expansion Valve 3-A Satus</t>
  </si>
  <si>
    <t>EEV-H_Sts3-A</t>
  </si>
  <si>
    <t>Heating  Electric Expansion Valve 3-B Feedback</t>
  </si>
  <si>
    <t>EEV-H_Fdk3-B</t>
  </si>
  <si>
    <t>Heating  Electric Expansion Valve 3-B Satus</t>
  </si>
  <si>
    <t>EEV-H_Sts3-B</t>
  </si>
  <si>
    <t>Circuit 3 Electric Expansion Valve Vapor Injection Feedback</t>
  </si>
  <si>
    <t>EEV-VI_Fdk3</t>
  </si>
  <si>
    <t>Circuit 3 Electric Expansion Valve Vapor Injection Status</t>
  </si>
  <si>
    <t>EEV-VI_Sts3</t>
  </si>
  <si>
    <t>Circuit 3 Low Ambient Valve 1 Feedback</t>
  </si>
  <si>
    <t>LA-Vlv1_Fdk3</t>
  </si>
  <si>
    <t>Circuit 3 Low Ambient Valve 1 Status</t>
  </si>
  <si>
    <t>LA-Vlv1_Sts3</t>
  </si>
  <si>
    <t>Circuit 3 Low Ambient Valve 2 Feedback</t>
  </si>
  <si>
    <t>LA-Vlv2_Fdk3</t>
  </si>
  <si>
    <t>Circuit 3 Low Ambient Valve 2 Status</t>
  </si>
  <si>
    <t>LA-Vlv2_Sts3</t>
  </si>
  <si>
    <t>Circuit 3 Reheat Valve Feedback</t>
  </si>
  <si>
    <t>Rht-Vlv_Fdk3</t>
  </si>
  <si>
    <t>Circuit 3 Reheat Valve Status</t>
  </si>
  <si>
    <t>Rht-Vlv_Sts3</t>
  </si>
  <si>
    <t>DI703</t>
  </si>
  <si>
    <t>DI704</t>
  </si>
  <si>
    <t>DI705</t>
  </si>
  <si>
    <t xml:space="preserve">Circuit 1 Low oil level </t>
  </si>
  <si>
    <t>Lol1</t>
  </si>
  <si>
    <t>Circuit 1 High liquid refrigerant</t>
  </si>
  <si>
    <t>Hlr1</t>
  </si>
  <si>
    <t>Circuit 2 Low oil level</t>
  </si>
  <si>
    <t>Lol2</t>
  </si>
  <si>
    <t>Circuit 2 High liquid refrigerant</t>
  </si>
  <si>
    <t>Hlr2</t>
  </si>
  <si>
    <t>Circuit 3 Low oil level</t>
  </si>
  <si>
    <t>Lol3</t>
  </si>
  <si>
    <t>Circuit 3 High liquid refrigerant</t>
  </si>
  <si>
    <t>Hlr3</t>
  </si>
  <si>
    <t>DI805</t>
  </si>
  <si>
    <t>DI806</t>
  </si>
  <si>
    <t>DI807</t>
  </si>
  <si>
    <t>DI808</t>
  </si>
  <si>
    <t>Circuit 1 Status Supply Fan</t>
  </si>
  <si>
    <t>SF_Sts1</t>
  </si>
  <si>
    <t>Circuit 2 Status Supply Fan</t>
  </si>
  <si>
    <t>SF_Sts2</t>
  </si>
  <si>
    <t>Circuit 3 Status Supply Fan</t>
  </si>
  <si>
    <t>SF_Sts3</t>
  </si>
  <si>
    <t>Supply Air Temperature Set Point</t>
  </si>
  <si>
    <t>SA_SP</t>
  </si>
  <si>
    <t>°C</t>
  </si>
  <si>
    <t>MAU Unit Enable</t>
  </si>
  <si>
    <t>MAU_EN</t>
  </si>
  <si>
    <t>Fire Alarm</t>
  </si>
  <si>
    <t>Fire_ALM</t>
  </si>
  <si>
    <t>DIS/EN</t>
  </si>
  <si>
    <t>CLOSE/OPEN</t>
  </si>
  <si>
    <t>AI908</t>
  </si>
  <si>
    <t>Filter Pressure</t>
  </si>
  <si>
    <t>Filter_P</t>
  </si>
  <si>
    <t>BACnet</t>
  </si>
  <si>
    <t>DX Leaving temperature</t>
  </si>
  <si>
    <t>DXLT</t>
  </si>
  <si>
    <t xml:space="preserve">Supply Air Temperature </t>
  </si>
  <si>
    <t>SAT</t>
  </si>
  <si>
    <t>Supply Air Humidity</t>
  </si>
  <si>
    <t>SAH</t>
  </si>
  <si>
    <t>Reset Building</t>
  </si>
  <si>
    <t>ResetB</t>
  </si>
  <si>
    <t>BiEnergy</t>
  </si>
  <si>
    <t>BiE</t>
  </si>
  <si>
    <t>Desired Humidity</t>
  </si>
  <si>
    <t>DH_SP</t>
  </si>
  <si>
    <t>Output</t>
  </si>
  <si>
    <t>ModBus Baud Rate</t>
  </si>
  <si>
    <t>ModBus Type</t>
  </si>
  <si>
    <t>ModBus Adress</t>
  </si>
  <si>
    <t>Passwrod HMI</t>
  </si>
  <si>
    <t>Controller Output #</t>
  </si>
  <si>
    <t>Password HMI</t>
  </si>
  <si>
    <t>P2025-1010</t>
  </si>
  <si>
    <t>Circuit 1 Status</t>
  </si>
  <si>
    <t>C1-Sts</t>
  </si>
  <si>
    <t>Circuit 1 Modulation</t>
  </si>
  <si>
    <t>C1_Mod</t>
  </si>
  <si>
    <t>Circuit 1 Alarm</t>
  </si>
  <si>
    <t>C1_Alm</t>
  </si>
  <si>
    <t>Alarm</t>
  </si>
  <si>
    <t>OK/FAULT</t>
  </si>
  <si>
    <t>Compressor 1-A Enable</t>
  </si>
  <si>
    <t>Cp_En1-A</t>
  </si>
  <si>
    <t>Compressor 1-B Enable</t>
  </si>
  <si>
    <t>Cp_En1-B</t>
  </si>
  <si>
    <t>Compressor 1-A Modulation</t>
  </si>
  <si>
    <t>Cp_Mod1-A</t>
  </si>
  <si>
    <t>Compressor 1-B Modulation</t>
  </si>
  <si>
    <t>Cp_Mod1-B</t>
  </si>
  <si>
    <t>Compressor 1-C Enable</t>
  </si>
  <si>
    <t>Cp_En1-C</t>
  </si>
  <si>
    <t>Circuit 1 condenser Fan Enable</t>
  </si>
  <si>
    <t>Cd-F_En1</t>
  </si>
  <si>
    <t>Compressor 1-C Modulation</t>
  </si>
  <si>
    <t>Cp_Mod1-C</t>
  </si>
  <si>
    <t>Circuit 1 condenser Fan Modulation</t>
  </si>
  <si>
    <t>Cd-F_Mod1</t>
  </si>
  <si>
    <t>Circuit 1 Cooling Electric Expansion Valve Enable</t>
  </si>
  <si>
    <t>EEV-C_En1</t>
  </si>
  <si>
    <t>CCH_En1</t>
  </si>
  <si>
    <t>Circuit 1 Oil Solenoide Valve</t>
  </si>
  <si>
    <t>Oil_Vlv_En1</t>
  </si>
  <si>
    <t>Circuit 1 Reheat Valve</t>
  </si>
  <si>
    <t>Rht-Vlv_Mod1</t>
  </si>
  <si>
    <t>Circuit 1 Reversing Valve</t>
  </si>
  <si>
    <t>Rev-Vlv_En1</t>
  </si>
  <si>
    <t>Circuit 1 Heating Electric Expansion Valve Enable</t>
  </si>
  <si>
    <t>EEV-H_En1</t>
  </si>
  <si>
    <t>Circuit 1 Electric Expansion Valve Enable Vapor Injection</t>
  </si>
  <si>
    <t>EEV-VI_En1</t>
  </si>
  <si>
    <t>Compressor 2-A Enable</t>
  </si>
  <si>
    <t>Cp_En2-A</t>
  </si>
  <si>
    <t>Compressor 2-B Enable</t>
  </si>
  <si>
    <t>Cp_En2-B</t>
  </si>
  <si>
    <t>Compressor 2-A Modulation</t>
  </si>
  <si>
    <t>Cp_Mod2-A</t>
  </si>
  <si>
    <t>Compressor 2-B Modulation</t>
  </si>
  <si>
    <t>Cp_Mod2-B</t>
  </si>
  <si>
    <t>Compressor 2-C Enable</t>
  </si>
  <si>
    <t>Cp_En2-C</t>
  </si>
  <si>
    <t>Circuit 2 condenser Fan Enable</t>
  </si>
  <si>
    <t>Cd-F_En2</t>
  </si>
  <si>
    <t>Compressor 2-C Modulation</t>
  </si>
  <si>
    <t>Cp_Mod2-C</t>
  </si>
  <si>
    <t>Circuit 2 condenser Fan Modulation</t>
  </si>
  <si>
    <t>Cd-F_Mod2</t>
  </si>
  <si>
    <t>Circuit 2 Cooling Electric Expansion Valve Enable</t>
  </si>
  <si>
    <t>EEV-C_En2</t>
  </si>
  <si>
    <t>Circuit 2 Oil Solenoide Valve</t>
  </si>
  <si>
    <t>Oil_Vlv_En2</t>
  </si>
  <si>
    <t>Circuit 2 Reversing Valve</t>
  </si>
  <si>
    <t>Rev-Vlv_En2</t>
  </si>
  <si>
    <t>Circuit 2 Heating Electric Expansion Valve Enable</t>
  </si>
  <si>
    <t>EEV-H_En2</t>
  </si>
  <si>
    <t>Circuit 2 Reheat Valve</t>
  </si>
  <si>
    <t>Rht-Vlv_Mod2</t>
  </si>
  <si>
    <t>Circuit 2 Electric Expansion Valve Enable Vapor Injection</t>
  </si>
  <si>
    <t>EEV-VI_En2</t>
  </si>
  <si>
    <t>Compressor 3-A Enable</t>
  </si>
  <si>
    <t>Cp_En3-A</t>
  </si>
  <si>
    <t>Compressor 3-B Enable</t>
  </si>
  <si>
    <t>Cp_En3-B</t>
  </si>
  <si>
    <t>Compressor 3-A Modulation</t>
  </si>
  <si>
    <t>Cp_Mod3-A</t>
  </si>
  <si>
    <t>Compressor 3-B Modulation</t>
  </si>
  <si>
    <t>Cp_Mod3-B</t>
  </si>
  <si>
    <t>Compressor 3-C Enable</t>
  </si>
  <si>
    <t>Cp_En3-C</t>
  </si>
  <si>
    <t>Circuit 3 condenser Fan Enable</t>
  </si>
  <si>
    <t>Cd-F_En3</t>
  </si>
  <si>
    <t>Compressor 3-C Modulation</t>
  </si>
  <si>
    <t>Cp_Mod3-C</t>
  </si>
  <si>
    <t>Circuit 3 condenser Fan Modulation</t>
  </si>
  <si>
    <t>Cd-F_Mod3</t>
  </si>
  <si>
    <t>Circuit 3 Cooling Electric Expansion Valve Enable</t>
  </si>
  <si>
    <t>EEV-C_En3</t>
  </si>
  <si>
    <t>Circuit 3 Oil Solenoide Valve</t>
  </si>
  <si>
    <t>Oil_Vlv_En3</t>
  </si>
  <si>
    <t>Circuit 3 Reversing Valve</t>
  </si>
  <si>
    <t>Rev-Vlv_En3</t>
  </si>
  <si>
    <t>Circuit 3 Heating Electric Expansion Valve Enable</t>
  </si>
  <si>
    <t>EEV-H_En3</t>
  </si>
  <si>
    <t>Circuit 3 Electric Expansion Valve Enable Vapor Injection</t>
  </si>
  <si>
    <t>EEV-VI_En3</t>
  </si>
  <si>
    <t>Circuit 3 Reheat Valve</t>
  </si>
  <si>
    <t>Rht-Vlv_Mod3</t>
  </si>
  <si>
    <t>AO</t>
  </si>
  <si>
    <t>BO</t>
  </si>
  <si>
    <t>Variable</t>
  </si>
  <si>
    <t>Level 7:  Change Values in HMI or BMS (not password)</t>
  </si>
  <si>
    <t xml:space="preserve"> Level 8: Change Values in HMI (password: 1691)</t>
  </si>
  <si>
    <t xml:space="preserve"> Level 9: Password HMI or BMSYear + (month x 232) + (day x 21)</t>
  </si>
  <si>
    <t>Minimum Value</t>
  </si>
  <si>
    <t>Maximum Value</t>
  </si>
  <si>
    <t>Default Value</t>
  </si>
  <si>
    <t>Priority</t>
  </si>
  <si>
    <t>Column1</t>
  </si>
  <si>
    <t>Column2</t>
  </si>
  <si>
    <t>Cooling Enable</t>
  </si>
  <si>
    <t>Clg_En</t>
  </si>
  <si>
    <t>Heating Enable</t>
  </si>
  <si>
    <t>Htg_En</t>
  </si>
  <si>
    <t>Dehumidification modulation</t>
  </si>
  <si>
    <t>Deh_Mod</t>
  </si>
  <si>
    <t>R410a Refrigerant Saturated Vapor Temperature</t>
  </si>
  <si>
    <t>R410aSVT</t>
  </si>
  <si>
    <t>R410a Refrigerant Saturated Liquid Temperature</t>
  </si>
  <si>
    <t xml:space="preserve"> R410aSLT</t>
  </si>
  <si>
    <t>Maximum Suction pressure</t>
  </si>
  <si>
    <t>Max_SP</t>
  </si>
  <si>
    <t>Maximum Discharge Pressure</t>
  </si>
  <si>
    <t>Max_DP</t>
  </si>
  <si>
    <t>Equ.</t>
  </si>
  <si>
    <t>Minimum Cooling Suction pressure</t>
  </si>
  <si>
    <t>MinC_SP</t>
  </si>
  <si>
    <t>Minimum Heating Suction pressure</t>
  </si>
  <si>
    <t>MinH_SP</t>
  </si>
  <si>
    <t>Minimum Discharge Pressure</t>
  </si>
  <si>
    <t>Min_DP</t>
  </si>
  <si>
    <t>Maximum Dicharge Temperature</t>
  </si>
  <si>
    <t>Max_DT</t>
  </si>
  <si>
    <t>Condensing Unit 1 Enable</t>
  </si>
  <si>
    <t>CU_En1</t>
  </si>
  <si>
    <t>Condensing Unit 1 modulation</t>
  </si>
  <si>
    <t>CU_Mod1</t>
  </si>
  <si>
    <t>Saturated Suction Temperature circuit 1</t>
  </si>
  <si>
    <t>SST1</t>
  </si>
  <si>
    <t>Saturated Discharge Temperature Circuit 1</t>
  </si>
  <si>
    <t>SDT1</t>
  </si>
  <si>
    <t>Saturated Liquid Temperature Circuit 1</t>
  </si>
  <si>
    <t>SLT1</t>
  </si>
  <si>
    <t>Suction Superheat Circuit 1</t>
  </si>
  <si>
    <t>Suc_SH1</t>
  </si>
  <si>
    <t>Discharge Superheat Circuit 1</t>
  </si>
  <si>
    <t>Dis_SH1</t>
  </si>
  <si>
    <t>Liquid Subcooling Circuit 1</t>
  </si>
  <si>
    <t>Liq_SC1</t>
  </si>
  <si>
    <t>Condenser Approach Circuit 1</t>
  </si>
  <si>
    <t>Cond_Ap1</t>
  </si>
  <si>
    <t>Circuit 1 Compressor 1 Anti Short Cycling</t>
  </si>
  <si>
    <t>Comp_ASC1-1</t>
  </si>
  <si>
    <t>300 sec</t>
  </si>
  <si>
    <t>sec</t>
  </si>
  <si>
    <t>Circuit 1 Compressor 2 Anti Short Cycling</t>
  </si>
  <si>
    <t>Comp_ASC1-2</t>
  </si>
  <si>
    <t>Circuit 1 Compressor 3 Anti Short Cycling</t>
  </si>
  <si>
    <t>Comp_ASC1-3</t>
  </si>
  <si>
    <t>Circuit 1 Compressor 4 Anti Short Cycling</t>
  </si>
  <si>
    <t>Comp_ASC1-4</t>
  </si>
  <si>
    <t>Circuit 1 Oil Boost Timer</t>
  </si>
  <si>
    <t>OBTmr1</t>
  </si>
  <si>
    <t>min</t>
  </si>
  <si>
    <t>Circuit 1 Pump Down</t>
  </si>
  <si>
    <t>Pmp_D1</t>
  </si>
  <si>
    <t>Condensing Unit 2 Enable</t>
  </si>
  <si>
    <t>CU_En2</t>
  </si>
  <si>
    <t>Condensing Unit 2 modulation</t>
  </si>
  <si>
    <t>CU_Mod2</t>
  </si>
  <si>
    <t>Saturated Suction Temperature circuit 2</t>
  </si>
  <si>
    <t>SST2</t>
  </si>
  <si>
    <t>Saturated Discharge Temperature Circuit 2</t>
  </si>
  <si>
    <t>SDT2</t>
  </si>
  <si>
    <t>Saturated Liquid Temperature Circuit 2</t>
  </si>
  <si>
    <t>SLT2</t>
  </si>
  <si>
    <t>Suction Superheat Circuit 2</t>
  </si>
  <si>
    <t>Suc_SH2</t>
  </si>
  <si>
    <t>Discharge Superheat Circuit 2</t>
  </si>
  <si>
    <t>Dis_SH2</t>
  </si>
  <si>
    <t>Liquid Subcooling Circuit 2</t>
  </si>
  <si>
    <t>Liq_SC2</t>
  </si>
  <si>
    <t>Condenser Approach Circuit 2</t>
  </si>
  <si>
    <t>Cond_Ap2</t>
  </si>
  <si>
    <t>Circuit 2 Compressor 1 Anti Short Cycling</t>
  </si>
  <si>
    <t>Comp_ASC2-1</t>
  </si>
  <si>
    <t>Circuit 2 Compressor 2 Anti Short Cycling</t>
  </si>
  <si>
    <t>Comp_ASC2-2</t>
  </si>
  <si>
    <t>Circuit 2 Compressor 3 Anti Short Cycling</t>
  </si>
  <si>
    <t>Comp_ASC2-3</t>
  </si>
  <si>
    <t>Circuit 2 Compressor 4 Anti Short Cycling</t>
  </si>
  <si>
    <t>Comp_ASC2-4</t>
  </si>
  <si>
    <t>Circuit 2 Oil Boost Timer</t>
  </si>
  <si>
    <t>OBTmr2</t>
  </si>
  <si>
    <t>Circuit 2 Pump Down</t>
  </si>
  <si>
    <t>Pmp_D2</t>
  </si>
  <si>
    <t>Condensing Unit 3 Enable</t>
  </si>
  <si>
    <t>CU_En3</t>
  </si>
  <si>
    <t>Condensing Unit 3 modulation</t>
  </si>
  <si>
    <t>CU_Mod3</t>
  </si>
  <si>
    <t>Saturated Suction Temperature circuit 3</t>
  </si>
  <si>
    <t>SST3</t>
  </si>
  <si>
    <t>Saturated Discharge Temperature Circuit 3</t>
  </si>
  <si>
    <t>SDT3</t>
  </si>
  <si>
    <t>Saturated Liquid Temperature Circuit 3</t>
  </si>
  <si>
    <t>SLT3</t>
  </si>
  <si>
    <t>Suction Superheat Circuit 3</t>
  </si>
  <si>
    <t>Suc_SH3</t>
  </si>
  <si>
    <t>Discharge Superheat Circuit 3</t>
  </si>
  <si>
    <t>Dis_SH3</t>
  </si>
  <si>
    <t>Liquid Subcooling Circuit 3</t>
  </si>
  <si>
    <t>Liq_SC3</t>
  </si>
  <si>
    <t>Condenser Approach Circuit 3</t>
  </si>
  <si>
    <t>C0nd_Ap3</t>
  </si>
  <si>
    <t>Circuit 3 Compressor 1 Anti Short Cycling</t>
  </si>
  <si>
    <t>Comp_ASC3-1</t>
  </si>
  <si>
    <t>Circuit 3 Compressor 2 Anti Short Cycling</t>
  </si>
  <si>
    <t>Comp_ASC3-2</t>
  </si>
  <si>
    <t>Circuit 3 Compressor 3 Anti Short Cycling</t>
  </si>
  <si>
    <t>Comp_ASC3-3</t>
  </si>
  <si>
    <t>Circuit 3 Compressor 4 Anti Short Cycling</t>
  </si>
  <si>
    <t>Comp_ASC3-4</t>
  </si>
  <si>
    <t>Circuit 3 Oil Boost Timer</t>
  </si>
  <si>
    <t>OBTmr3</t>
  </si>
  <si>
    <t>Pmp_D3</t>
  </si>
  <si>
    <t>Condensing Unit 4 Enable</t>
  </si>
  <si>
    <t>CU_En4</t>
  </si>
  <si>
    <t>Condensing Unit 4 modulation</t>
  </si>
  <si>
    <t>CU_Mod4</t>
  </si>
  <si>
    <t>Saturated Suction Temperature circuit 4</t>
  </si>
  <si>
    <t>SST4</t>
  </si>
  <si>
    <t>Saturated Discharge Temperature Circuit 4</t>
  </si>
  <si>
    <t>SDT4</t>
  </si>
  <si>
    <t>Saturated Liquid Temperature Circuit 4</t>
  </si>
  <si>
    <t>SLT4</t>
  </si>
  <si>
    <t>Suction Superheat Circuit 4</t>
  </si>
  <si>
    <t>Suc_SH4</t>
  </si>
  <si>
    <t>Discharge Superheat Circuit 4</t>
  </si>
  <si>
    <t>Dis_SH4</t>
  </si>
  <si>
    <t>Liquid Subcooling Circuit 4</t>
  </si>
  <si>
    <t>Liq_SC4</t>
  </si>
  <si>
    <t>Condenser Approach Circuit 4</t>
  </si>
  <si>
    <t>Cond_Ap4</t>
  </si>
  <si>
    <t>Circuit 4 Compressor 1 Anti Short Cycling</t>
  </si>
  <si>
    <t>Comp_ASC4-1</t>
  </si>
  <si>
    <t>Circuit 4 Compressor 2 Anti Short Cycling</t>
  </si>
  <si>
    <t>Comp_ASC4-2</t>
  </si>
  <si>
    <t>Circuit 4 Compressor 3 Anti Short Cycling</t>
  </si>
  <si>
    <t>Comp_ASC4-3</t>
  </si>
  <si>
    <t>Circuit 4 Compressor 4 Anti Short Cycling</t>
  </si>
  <si>
    <t>Comp_ASC4-4</t>
  </si>
  <si>
    <t>Circuit 4 Oil Boost Timer</t>
  </si>
  <si>
    <t>OBTmr4</t>
  </si>
  <si>
    <t>Pmp_D4</t>
  </si>
  <si>
    <t>Condensing Unit 5 Enable</t>
  </si>
  <si>
    <t>CU_En5</t>
  </si>
  <si>
    <t>Condensing Unit 5 modulation</t>
  </si>
  <si>
    <t>CU_Mod5</t>
  </si>
  <si>
    <t>Saturated Suction Temperature circuit 5</t>
  </si>
  <si>
    <t>SST5</t>
  </si>
  <si>
    <t>Saturated Discharge Temperature Circuit 5</t>
  </si>
  <si>
    <t>SDT5</t>
  </si>
  <si>
    <t>Saturated Liquid Temperature Circuit 5</t>
  </si>
  <si>
    <t>SLT5</t>
  </si>
  <si>
    <t>Suction Superheat Circuit 5</t>
  </si>
  <si>
    <t>Suc_SH5</t>
  </si>
  <si>
    <t>Discharge Superheat Circuit 5</t>
  </si>
  <si>
    <t>Dis_SH5</t>
  </si>
  <si>
    <t>Liquid Subcooling Circuit 5</t>
  </si>
  <si>
    <t>Liq_SC5</t>
  </si>
  <si>
    <t>Condenser Approach Circuit 5</t>
  </si>
  <si>
    <t>Cond_Ap5</t>
  </si>
  <si>
    <t>Circuit 5 Compressor 1 Anti Short Cycling</t>
  </si>
  <si>
    <t>Comp_ASC5-1</t>
  </si>
  <si>
    <t>Circuit 5 Compressor 2 Anti Short Cycling</t>
  </si>
  <si>
    <t>Comp_ASC5-2</t>
  </si>
  <si>
    <t>Circuit 5 Compressor 3 Anti Short Cycling</t>
  </si>
  <si>
    <t>Comp_ASC5-3</t>
  </si>
  <si>
    <t>Circuit 5 Compressor 5 Anti Short Cycling</t>
  </si>
  <si>
    <t>Comp_ASC5-4</t>
  </si>
  <si>
    <t>Circuit 5 Oil Boost Timer</t>
  </si>
  <si>
    <t>OBTmr5</t>
  </si>
  <si>
    <t>Pmp_D5</t>
  </si>
  <si>
    <t>Condensing Unit 6 Enable</t>
  </si>
  <si>
    <t>CU_En6</t>
  </si>
  <si>
    <t>Condensing Unit 6 modulation</t>
  </si>
  <si>
    <t>CU_Mod6</t>
  </si>
  <si>
    <t>Saturated Suction Temperature circuit 6</t>
  </si>
  <si>
    <t>SST6</t>
  </si>
  <si>
    <t>Saturated Discharge Temperature Circuit 6</t>
  </si>
  <si>
    <t>SDT6</t>
  </si>
  <si>
    <t>Saturated Liquid Temperature Circuit 6</t>
  </si>
  <si>
    <t>SLT6</t>
  </si>
  <si>
    <t>Suction Superheat Circuit 6</t>
  </si>
  <si>
    <t>Suc_SH6</t>
  </si>
  <si>
    <t>Discharge Superheat Circuit 6</t>
  </si>
  <si>
    <t>Dis_SH6</t>
  </si>
  <si>
    <t>Liquid Subcooling Circuit 6</t>
  </si>
  <si>
    <t>Liq_SC6</t>
  </si>
  <si>
    <t>Condenser Approach Circuit 6</t>
  </si>
  <si>
    <t>Cond_Ap6</t>
  </si>
  <si>
    <t>Circuit 6 Compressor 1 Anti Short Cycling</t>
  </si>
  <si>
    <t>Comp_ASC6-1</t>
  </si>
  <si>
    <t>Circuit 6 Compressor 2 Anti Short Cycling</t>
  </si>
  <si>
    <t>Comp_ASC6-2</t>
  </si>
  <si>
    <t>Circuit 6 Compressor 3 Anti Short Cycling</t>
  </si>
  <si>
    <t>Comp_ASC6-3</t>
  </si>
  <si>
    <t>Circuit 6 Compressor 6 Anti Short Cycling</t>
  </si>
  <si>
    <t>Comp_ASC6-4</t>
  </si>
  <si>
    <t>Circuit 6 Oil Boost Timer</t>
  </si>
  <si>
    <t>OBTmr6</t>
  </si>
  <si>
    <t>Pmp_D6</t>
  </si>
  <si>
    <t>Reset</t>
  </si>
  <si>
    <t>Reverse Rotation Alarm</t>
  </si>
  <si>
    <t>AL-RevRot</t>
  </si>
  <si>
    <t>Low Suction Pressure Circuit 1</t>
  </si>
  <si>
    <t>AL_LoSP1</t>
  </si>
  <si>
    <t>High Suction Pressure Circuit 1</t>
  </si>
  <si>
    <t>AL_HiSP1</t>
  </si>
  <si>
    <t>Low Discharge Pressure Circuit 1</t>
  </si>
  <si>
    <t>AL_LoDP1</t>
  </si>
  <si>
    <t>High Dishcharge Pressure Circuit 1</t>
  </si>
  <si>
    <t>AL_HiDP1</t>
  </si>
  <si>
    <t>High Dishcharge Temperature Circuit 1</t>
  </si>
  <si>
    <t>AL_HiDT1</t>
  </si>
  <si>
    <t>Low Suction Superheat Circuit 1</t>
  </si>
  <si>
    <t>AL_LoSSH1</t>
  </si>
  <si>
    <t>Low Dishcharge Temperature Circuit 1</t>
  </si>
  <si>
    <t>AL_LoDT1</t>
  </si>
  <si>
    <t>Suction Pressure Out of  Range Circuit 1</t>
  </si>
  <si>
    <t>AL_OutRngSucP1</t>
  </si>
  <si>
    <t xml:space="preserve">Discharge Pressure Out of Range Circuit 1 </t>
  </si>
  <si>
    <t>AL_OutRngDisP1</t>
  </si>
  <si>
    <t xml:space="preserve">Suction Temperature Out of  Range Circuit 1 </t>
  </si>
  <si>
    <t>AL_OutRngSucT1</t>
  </si>
  <si>
    <t xml:space="preserve">Discharge temperature Out of Range Circuit 1 </t>
  </si>
  <si>
    <t>AL_OutRngDisT1</t>
  </si>
  <si>
    <t>Low Suction Pressure Circuit 2</t>
  </si>
  <si>
    <t>AL_LoSP2</t>
  </si>
  <si>
    <t>High Suction Pressure Circuit 2</t>
  </si>
  <si>
    <t>AL_HiSP2</t>
  </si>
  <si>
    <t>Low Discharge Pressure Circuit 2</t>
  </si>
  <si>
    <t>AL_LoDP2</t>
  </si>
  <si>
    <t>High Dishcharge Pressure Circuit 2</t>
  </si>
  <si>
    <t>AL_HiDP2</t>
  </si>
  <si>
    <t>High Dishcharge Temperature Circuit 2</t>
  </si>
  <si>
    <t>AL_HiDT2</t>
  </si>
  <si>
    <t>Low Suction Superheat Circuit 2</t>
  </si>
  <si>
    <t>AL_LoSSH2</t>
  </si>
  <si>
    <t>Low Dishcharge Temperature Circuit 2</t>
  </si>
  <si>
    <t>AL_LoDT2</t>
  </si>
  <si>
    <t>Suction Pressure Out of  Range Circuit 2</t>
  </si>
  <si>
    <t>AL_OutRngSucP2</t>
  </si>
  <si>
    <t>Discharge Pressure Out of Range Circuit 2</t>
  </si>
  <si>
    <t>AL_OutRngDisP2</t>
  </si>
  <si>
    <t>Suction Temperature Out of  Range Circuit 2</t>
  </si>
  <si>
    <t>AL_OutRngSucT2</t>
  </si>
  <si>
    <t>Discharge temperature Out of Range Circuit 2</t>
  </si>
  <si>
    <t>AL_OutRngDisT2</t>
  </si>
  <si>
    <t>Low Suction Pressure Circuit 3</t>
  </si>
  <si>
    <t>AL_LoSP3</t>
  </si>
  <si>
    <t>High Suction Pressure Circuit 3</t>
  </si>
  <si>
    <t>AL_HiSP3</t>
  </si>
  <si>
    <t>Low Discharge Pressure Circuit 3</t>
  </si>
  <si>
    <t>AL_LoDP3</t>
  </si>
  <si>
    <t>High Dishcharge Pressure Circuit 3</t>
  </si>
  <si>
    <t>AL_HiDP3</t>
  </si>
  <si>
    <t>High Dishcharge Temperature Circuit 3</t>
  </si>
  <si>
    <t>AL_HiDT3</t>
  </si>
  <si>
    <t>Low Suction Superheat Circuit 3</t>
  </si>
  <si>
    <t>AL_LoSSH3</t>
  </si>
  <si>
    <t>Low Dishcharge Temperature Circuit 3</t>
  </si>
  <si>
    <t>AL_LoDT3</t>
  </si>
  <si>
    <t>Suction Pressure Out of  Range Circuit 3</t>
  </si>
  <si>
    <t>AL_OutRngSucP3</t>
  </si>
  <si>
    <t>Discharge Pressure Out of Range Circuit 3</t>
  </si>
  <si>
    <t>AL_OutRngDisP3</t>
  </si>
  <si>
    <t>Suction Temperature Out of  Range Circuit 3</t>
  </si>
  <si>
    <t>AL_OutRngSucT3</t>
  </si>
  <si>
    <t>Discharge temperature Out of Range Circuit 3</t>
  </si>
  <si>
    <t>AL_OutRngDisT3</t>
  </si>
  <si>
    <t>Low Suction Pressure Circuit 4</t>
  </si>
  <si>
    <t>AL_LoSP4</t>
  </si>
  <si>
    <t>High Suction Pressure Circuit 4</t>
  </si>
  <si>
    <t>AL_HiSP4</t>
  </si>
  <si>
    <t>Low Discharge Pressure Circuit 4</t>
  </si>
  <si>
    <t>AL_LoDP4</t>
  </si>
  <si>
    <t>High Dishcharge Pressure Circuit 4</t>
  </si>
  <si>
    <t>AL_HiDP4</t>
  </si>
  <si>
    <t>High Dishcharge Temperature Circuit 4</t>
  </si>
  <si>
    <t>AL_HiDT4</t>
  </si>
  <si>
    <t>Low Suction Superheat Circuit 4</t>
  </si>
  <si>
    <t>AL_LoSSH4</t>
  </si>
  <si>
    <t>Low Dishcharge Temperature Circuit 4</t>
  </si>
  <si>
    <t>AL_LoDT4</t>
  </si>
  <si>
    <t>Suction Pressure Out of  Range Circuit 4</t>
  </si>
  <si>
    <t>AL_OutRngSucP4</t>
  </si>
  <si>
    <t>Discharge Pressure Out of Range Circuit 4</t>
  </si>
  <si>
    <t>AL_OutRngDisP4</t>
  </si>
  <si>
    <t>Suction Temperature Out of  Range Circuit 4</t>
  </si>
  <si>
    <t>AL_OutRngSucT4</t>
  </si>
  <si>
    <t>Discharge temperature Out of Range Circuit 4</t>
  </si>
  <si>
    <t>AL_OutRngDisT4</t>
  </si>
  <si>
    <t>Low Suction Pressure Circuit 5</t>
  </si>
  <si>
    <t>AL_LoSP5</t>
  </si>
  <si>
    <t>High Suction Pressure Circuit 5</t>
  </si>
  <si>
    <t>AL_HiSP5</t>
  </si>
  <si>
    <t>Low Discharge Pressure Circuit 5</t>
  </si>
  <si>
    <t>AL_LoDP5</t>
  </si>
  <si>
    <t>High Dishcharge Pressure Circuit 5</t>
  </si>
  <si>
    <t>AL_HiDP5</t>
  </si>
  <si>
    <t>High Dishcharge Temperature Circuit 5</t>
  </si>
  <si>
    <t>AL_HiDT5</t>
  </si>
  <si>
    <t>Low Suction Superheat Circuit 5</t>
  </si>
  <si>
    <t>AL_LoSSH5</t>
  </si>
  <si>
    <t>Low Dishcharge Temperature Circuit 5</t>
  </si>
  <si>
    <t>AL_LoDT5</t>
  </si>
  <si>
    <t>Suction Pressure Out of  Range Circuit 5</t>
  </si>
  <si>
    <t>AL_OutRngSucP5</t>
  </si>
  <si>
    <t>Discharge Pressure Out of Range Circuit 5</t>
  </si>
  <si>
    <t>AL_OutRngDisP5</t>
  </si>
  <si>
    <t>Suction Temperature Out of  Range Circuit 5</t>
  </si>
  <si>
    <t>AL_OutRngSucT5</t>
  </si>
  <si>
    <t>Discharge temperature Out of Range Circuit 5</t>
  </si>
  <si>
    <t>AL_OutRngDisT5</t>
  </si>
  <si>
    <t>Low Suction Pressure Circuit 6</t>
  </si>
  <si>
    <t>AL_LoSP6</t>
  </si>
  <si>
    <t>High Suction Pressure Circuit 6</t>
  </si>
  <si>
    <t>AL_HiSP6</t>
  </si>
  <si>
    <t>Low Discharge Pressure Circuit 6</t>
  </si>
  <si>
    <t>AL_LoDP6</t>
  </si>
  <si>
    <t>High Dishcharge Pressure Circuit 6</t>
  </si>
  <si>
    <t>AL_HiDP6</t>
  </si>
  <si>
    <t>High Dishcharge Temperature Circuit 6</t>
  </si>
  <si>
    <t>AL_HiDT6</t>
  </si>
  <si>
    <t>Low Suction Superheat Circuit 6</t>
  </si>
  <si>
    <t>AL_LoSSH6</t>
  </si>
  <si>
    <t>Low Dishcharge Temperature Circuit 6</t>
  </si>
  <si>
    <t>AL_LoDT6</t>
  </si>
  <si>
    <t>Suction Pressure Out of  Range Circuit 6</t>
  </si>
  <si>
    <t>AL_OutRngSucP6</t>
  </si>
  <si>
    <t>Discharge Pressure Out of Range Circuit 6</t>
  </si>
  <si>
    <t>AL_OutRngDisP6</t>
  </si>
  <si>
    <t>Suction Temperature Out of  Range Circuit 6</t>
  </si>
  <si>
    <t>AL_OutRngSucT6</t>
  </si>
  <si>
    <t>Discharge temperature Out of Range Circuit 6</t>
  </si>
  <si>
    <t>AL_OutRngDisT6</t>
  </si>
  <si>
    <t>Level 7</t>
  </si>
  <si>
    <t>Level 8</t>
  </si>
  <si>
    <t>PSI</t>
  </si>
  <si>
    <t>Level 9</t>
  </si>
  <si>
    <t>Level 10</t>
  </si>
  <si>
    <t>"W.G.</t>
  </si>
  <si>
    <t>Level 11</t>
  </si>
  <si>
    <t>AI</t>
  </si>
  <si>
    <t>BI</t>
  </si>
  <si>
    <t>Auto</t>
  </si>
  <si>
    <t>CFM</t>
  </si>
  <si>
    <t>Manual</t>
  </si>
  <si>
    <t>BTU/hr</t>
  </si>
  <si>
    <t>%rh</t>
  </si>
  <si>
    <t>m/s</t>
  </si>
  <si>
    <t>Pa</t>
  </si>
  <si>
    <t>Hz</t>
  </si>
  <si>
    <t>AV</t>
  </si>
  <si>
    <t>Vdc</t>
  </si>
  <si>
    <t>ppm</t>
  </si>
  <si>
    <t xml:space="preserve"> 0 - 100°F</t>
  </si>
  <si>
    <t>Read</t>
  </si>
  <si>
    <t>Btu/lb</t>
  </si>
  <si>
    <t xml:space="preserve"> -40 - 185°C</t>
  </si>
  <si>
    <t>Read/Write</t>
  </si>
  <si>
    <t xml:space="preserve"> -18 - 38°C</t>
  </si>
  <si>
    <t xml:space="preserve"> -40 - 149°C</t>
  </si>
  <si>
    <t xml:space="preserve"> -40 - 70°C</t>
  </si>
  <si>
    <t>STOP/START</t>
  </si>
  <si>
    <t>0-700 PSIG</t>
  </si>
  <si>
    <t>0-300 PSIG</t>
  </si>
  <si>
    <t>UNOCC/OCC</t>
  </si>
  <si>
    <t xml:space="preserve">0-5 "W.C. </t>
  </si>
  <si>
    <t>LOCAL/REMOTE</t>
  </si>
  <si>
    <t>0-2 "W.C.</t>
  </si>
  <si>
    <t>COOLING/HEATING</t>
  </si>
  <si>
    <t>0-10 "W.C.</t>
  </si>
  <si>
    <t>0-1 "W.C.</t>
  </si>
  <si>
    <t>NOT RESET/RESET</t>
  </si>
  <si>
    <t>20 - 120°F</t>
  </si>
  <si>
    <t>FAULT/OK</t>
  </si>
  <si>
    <t>0-15 m/s</t>
  </si>
  <si>
    <t>OK/FROST</t>
  </si>
  <si>
    <t>0-500 Pa</t>
  </si>
  <si>
    <t>Bar</t>
  </si>
  <si>
    <t>0-1250 Pa</t>
  </si>
  <si>
    <t>0-2500 Pa</t>
  </si>
  <si>
    <t>0-5V</t>
  </si>
  <si>
    <t>0-2000 ppm</t>
  </si>
  <si>
    <t>0-48 Bar</t>
  </si>
  <si>
    <t>0-20 Bar</t>
  </si>
  <si>
    <t>4830ppm</t>
  </si>
  <si>
    <t>BACnet IP</t>
  </si>
  <si>
    <t>BACnet MS/TP</t>
  </si>
  <si>
    <t>LonWorks</t>
  </si>
  <si>
    <t>AHU</t>
  </si>
  <si>
    <t>DOAS</t>
  </si>
  <si>
    <t>MAU</t>
  </si>
  <si>
    <t>208V/ 3/ 60</t>
  </si>
  <si>
    <t>575V/ 3/ 60</t>
  </si>
  <si>
    <t>OADamper_Sts1</t>
  </si>
  <si>
    <t>Oudoor Air Damper Status 1</t>
  </si>
  <si>
    <t>Oudoor Air Damper Status 2</t>
  </si>
  <si>
    <t>OADamper_Sts2</t>
  </si>
  <si>
    <t>DI804</t>
  </si>
  <si>
    <t>Gas sensor alarm</t>
  </si>
  <si>
    <t>GAS_ALM</t>
  </si>
  <si>
    <t>4-20A</t>
  </si>
  <si>
    <t>10k t2</t>
  </si>
  <si>
    <t>AI316</t>
  </si>
  <si>
    <t>BI307</t>
  </si>
  <si>
    <t> </t>
  </si>
  <si>
    <t>AI301</t>
  </si>
  <si>
    <t>AI302</t>
  </si>
  <si>
    <t>BI301</t>
  </si>
  <si>
    <t>BI302</t>
  </si>
  <si>
    <t>BI303</t>
  </si>
  <si>
    <t>BI304</t>
  </si>
  <si>
    <t xml:space="preserve">Circuit 2 Low oil level </t>
  </si>
  <si>
    <t xml:space="preserve">Circuit 3Low oil level </t>
  </si>
  <si>
    <t xml:space="preserve">Gas sensor </t>
  </si>
  <si>
    <t>Gas_Sns</t>
  </si>
  <si>
    <t>Circuit 1 Crankcase Heater</t>
  </si>
  <si>
    <t>Condensing Unit Demand</t>
  </si>
  <si>
    <t>CU_Dem</t>
  </si>
  <si>
    <t>Digital</t>
  </si>
  <si>
    <t>AI202</t>
  </si>
  <si>
    <t>AI505</t>
  </si>
  <si>
    <t>DI101</t>
  </si>
  <si>
    <t>AI103</t>
  </si>
  <si>
    <t>DI104</t>
  </si>
  <si>
    <t>DI105</t>
  </si>
  <si>
    <t>AI106</t>
  </si>
  <si>
    <t>AI107</t>
  </si>
  <si>
    <t>AI108</t>
  </si>
  <si>
    <t>AI201</t>
  </si>
  <si>
    <t>AI203</t>
  </si>
  <si>
    <t>DI204</t>
  </si>
  <si>
    <t>DI205</t>
  </si>
  <si>
    <t>DI206</t>
  </si>
  <si>
    <t>DI207</t>
  </si>
  <si>
    <t>DI208</t>
  </si>
  <si>
    <t>DI301</t>
  </si>
  <si>
    <t>Cd_Sts1-C</t>
  </si>
  <si>
    <t>AI307</t>
  </si>
  <si>
    <t>AI308</t>
  </si>
  <si>
    <t>AI401</t>
  </si>
  <si>
    <t>AI402</t>
  </si>
  <si>
    <t>DI403</t>
  </si>
  <si>
    <t>DI404</t>
  </si>
  <si>
    <t>DI405</t>
  </si>
  <si>
    <t>DI406</t>
  </si>
  <si>
    <t>DI407</t>
  </si>
  <si>
    <t>DI408</t>
  </si>
  <si>
    <t>AI501</t>
  </si>
  <si>
    <t>AI502</t>
  </si>
  <si>
    <t>AI503</t>
  </si>
  <si>
    <t>AI504</t>
  </si>
  <si>
    <t>AI507</t>
  </si>
  <si>
    <t>AI508</t>
  </si>
  <si>
    <t>AI601</t>
  </si>
  <si>
    <t>DI603</t>
  </si>
  <si>
    <t>DI604</t>
  </si>
  <si>
    <t>DI605</t>
  </si>
  <si>
    <t>DI606</t>
  </si>
  <si>
    <t>DI607</t>
  </si>
  <si>
    <t>AI608</t>
  </si>
  <si>
    <t>AI701</t>
  </si>
  <si>
    <t>AI702</t>
  </si>
  <si>
    <t>AO105</t>
  </si>
  <si>
    <t>AO106</t>
  </si>
  <si>
    <t>AO101</t>
  </si>
  <si>
    <t>AO102</t>
  </si>
  <si>
    <t>AO103</t>
  </si>
  <si>
    <t>AO104</t>
  </si>
  <si>
    <t>DO201</t>
  </si>
  <si>
    <t>DO203</t>
  </si>
  <si>
    <t>AO204</t>
  </si>
  <si>
    <t>AO206</t>
  </si>
  <si>
    <t>DO301</t>
  </si>
  <si>
    <t>AO302</t>
  </si>
  <si>
    <t>DO303</t>
  </si>
  <si>
    <t>DO304</t>
  </si>
  <si>
    <t>DO305</t>
  </si>
  <si>
    <t>AO306</t>
  </si>
  <si>
    <t xml:space="preserve">Direct </t>
  </si>
  <si>
    <t>DO401</t>
  </si>
  <si>
    <t>DO402</t>
  </si>
  <si>
    <t>DO403</t>
  </si>
  <si>
    <t>DO406</t>
  </si>
  <si>
    <t>DO501</t>
  </si>
  <si>
    <t>AO504</t>
  </si>
  <si>
    <t>DO603</t>
  </si>
  <si>
    <t>DO606</t>
  </si>
  <si>
    <t>DO701</t>
  </si>
  <si>
    <t>DO702</t>
  </si>
  <si>
    <t>DO703</t>
  </si>
  <si>
    <t>AO801</t>
  </si>
  <si>
    <t>DO805</t>
  </si>
  <si>
    <t>DO806</t>
  </si>
  <si>
    <t>DO902</t>
  </si>
  <si>
    <t>DO903</t>
  </si>
  <si>
    <t>DO904</t>
  </si>
  <si>
    <t>AO506</t>
  </si>
  <si>
    <t>DO601</t>
  </si>
  <si>
    <t>AO604</t>
  </si>
  <si>
    <t>DO605</t>
  </si>
  <si>
    <t>DO802</t>
  </si>
  <si>
    <t>AO803</t>
  </si>
  <si>
    <t>DO804</t>
  </si>
  <si>
    <t>AO901</t>
  </si>
  <si>
    <t>Circuit 1 Low Ambient Valve A</t>
  </si>
  <si>
    <t>LA_Mod1-A</t>
  </si>
  <si>
    <t>Circuit 1 Low Ambient Valve B</t>
  </si>
  <si>
    <t>LA_Mod1-B</t>
  </si>
  <si>
    <t>Circuit 2 Low Ambient Valve A</t>
  </si>
  <si>
    <t>LA_Mod2-A</t>
  </si>
  <si>
    <t>Circuit 2 Low Ambient Valve B</t>
  </si>
  <si>
    <t>LA_Mod2-B</t>
  </si>
  <si>
    <t>Circuit 3 Low Ambient Valve A</t>
  </si>
  <si>
    <t>LA_Mod3-A</t>
  </si>
  <si>
    <t>Circuit 3 Low Ambient Valve B</t>
  </si>
  <si>
    <t>LA_Mod3-B</t>
  </si>
  <si>
    <t>Circuit 3 Crankcase Heater</t>
  </si>
  <si>
    <t>Circuit 2 Crankcase Heater</t>
  </si>
  <si>
    <t>CCH_En2</t>
  </si>
  <si>
    <t>CCH_En3</t>
  </si>
  <si>
    <t>Gas_Alm</t>
  </si>
  <si>
    <t>Gas Sensor Alarm</t>
  </si>
  <si>
    <t>DO905</t>
  </si>
  <si>
    <t>DO906</t>
  </si>
  <si>
    <t>Heat_En</t>
  </si>
  <si>
    <t>Cool_En</t>
  </si>
  <si>
    <t>Hot Gas Reheat Demand</t>
  </si>
  <si>
    <t>HGR_Dem</t>
  </si>
  <si>
    <t>TBD</t>
  </si>
  <si>
    <t>DO503</t>
  </si>
  <si>
    <t>AO602</t>
  </si>
  <si>
    <t>Circuit 1 Condenser C status</t>
  </si>
  <si>
    <t xml:space="preserve">Chilled water supply temperature </t>
  </si>
  <si>
    <t xml:space="preserve">Chilled water Exhaust temperature </t>
  </si>
  <si>
    <t xml:space="preserve">Hot water supply temperature </t>
  </si>
  <si>
    <t xml:space="preserve">Hot water Exhaust temperature </t>
  </si>
  <si>
    <t>les AI ou DI ne sont pas setté</t>
  </si>
  <si>
    <t>DI102</t>
  </si>
  <si>
    <t>Hot Water Flow Switch</t>
  </si>
  <si>
    <t>HW_FSw</t>
  </si>
  <si>
    <t>Chilled Water Flow Switch</t>
  </si>
  <si>
    <t>CW_FSw</t>
  </si>
  <si>
    <t>CW_STemp</t>
  </si>
  <si>
    <t>_FSh</t>
  </si>
  <si>
    <t>CW_XTemp</t>
  </si>
  <si>
    <t>_FSx</t>
  </si>
  <si>
    <t>HW_STemp</t>
  </si>
  <si>
    <t>_FSo</t>
  </si>
  <si>
    <t>HW_XTemp</t>
  </si>
  <si>
    <t>Chilled Water Supply valve Feedback</t>
  </si>
  <si>
    <t>CW_SV_Fdk</t>
  </si>
  <si>
    <t>Chilled Water Exhaust valve Feedback</t>
  </si>
  <si>
    <t>CW_XV_Fdk</t>
  </si>
  <si>
    <t>Hot Water Supply valve FeedBack</t>
  </si>
  <si>
    <t>HW_SV_Fdk</t>
  </si>
  <si>
    <t>Hot Water Exhaust valve FeedBack</t>
  </si>
  <si>
    <t>HW_XV_Fdk</t>
  </si>
  <si>
    <t>Heat Recovery Water Supply valve Feedback</t>
  </si>
  <si>
    <t>HRW_SV_Fdk</t>
  </si>
  <si>
    <t>Heat Recovery Water Exhaust valve Feedback</t>
  </si>
  <si>
    <t>HRW_XV_Fdk</t>
  </si>
  <si>
    <t>AO202</t>
  </si>
  <si>
    <t>DO205</t>
  </si>
  <si>
    <t>AO502</t>
  </si>
  <si>
    <t>DO505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</si>
</sst>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"/>
    <numFmt numFmtId="165" formatCode="0&quot;°C&quot;"/>
    <numFmt numFmtId="166" formatCode="0.0&quot; in&quot;"/>
    <numFmt numFmtId="167" formatCode="0.0%"/>
    <numFmt numFmtId="168" formatCode="0.0&quot; °F&quot;"/>
    <numFmt numFmtId="169" formatCode="0&quot; ft&quot;"/>
    <numFmt numFmtId="170" formatCode="0.000&quot; lb/CuFt&quot;"/>
    <numFmt numFmtId="171" formatCode="0.0&quot; HR&quot;"/>
    <numFmt numFmtId="172" formatCode="0&quot; T&quot;"/>
    <numFmt numFmtId="173" formatCode="0.0&quot; Tons&quot;"/>
    <numFmt numFmtId="174" formatCode="&quot;HI&quot;0"/>
  </numFmts>
  <fonts count="3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b/>
      <i/>
      <sz val="14"/>
      <color theme="4" tint="-0.499984740745262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b/>
      <i/>
      <sz val="16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9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7030A0"/>
      <name val="Calibri"/>
      <family val="2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7030A0"/>
      <name val="Calibri"/>
      <family val="2"/>
    </font>
    <font>
      <sz val="11"/>
      <color rgb="FF7030A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rgb="FF7030A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-0.499984740745262"/>
      </right>
      <top/>
      <bottom/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4">
    <xf numFmtId="0" fontId="0" fillId="0" borderId="0"/>
    <xf numFmtId="0" fontId="6" fillId="0" borderId="0"/>
    <xf numFmtId="0" fontId="7" fillId="0" borderId="0"/>
    <xf numFmtId="9" fontId="9" fillId="0" borderId="0" applyFont="0" applyFill="0" applyBorder="0" applyAlignment="0" applyProtection="0"/>
  </cellStyleXfs>
  <cellXfs count="193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0" applyFont="1" applyProtection="1">
      <protection locked="0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3" fillId="0" borderId="0" xfId="0" applyFont="1"/>
    <xf numFmtId="0" fontId="0" fillId="0" borderId="0" xfId="0" applyAlignment="1">
      <alignment wrapText="1"/>
    </xf>
    <xf numFmtId="49" fontId="0" fillId="0" borderId="0" xfId="0" applyNumberFormat="1" applyProtection="1">
      <protection locked="0"/>
    </xf>
    <xf numFmtId="0" fontId="0" fillId="0" borderId="0" xfId="0" applyAlignment="1">
      <alignment vertical="center" wrapText="1"/>
    </xf>
    <xf numFmtId="0" fontId="2" fillId="0" borderId="0" xfId="0" applyFont="1"/>
    <xf numFmtId="0" fontId="2" fillId="0" borderId="0" xfId="0" applyFont="1" applyProtection="1">
      <protection locked="0"/>
    </xf>
    <xf numFmtId="0" fontId="7" fillId="0" borderId="0" xfId="2"/>
    <xf numFmtId="164" fontId="0" fillId="0" borderId="0" xfId="0" applyNumberFormat="1"/>
    <xf numFmtId="165" fontId="0" fillId="0" borderId="0" xfId="0" applyNumberFormat="1" applyProtection="1">
      <protection locked="0"/>
    </xf>
    <xf numFmtId="1" fontId="0" fillId="0" borderId="0" xfId="0" applyNumberFormat="1"/>
    <xf numFmtId="49" fontId="0" fillId="0" borderId="0" xfId="0" applyNumberFormat="1"/>
    <xf numFmtId="0" fontId="0" fillId="0" borderId="0" xfId="0" applyAlignment="1">
      <alignment horizontal="right" indent="1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49" fontId="2" fillId="0" borderId="0" xfId="0" applyNumberFormat="1" applyFont="1" applyProtection="1">
      <protection locked="0"/>
    </xf>
    <xf numFmtId="0" fontId="8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0" fillId="0" borderId="1" xfId="0" applyBorder="1"/>
    <xf numFmtId="0" fontId="0" fillId="3" borderId="1" xfId="0" applyFill="1" applyBorder="1"/>
    <xf numFmtId="0" fontId="2" fillId="0" borderId="0" xfId="0" applyFont="1" applyAlignment="1" applyProtection="1">
      <alignment wrapText="1"/>
      <protection locked="0"/>
    </xf>
    <xf numFmtId="49" fontId="5" fillId="0" borderId="0" xfId="0" applyNumberFormat="1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0" fillId="4" borderId="0" xfId="0" applyFill="1"/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4" borderId="0" xfId="0" applyFill="1" applyAlignment="1">
      <alignment horizontal="right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3" fillId="4" borderId="0" xfId="0" applyFont="1" applyFill="1"/>
    <xf numFmtId="166" fontId="14" fillId="4" borderId="0" xfId="0" applyNumberFormat="1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 indent="1"/>
    </xf>
    <xf numFmtId="167" fontId="14" fillId="4" borderId="0" xfId="3" applyNumberFormat="1" applyFont="1" applyFill="1" applyBorder="1" applyAlignment="1">
      <alignment horizontal="left" vertical="center"/>
    </xf>
    <xf numFmtId="166" fontId="14" fillId="4" borderId="0" xfId="0" applyNumberFormat="1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12" fillId="4" borderId="0" xfId="0" applyFont="1" applyFill="1"/>
    <xf numFmtId="0" fontId="0" fillId="4" borderId="0" xfId="0" applyFill="1" applyAlignment="1">
      <alignment horizontal="left"/>
    </xf>
    <xf numFmtId="168" fontId="14" fillId="4" borderId="0" xfId="0" applyNumberFormat="1" applyFont="1" applyFill="1"/>
    <xf numFmtId="0" fontId="15" fillId="5" borderId="0" xfId="0" applyFont="1" applyFill="1" applyAlignment="1">
      <alignment vertical="center"/>
    </xf>
    <xf numFmtId="0" fontId="16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12" fillId="5" borderId="0" xfId="0" applyFont="1" applyFill="1" applyAlignment="1">
      <alignment vertical="center"/>
    </xf>
    <xf numFmtId="166" fontId="14" fillId="8" borderId="7" xfId="0" applyNumberFormat="1" applyFont="1" applyFill="1" applyBorder="1" applyAlignment="1">
      <alignment horizontal="left" vertical="center"/>
    </xf>
    <xf numFmtId="1" fontId="14" fillId="4" borderId="0" xfId="0" applyNumberFormat="1" applyFont="1" applyFill="1" applyAlignment="1">
      <alignment horizontal="left" vertical="center"/>
    </xf>
    <xf numFmtId="0" fontId="14" fillId="8" borderId="7" xfId="0" applyFont="1" applyFill="1" applyBorder="1" applyAlignment="1">
      <alignment horizontal="left" vertical="center"/>
    </xf>
    <xf numFmtId="173" fontId="14" fillId="4" borderId="0" xfId="0" applyNumberFormat="1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18" fillId="4" borderId="0" xfId="0" applyFont="1" applyFill="1" applyAlignment="1">
      <alignment vertical="center"/>
    </xf>
    <xf numFmtId="0" fontId="17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vertical="center"/>
    </xf>
    <xf numFmtId="168" fontId="0" fillId="0" borderId="0" xfId="0" applyNumberFormat="1" applyProtection="1">
      <protection locked="0"/>
    </xf>
    <xf numFmtId="0" fontId="21" fillId="0" borderId="0" xfId="0" applyFont="1" applyAlignment="1">
      <alignment horizontal="center" vertical="center" wrapText="1"/>
    </xf>
    <xf numFmtId="0" fontId="22" fillId="0" borderId="0" xfId="0" applyFont="1" applyProtection="1">
      <protection locked="0"/>
    </xf>
    <xf numFmtId="49" fontId="22" fillId="0" borderId="0" xfId="0" applyNumberFormat="1" applyFont="1" applyProtection="1">
      <protection locked="0"/>
    </xf>
    <xf numFmtId="0" fontId="23" fillId="0" borderId="0" xfId="0" applyFont="1" applyProtection="1">
      <protection locked="0"/>
    </xf>
    <xf numFmtId="0" fontId="22" fillId="0" borderId="0" xfId="0" applyFont="1" applyAlignment="1" applyProtection="1">
      <alignment wrapText="1"/>
      <protection locked="0"/>
    </xf>
    <xf numFmtId="0" fontId="20" fillId="0" borderId="0" xfId="0" applyFont="1" applyProtection="1">
      <protection locked="0"/>
    </xf>
    <xf numFmtId="0" fontId="24" fillId="2" borderId="0" xfId="0" applyFont="1" applyFill="1" applyAlignment="1">
      <alignment horizontal="center" vertical="center" wrapText="1"/>
    </xf>
    <xf numFmtId="0" fontId="25" fillId="0" borderId="0" xfId="0" applyFont="1"/>
    <xf numFmtId="0" fontId="25" fillId="9" borderId="0" xfId="0" applyFont="1" applyFill="1"/>
    <xf numFmtId="0" fontId="22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27" fillId="9" borderId="8" xfId="0" applyFont="1" applyFill="1" applyBorder="1"/>
    <xf numFmtId="0" fontId="27" fillId="9" borderId="9" xfId="0" applyFont="1" applyFill="1" applyBorder="1"/>
    <xf numFmtId="0" fontId="27" fillId="0" borderId="8" xfId="0" applyFont="1" applyBorder="1"/>
    <xf numFmtId="0" fontId="27" fillId="0" borderId="9" xfId="0" applyFont="1" applyBorder="1"/>
    <xf numFmtId="0" fontId="28" fillId="9" borderId="8" xfId="0" applyFont="1" applyFill="1" applyBorder="1" applyAlignment="1">
      <alignment wrapText="1"/>
    </xf>
    <xf numFmtId="0" fontId="28" fillId="0" borderId="8" xfId="0" applyFont="1" applyBorder="1" applyAlignment="1">
      <alignment wrapText="1"/>
    </xf>
    <xf numFmtId="0" fontId="29" fillId="9" borderId="8" xfId="0" applyFont="1" applyFill="1" applyBorder="1"/>
    <xf numFmtId="0" fontId="29" fillId="9" borderId="8" xfId="0" applyFont="1" applyFill="1" applyBorder="1" applyAlignment="1">
      <alignment wrapText="1"/>
    </xf>
    <xf numFmtId="0" fontId="29" fillId="0" borderId="8" xfId="0" applyFont="1" applyBorder="1"/>
    <xf numFmtId="0" fontId="29" fillId="0" borderId="8" xfId="0" applyFont="1" applyBorder="1" applyAlignment="1">
      <alignment wrapText="1"/>
    </xf>
    <xf numFmtId="0" fontId="30" fillId="0" borderId="0" xfId="0" applyFont="1" applyProtection="1">
      <protection locked="0"/>
    </xf>
    <xf numFmtId="0" fontId="26" fillId="0" borderId="8" xfId="0" applyFont="1" applyBorder="1" applyAlignment="1">
      <alignment wrapText="1"/>
    </xf>
    <xf numFmtId="0" fontId="28" fillId="9" borderId="8" xfId="0" applyFont="1" applyFill="1" applyBorder="1" applyAlignment="1" applyProtection="1">
      <alignment wrapText="1"/>
      <protection locked="0"/>
    </xf>
    <xf numFmtId="0" fontId="27" fillId="9" borderId="8" xfId="0" applyFont="1" applyFill="1" applyBorder="1" applyProtection="1">
      <protection locked="0"/>
    </xf>
    <xf numFmtId="49" fontId="27" fillId="9" borderId="8" xfId="0" applyNumberFormat="1" applyFont="1" applyFill="1" applyBorder="1" applyProtection="1">
      <protection locked="0"/>
    </xf>
    <xf numFmtId="0" fontId="27" fillId="9" borderId="8" xfId="0" applyFont="1" applyFill="1" applyBorder="1" applyAlignment="1">
      <alignment wrapText="1"/>
    </xf>
    <xf numFmtId="0" fontId="27" fillId="9" borderId="9" xfId="0" applyFont="1" applyFill="1" applyBorder="1" applyProtection="1">
      <protection locked="0"/>
    </xf>
    <xf numFmtId="0" fontId="23" fillId="9" borderId="8" xfId="0" applyFont="1" applyFill="1" applyBorder="1"/>
    <xf numFmtId="0" fontId="2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34" fillId="0" borderId="0" xfId="0" applyFont="1" applyAlignment="1">
      <alignment horizontal="center"/>
    </xf>
    <xf numFmtId="0" fontId="23" fillId="0" borderId="8" xfId="0" applyFont="1" applyBorder="1"/>
    <xf numFmtId="0" fontId="26" fillId="9" borderId="8" xfId="0" applyFont="1" applyFill="1" applyBorder="1" applyAlignment="1">
      <alignment horizontal="center" vertical="center"/>
    </xf>
    <xf numFmtId="0" fontId="31" fillId="9" borderId="8" xfId="0" applyFont="1" applyFill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 wrapText="1"/>
    </xf>
    <xf numFmtId="0" fontId="32" fillId="9" borderId="8" xfId="0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4" fontId="0" fillId="10" borderId="0" xfId="0" applyNumberForma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34" fillId="11" borderId="0" xfId="0" applyFont="1" applyFill="1" applyAlignment="1">
      <alignment horizontal="center" vertical="center" wrapText="1"/>
    </xf>
    <xf numFmtId="0" fontId="7" fillId="0" borderId="0" xfId="0" applyFont="1" applyProtection="1">
      <protection locked="0"/>
    </xf>
    <xf numFmtId="0" fontId="23" fillId="9" borderId="8" xfId="0" applyFont="1" applyFill="1" applyBorder="1" applyProtection="1">
      <protection locked="0"/>
    </xf>
    <xf numFmtId="49" fontId="23" fillId="9" borderId="8" xfId="0" applyNumberFormat="1" applyFont="1" applyFill="1" applyBorder="1" applyProtection="1">
      <protection locked="0"/>
    </xf>
    <xf numFmtId="0" fontId="23" fillId="9" borderId="9" xfId="0" applyFont="1" applyFill="1" applyBorder="1" applyProtection="1">
      <protection locked="0"/>
    </xf>
    <xf numFmtId="0" fontId="23" fillId="0" borderId="8" xfId="0" applyFont="1" applyBorder="1" applyProtection="1">
      <protection locked="0"/>
    </xf>
    <xf numFmtId="0" fontId="29" fillId="0" borderId="8" xfId="0" applyFont="1" applyBorder="1" applyProtection="1">
      <protection locked="0"/>
    </xf>
    <xf numFmtId="0" fontId="29" fillId="9" borderId="8" xfId="0" applyFont="1" applyFill="1" applyBorder="1" applyProtection="1">
      <protection locked="0"/>
    </xf>
    <xf numFmtId="0" fontId="33" fillId="9" borderId="8" xfId="0" applyFont="1" applyFill="1" applyBorder="1" applyProtection="1">
      <protection locked="0"/>
    </xf>
    <xf numFmtId="49" fontId="29" fillId="9" borderId="8" xfId="0" applyNumberFormat="1" applyFont="1" applyFill="1" applyBorder="1" applyProtection="1">
      <protection locked="0"/>
    </xf>
    <xf numFmtId="49" fontId="29" fillId="0" borderId="8" xfId="0" applyNumberFormat="1" applyFont="1" applyBorder="1" applyProtection="1">
      <protection locked="0"/>
    </xf>
    <xf numFmtId="0" fontId="29" fillId="0" borderId="8" xfId="0" applyFont="1" applyBorder="1" applyAlignment="1" applyProtection="1">
      <alignment wrapText="1"/>
      <protection locked="0"/>
    </xf>
    <xf numFmtId="0" fontId="29" fillId="9" borderId="8" xfId="0" applyFont="1" applyFill="1" applyBorder="1" applyAlignment="1" applyProtection="1">
      <alignment wrapText="1"/>
      <protection locked="0"/>
    </xf>
    <xf numFmtId="0" fontId="29" fillId="9" borderId="9" xfId="0" applyFont="1" applyFill="1" applyBorder="1" applyAlignment="1" applyProtection="1">
      <alignment wrapText="1"/>
      <protection locked="0"/>
    </xf>
    <xf numFmtId="0" fontId="29" fillId="0" borderId="9" xfId="0" applyFont="1" applyBorder="1" applyAlignment="1" applyProtection="1">
      <alignment wrapText="1"/>
      <protection locked="0"/>
    </xf>
    <xf numFmtId="0" fontId="29" fillId="0" borderId="9" xfId="0" applyFont="1" applyBorder="1" applyProtection="1">
      <protection locked="0"/>
    </xf>
    <xf numFmtId="0" fontId="29" fillId="9" borderId="9" xfId="0" applyFont="1" applyFill="1" applyBorder="1" applyProtection="1">
      <protection locked="0"/>
    </xf>
    <xf numFmtId="0" fontId="23" fillId="12" borderId="8" xfId="0" applyFont="1" applyFill="1" applyBorder="1"/>
    <xf numFmtId="0" fontId="23" fillId="12" borderId="8" xfId="0" applyFont="1" applyFill="1" applyBorder="1" applyProtection="1">
      <protection locked="0"/>
    </xf>
    <xf numFmtId="0" fontId="27" fillId="12" borderId="8" xfId="0" applyFont="1" applyFill="1" applyBorder="1" applyProtection="1">
      <protection locked="0"/>
    </xf>
    <xf numFmtId="0" fontId="27" fillId="12" borderId="8" xfId="0" applyFont="1" applyFill="1" applyBorder="1"/>
    <xf numFmtId="0" fontId="29" fillId="13" borderId="8" xfId="0" applyFont="1" applyFill="1" applyBorder="1" applyProtection="1">
      <protection locked="0"/>
    </xf>
    <xf numFmtId="0" fontId="29" fillId="12" borderId="8" xfId="0" applyFont="1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2" fillId="12" borderId="0" xfId="0" applyFont="1" applyFill="1" applyProtection="1">
      <protection locked="0"/>
    </xf>
    <xf numFmtId="0" fontId="0" fillId="13" borderId="0" xfId="0" applyFill="1"/>
    <xf numFmtId="0" fontId="5" fillId="13" borderId="0" xfId="0" applyFont="1" applyFill="1" applyProtection="1">
      <protection locked="0"/>
    </xf>
    <xf numFmtId="0" fontId="26" fillId="0" borderId="8" xfId="0" applyFont="1" applyBorder="1" applyAlignment="1" applyProtection="1">
      <alignment horizontal="center"/>
      <protection locked="0"/>
    </xf>
    <xf numFmtId="0" fontId="23" fillId="9" borderId="8" xfId="0" applyFont="1" applyFill="1" applyBorder="1" applyAlignment="1">
      <alignment wrapText="1"/>
    </xf>
    <xf numFmtId="0" fontId="23" fillId="0" borderId="9" xfId="0" applyFont="1" applyBorder="1"/>
    <xf numFmtId="0" fontId="23" fillId="9" borderId="9" xfId="0" applyFont="1" applyFill="1" applyBorder="1"/>
    <xf numFmtId="0" fontId="28" fillId="0" borderId="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8" fillId="9" borderId="8" xfId="0" applyFont="1" applyFill="1" applyBorder="1" applyAlignment="1">
      <alignment horizontal="center" vertical="center" wrapText="1"/>
    </xf>
    <xf numFmtId="0" fontId="23" fillId="0" borderId="0" xfId="0" applyFont="1"/>
    <xf numFmtId="0" fontId="23" fillId="3" borderId="1" xfId="0" applyFont="1" applyFill="1" applyBorder="1"/>
    <xf numFmtId="0" fontId="23" fillId="0" borderId="1" xfId="0" applyFont="1" applyBorder="1"/>
    <xf numFmtId="0" fontId="0" fillId="13" borderId="1" xfId="0" applyFill="1" applyBorder="1"/>
    <xf numFmtId="49" fontId="0" fillId="0" borderId="1" xfId="0" applyNumberFormat="1" applyBorder="1"/>
    <xf numFmtId="0" fontId="3" fillId="0" borderId="1" xfId="0" applyFont="1" applyBorder="1"/>
    <xf numFmtId="49" fontId="0" fillId="3" borderId="1" xfId="0" applyNumberFormat="1" applyFill="1" applyBorder="1"/>
    <xf numFmtId="0" fontId="3" fillId="3" borderId="1" xfId="0" applyFont="1" applyFill="1" applyBorder="1"/>
    <xf numFmtId="0" fontId="0" fillId="12" borderId="1" xfId="0" applyFill="1" applyBorder="1"/>
    <xf numFmtId="49" fontId="2" fillId="0" borderId="1" xfId="0" applyNumberFormat="1" applyFont="1" applyBorder="1"/>
    <xf numFmtId="0" fontId="5" fillId="0" borderId="1" xfId="0" applyFont="1" applyBorder="1"/>
    <xf numFmtId="0" fontId="7" fillId="0" borderId="1" xfId="0" applyFont="1" applyBorder="1"/>
    <xf numFmtId="49" fontId="2" fillId="3" borderId="1" xfId="0" applyNumberFormat="1" applyFont="1" applyFill="1" applyBorder="1"/>
    <xf numFmtId="0" fontId="5" fillId="3" borderId="1" xfId="0" applyFont="1" applyFill="1" applyBorder="1"/>
    <xf numFmtId="0" fontId="7" fillId="3" borderId="1" xfId="0" applyFont="1" applyFill="1" applyBorder="1"/>
    <xf numFmtId="0" fontId="2" fillId="3" borderId="1" xfId="0" applyFont="1" applyFill="1" applyBorder="1"/>
    <xf numFmtId="0" fontId="2" fillId="0" borderId="1" xfId="0" applyFont="1" applyBorder="1"/>
    <xf numFmtId="0" fontId="5" fillId="12" borderId="0" xfId="0" applyFont="1" applyFill="1" applyProtection="1">
      <protection locked="0"/>
    </xf>
    <xf numFmtId="0" fontId="12" fillId="8" borderId="3" xfId="0" applyFont="1" applyFill="1" applyBorder="1" applyAlignment="1">
      <alignment horizontal="left" vertical="center"/>
    </xf>
    <xf numFmtId="0" fontId="12" fillId="8" borderId="4" xfId="0" applyFont="1" applyFill="1" applyBorder="1" applyAlignment="1">
      <alignment horizontal="left" vertical="center"/>
    </xf>
    <xf numFmtId="0" fontId="12" fillId="8" borderId="5" xfId="0" applyFont="1" applyFill="1" applyBorder="1" applyAlignment="1">
      <alignment horizontal="left" vertical="center"/>
    </xf>
    <xf numFmtId="0" fontId="10" fillId="6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11" fillId="6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2" xfId="0" applyFont="1" applyFill="1" applyBorder="1" applyAlignment="1">
      <alignment horizontal="right" vertical="center"/>
    </xf>
    <xf numFmtId="166" fontId="14" fillId="8" borderId="3" xfId="0" applyNumberFormat="1" applyFont="1" applyFill="1" applyBorder="1" applyAlignment="1">
      <alignment horizontal="left" vertical="center"/>
    </xf>
    <xf numFmtId="166" fontId="14" fillId="8" borderId="4" xfId="0" applyNumberFormat="1" applyFont="1" applyFill="1" applyBorder="1" applyAlignment="1">
      <alignment horizontal="left" vertical="center"/>
    </xf>
    <xf numFmtId="166" fontId="14" fillId="8" borderId="5" xfId="0" applyNumberFormat="1" applyFont="1" applyFill="1" applyBorder="1" applyAlignment="1">
      <alignment horizontal="left" vertical="center"/>
    </xf>
    <xf numFmtId="0" fontId="14" fillId="8" borderId="3" xfId="0" applyFont="1" applyFill="1" applyBorder="1" applyAlignment="1">
      <alignment horizontal="left" vertical="center"/>
    </xf>
    <xf numFmtId="0" fontId="14" fillId="8" borderId="4" xfId="0" applyFont="1" applyFill="1" applyBorder="1" applyAlignment="1">
      <alignment horizontal="left" vertical="center"/>
    </xf>
    <xf numFmtId="0" fontId="14" fillId="8" borderId="5" xfId="0" applyFont="1" applyFill="1" applyBorder="1" applyAlignment="1">
      <alignment horizontal="left" vertical="center"/>
    </xf>
    <xf numFmtId="0" fontId="14" fillId="8" borderId="3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right" vertical="center"/>
    </xf>
    <xf numFmtId="169" fontId="14" fillId="4" borderId="0" xfId="0" applyNumberFormat="1" applyFont="1" applyFill="1" applyAlignment="1">
      <alignment horizontal="left" vertical="center"/>
    </xf>
    <xf numFmtId="0" fontId="12" fillId="4" borderId="0" xfId="0" applyFont="1" applyFill="1" applyAlignment="1">
      <alignment horizontal="right"/>
    </xf>
    <xf numFmtId="170" fontId="14" fillId="4" borderId="0" xfId="0" applyNumberFormat="1" applyFont="1" applyFill="1" applyAlignment="1">
      <alignment horizontal="left"/>
    </xf>
    <xf numFmtId="171" fontId="14" fillId="4" borderId="0" xfId="0" applyNumberFormat="1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172" fontId="14" fillId="8" borderId="3" xfId="0" applyNumberFormat="1" applyFont="1" applyFill="1" applyBorder="1" applyAlignment="1">
      <alignment horizontal="left" vertical="center"/>
    </xf>
    <xf numFmtId="172" fontId="14" fillId="8" borderId="5" xfId="0" applyNumberFormat="1" applyFont="1" applyFill="1" applyBorder="1" applyAlignment="1">
      <alignment horizontal="left" vertical="center"/>
    </xf>
    <xf numFmtId="1" fontId="14" fillId="4" borderId="0" xfId="0" applyNumberFormat="1" applyFont="1" applyFill="1" applyAlignment="1">
      <alignment horizontal="left" vertical="center"/>
    </xf>
    <xf numFmtId="0" fontId="19" fillId="4" borderId="0" xfId="0" applyFont="1" applyFill="1" applyAlignment="1">
      <alignment horizontal="left" vertical="center"/>
    </xf>
    <xf numFmtId="168" fontId="14" fillId="4" borderId="0" xfId="0" applyNumberFormat="1" applyFont="1" applyFill="1" applyAlignment="1">
      <alignment horizontal="left" vertical="center"/>
    </xf>
    <xf numFmtId="168" fontId="14" fillId="4" borderId="0" xfId="0" applyNumberFormat="1" applyFont="1" applyFill="1" applyAlignment="1">
      <alignment horizontal="center" vertical="center"/>
    </xf>
    <xf numFmtId="0" fontId="12" fillId="4" borderId="0" xfId="0" applyFont="1" applyFill="1" applyAlignment="1">
      <alignment horizontal="left" vertical="center"/>
    </xf>
    <xf numFmtId="1" fontId="14" fillId="8" borderId="3" xfId="0" applyNumberFormat="1" applyFont="1" applyFill="1" applyBorder="1" applyAlignment="1">
      <alignment horizontal="left" vertical="center"/>
    </xf>
    <xf numFmtId="1" fontId="14" fillId="8" borderId="4" xfId="0" applyNumberFormat="1" applyFont="1" applyFill="1" applyBorder="1" applyAlignment="1">
      <alignment horizontal="left" vertical="center"/>
    </xf>
    <xf numFmtId="1" fontId="14" fillId="8" borderId="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 inden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</cellXfs>
  <cellStyles count="4">
    <cellStyle name="Normal" xfId="0" builtinId="0"/>
    <cellStyle name="Normal 18 2" xfId="1" xr:uid="{E15EB211-040E-4C4A-A8E1-3C87F744069F}"/>
    <cellStyle name="Normal 3" xfId="2" xr:uid="{435550E5-49E7-4804-9753-5B3127017866}"/>
    <cellStyle name="Percent" xfId="3" builtinId="5"/>
  </cellStyles>
  <dxfs count="96">
    <dxf>
      <protection locked="1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numFmt numFmtId="165" formatCode="0&quot;°C&quot;"/>
      <protection locked="0" hidden="0"/>
    </dxf>
    <dxf>
      <numFmt numFmtId="165" formatCode="0&quot;°C&quot;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0" formatCode="@"/>
      <protection locked="0" hidden="0"/>
    </dxf>
    <dxf>
      <protection locked="0" hidden="0"/>
    </dxf>
    <dxf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numFmt numFmtId="0" formatCode="General"/>
      <alignment horizontal="center" textRotation="0" indent="0" justifyLastLine="0" shrinkToFit="0" readingOrder="0"/>
      <protection locked="1" hidden="0"/>
    </dxf>
    <dxf>
      <numFmt numFmtId="0" formatCode="General"/>
      <alignment horizontal="center" textRotation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numFmt numFmtId="0" formatCode="General"/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1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alignment horizontal="center" vertical="center" textRotation="0" indent="0" justifyLastLine="0" shrinkToFit="0" readingOrder="0"/>
      <protection locked="1" hidden="0"/>
    </dxf>
    <dxf>
      <font>
        <b/>
        <color rgb="FF7030A0"/>
      </font>
      <numFmt numFmtId="0" formatCode="General"/>
      <fill>
        <patternFill patternType="solid">
          <fgColor rgb="FFD9E1F2"/>
          <bgColor rgb="FFD9E1F2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rgb="FF8EA9DB"/>
        </top>
        <bottom style="thin">
          <color rgb="FF8EA9DB"/>
        </bottom>
      </border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numFmt numFmtId="0" formatCode="General"/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1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alignment horizontal="center" vertical="center" textRotation="0" indent="0" justifyLastLine="0" shrinkToFit="0" readingOrder="0"/>
      <protection locked="1" hidden="0"/>
    </dxf>
    <dxf>
      <font>
        <b/>
        <color rgb="FF7030A0"/>
      </font>
      <numFmt numFmtId="0" formatCode="General"/>
      <fill>
        <patternFill patternType="solid">
          <fgColor rgb="FFD9E1F2"/>
          <bgColor rgb="FFD9E1F2"/>
        </patternFill>
      </fill>
      <alignment horizontal="center" vertical="center" textRotation="0" indent="0" justifyLastLine="0" shrinkToFit="0" readingOrder="0"/>
      <border diagonalUp="0" diagonalDown="0" outline="0">
        <left/>
        <right/>
        <top style="thin">
          <color rgb="FF8EA9DB"/>
        </top>
        <bottom style="thin">
          <color rgb="FF8EA9DB"/>
        </bottom>
      </border>
      <protection locked="1" hidden="0"/>
    </dxf>
    <dxf>
      <protection locked="1" hidden="0"/>
    </dxf>
    <dxf>
      <protection locked="1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mas%20Goulet\Desktop\CU_IO-P1015.xlsm" TargetMode="External"/><Relationship Id="rId1" Type="http://schemas.openxmlformats.org/officeDocument/2006/relationships/externalLinkPath" Target="file:///C:\Users\Thomas%20Goulet\Desktop\CU_IO-P1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figuration"/>
      <sheetName val="Input"/>
      <sheetName val="Output "/>
      <sheetName val="Variable"/>
      <sheetName val="Alarm"/>
      <sheetName val="Tables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°F</v>
          </cell>
          <cell r="C1" t="str">
            <v>Analog</v>
          </cell>
        </row>
        <row r="2">
          <cell r="A2" t="str">
            <v>°C</v>
          </cell>
          <cell r="C2" t="str">
            <v>Binary</v>
          </cell>
        </row>
        <row r="3">
          <cell r="A3" t="str">
            <v>PSI</v>
          </cell>
          <cell r="C3" t="str">
            <v>Alarm</v>
          </cell>
        </row>
        <row r="4">
          <cell r="A4" t="str">
            <v>PSIG</v>
          </cell>
        </row>
        <row r="5">
          <cell r="A5" t="str">
            <v>"W.G.</v>
          </cell>
        </row>
        <row r="6">
          <cell r="A6" t="str">
            <v>kW</v>
          </cell>
        </row>
        <row r="7">
          <cell r="A7" t="str">
            <v>Amps</v>
          </cell>
        </row>
        <row r="8">
          <cell r="A8" t="str">
            <v>%</v>
          </cell>
        </row>
        <row r="9">
          <cell r="A9" t="str">
            <v>CFM</v>
          </cell>
        </row>
        <row r="10">
          <cell r="A10" t="str">
            <v>BTU/hr</v>
          </cell>
        </row>
        <row r="11">
          <cell r="A11" t="str">
            <v>%rh</v>
          </cell>
        </row>
        <row r="12">
          <cell r="A12" t="str">
            <v>m/s</v>
          </cell>
        </row>
        <row r="13">
          <cell r="A13" t="str">
            <v>Pa</v>
          </cell>
        </row>
        <row r="14">
          <cell r="A14" t="str">
            <v>Hz</v>
          </cell>
        </row>
        <row r="15">
          <cell r="A15" t="str">
            <v>Vdc</v>
          </cell>
        </row>
        <row r="16">
          <cell r="A16" t="str">
            <v>ppm</v>
          </cell>
          <cell r="D16" t="str">
            <v>Direct</v>
          </cell>
        </row>
        <row r="17">
          <cell r="A17" t="str">
            <v>sec</v>
          </cell>
          <cell r="D17" t="str">
            <v>BACnet</v>
          </cell>
        </row>
        <row r="18">
          <cell r="A18" t="str">
            <v>min</v>
          </cell>
          <cell r="C18" t="str">
            <v>Read</v>
          </cell>
          <cell r="D18" t="str">
            <v>ModBus</v>
          </cell>
        </row>
        <row r="19">
          <cell r="A19" t="str">
            <v>Btu/lb</v>
          </cell>
          <cell r="C19" t="str">
            <v>Read/Write</v>
          </cell>
        </row>
        <row r="20">
          <cell r="A20" t="str">
            <v>ON/OFF</v>
          </cell>
        </row>
        <row r="21">
          <cell r="A21" t="str">
            <v>Ena/Dis</v>
          </cell>
        </row>
        <row r="22">
          <cell r="A22" t="str">
            <v>OFF/ON</v>
          </cell>
          <cell r="C22" t="str">
            <v>Yes</v>
          </cell>
        </row>
        <row r="23">
          <cell r="A23" t="str">
            <v>STOP/START</v>
          </cell>
          <cell r="C23" t="str">
            <v>No</v>
          </cell>
        </row>
        <row r="24">
          <cell r="A24" t="str">
            <v>OK/FAULT</v>
          </cell>
        </row>
        <row r="25">
          <cell r="A25" t="str">
            <v>UNOCC/OCC</v>
          </cell>
        </row>
        <row r="26">
          <cell r="A26" t="str">
            <v>LOCAL/REMOTE</v>
          </cell>
        </row>
        <row r="27">
          <cell r="A27" t="str">
            <v>COOLING/HEATING</v>
          </cell>
        </row>
        <row r="28">
          <cell r="A28" t="str">
            <v>CLOSE/OPEN</v>
          </cell>
        </row>
        <row r="29">
          <cell r="A29" t="str">
            <v>NOT RESET/RESET</v>
          </cell>
        </row>
        <row r="30">
          <cell r="A30" t="str">
            <v>FAULT/OK</v>
          </cell>
        </row>
        <row r="31">
          <cell r="A31" t="str">
            <v>OK/FROST</v>
          </cell>
        </row>
        <row r="32">
          <cell r="A32" t="str">
            <v>Bar</v>
          </cell>
        </row>
        <row r="33">
          <cell r="A33" t="str">
            <v>PPM</v>
          </cell>
        </row>
        <row r="50">
          <cell r="A50" t="str">
            <v>208V/ 3/ 60</v>
          </cell>
        </row>
        <row r="51">
          <cell r="A51" t="str">
            <v>460V/ 3/ 60</v>
          </cell>
        </row>
        <row r="52">
          <cell r="A52" t="str">
            <v>575V/ 3/ 60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etienne desrochers" id="{36580943-4CB3-48C3-809F-A438F6A13C4C}" userId="S::etienne.desrochers@xnnov.com::04ab39ae-4090-42e8-a049-6575e478d8a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A0082DB-A0B4-4EB7-819F-F1DA04791807}" name="Table24" displayName="Table24" ref="A9:U418" totalsRowShown="0" headerRowDxfId="72" dataDxfId="71">
  <autoFilter ref="A9:U418" xr:uid="{C09A257D-B94F-44A2-A803-A1459A0F9064}"/>
  <sortState xmlns:xlrd2="http://schemas.microsoft.com/office/spreadsheetml/2017/richdata2" ref="A10:T359">
    <sortCondition ref="B9:B359"/>
  </sortState>
  <tableColumns count="21">
    <tableColumn id="1" xr3:uid="{9C72B2B2-4F31-4E44-A403-574742B1F287}" name="#" dataDxfId="70"/>
    <tableColumn id="19" xr3:uid="{33CF0FF5-4325-4BC1-BBF6-8BED8CB192AE}" name="XNNOV #" dataDxfId="69">
      <calculatedColumnFormula>IFERROR(RIGHT(Table24[[#This Row],[Controller Input '#]],3)*1,"")</calculatedColumnFormula>
    </tableColumn>
    <tableColumn id="21" xr3:uid="{CD54C90D-2B39-48A5-A660-E116EC11F13A}" name="Controller Input #" dataDxfId="68"/>
    <tableColumn id="20" xr3:uid="{C900516E-EF2E-47A6-ADE9-922F4EC5E2EA}" name="Supplier Description" dataDxfId="67"/>
    <tableColumn id="2" xr3:uid="{21005861-0035-483E-B244-C7C55EFB4D86}" name="Description" dataDxfId="66"/>
    <tableColumn id="3" xr3:uid="{671C93DE-DAC3-45F0-B253-9D600DA4C801}" name="Label" dataDxfId="65"/>
    <tableColumn id="4" xr3:uid="{592A900C-67EE-49F0-95B3-9B1971731948}" name="Signal" dataDxfId="64"/>
    <tableColumn id="6" xr3:uid="{3E1A96E7-6DBB-4F41-B473-A01E77250CE3}" name="Controller Input" dataDxfId="63"/>
    <tableColumn id="7" xr3:uid="{AC587528-8A0D-4D51-BE7D-D588C3FBF0AD}" name="Type" dataDxfId="62"/>
    <tableColumn id="8" xr3:uid="{B4FA35B7-18AB-4439-AD9D-604E319A68CF}" name="Comm Type" dataDxfId="61"/>
    <tableColumn id="9" xr3:uid="{0586E3F0-6E95-424B-9066-6D3237807C1E}" name="Unit" dataDxfId="60"/>
    <tableColumn id="10" xr3:uid="{0E67B06F-2418-4FAC-AEAA-18459AF9313C}" name="Range" dataDxfId="59"/>
    <tableColumn id="11" xr3:uid="{E7E94714-BFDB-41D7-9293-3AE27A4B23FD}" name="ModBurs Type" dataDxfId="58"/>
    <tableColumn id="12" xr3:uid="{E67263FC-F0DF-4D5F-B3C0-8D92C2EAB9D2}" name="A Counter" dataDxfId="57"/>
    <tableColumn id="13" xr3:uid="{4663F22C-87A9-41B4-A28E-FAD4B671EE1D}" name="B Counter" dataDxfId="56"/>
    <tableColumn id="14" xr3:uid="{B321302B-BC50-4C61-87B7-DE7655AEE163}" name="BACnet Type" dataDxfId="55"/>
    <tableColumn id="15" xr3:uid="{EBD3EA72-9DFE-4F05-B832-CF4E13262086}" name="Status" dataDxfId="54">
      <calculatedColumnFormula>IF(Table24[[#This Row],[Type]]="","",LEFT(Table24[[#This Row],[Type]],1)&amp;LEFT(#REF!,1))</calculatedColumnFormula>
    </tableColumn>
    <tableColumn id="16" xr3:uid="{63C16ED8-5664-4E47-9560-06C7B1D13805}" name="ModBurs Adress" dataDxfId="53"/>
    <tableColumn id="17" xr3:uid="{70ACD7E2-9B4D-428F-A1F1-27BC70B4263C}" name="BACnet Adresse" dataDxfId="52"/>
    <tableColumn id="18" xr3:uid="{DF00ACB2-3B25-4FD1-8857-4CFCC9FD1367}" name="Client Visibility" dataDxfId="51"/>
    <tableColumn id="5" xr3:uid="{5DFB40E2-ED9B-4C3D-A4E4-A839AF759C03}" name="Column1" dataDxfId="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D4B003-9C46-4EB8-8034-791B0821D02C}" name="Table242" displayName="Table242" ref="A9:U204" totalsRowShown="0" headerRowDxfId="49" dataDxfId="48">
  <autoFilter ref="A9:U204" xr:uid="{0C152AB2-6427-493F-A2E5-F72718FA00DA}"/>
  <sortState xmlns:xlrd2="http://schemas.microsoft.com/office/spreadsheetml/2017/richdata2" ref="A15:U199">
    <sortCondition ref="B9:B199"/>
  </sortState>
  <tableColumns count="21">
    <tableColumn id="1" xr3:uid="{C0CB1E70-A927-4008-AC21-CA46A06B272D}" name="#" dataDxfId="47"/>
    <tableColumn id="19" xr3:uid="{C77D0CF9-E882-4B33-A3EC-67542D8C5B2A}" name="XNNOV #" dataDxfId="46">
      <calculatedColumnFormula>IFERROR(RIGHT(Table242[[#This Row],[Controller Output '#]],3)*1,"")</calculatedColumnFormula>
    </tableColumn>
    <tableColumn id="21" xr3:uid="{D435F519-DE82-4248-971C-7D8FEA1CE8D6}" name="Controller Output #" dataDxfId="45"/>
    <tableColumn id="20" xr3:uid="{63C85071-E4C9-4783-8AEE-59385AD2382A}" name="Supplier Description" dataDxfId="44"/>
    <tableColumn id="2" xr3:uid="{FEA1A554-5021-4E13-9E18-057B62F0D966}" name="Description" dataDxfId="43"/>
    <tableColumn id="3" xr3:uid="{F4BB6964-2A4A-49C2-B188-4495D5BD8897}" name="Label" dataDxfId="42"/>
    <tableColumn id="4" xr3:uid="{8811839E-A3D6-4993-B094-D4802600ED3C}" name="Signal" dataDxfId="41"/>
    <tableColumn id="6" xr3:uid="{73753C8A-6399-4D85-A1C9-EE5FEB55D6FC}" name="Controller Input" dataDxfId="40"/>
    <tableColumn id="7" xr3:uid="{FF34180A-8190-46B0-910A-4EB6A0179A36}" name="Type" dataDxfId="39"/>
    <tableColumn id="8" xr3:uid="{D0AD927E-9788-4AD9-B7C7-E5EF43A985AC}" name="Comm Type" dataDxfId="38"/>
    <tableColumn id="9" xr3:uid="{F72A0CE0-C7F2-4097-B20F-2FCFA27D3BAC}" name="Unit" dataDxfId="37"/>
    <tableColumn id="10" xr3:uid="{E3CBFB05-853B-4362-A617-58D7DDDD5D5A}" name="Range" dataDxfId="36"/>
    <tableColumn id="11" xr3:uid="{60A35BA3-93CB-4220-BBC7-D354E1198E46}" name="ModBus Type" dataDxfId="35"/>
    <tableColumn id="12" xr3:uid="{C18ADB67-5FAD-40C3-8953-117DF749E97D}" name="A Counter" dataDxfId="34">
      <calculatedColumnFormula>IF(ISNUMBER(SEARCH("ANALOG",Table242[[#This Row],[Type]]))=TRUE,1,"")</calculatedColumnFormula>
    </tableColumn>
    <tableColumn id="13" xr3:uid="{1C0B1AB9-D69E-4D1C-8E4C-0DC0B3265329}" name="B Counter" dataDxfId="33">
      <calculatedColumnFormula>IF(ISNUMBER(SEARCH("BINARY",Table242[[#This Row],[Type]]))=TRUE,1,"")</calculatedColumnFormula>
    </tableColumn>
    <tableColumn id="14" xr3:uid="{07CA6AD4-CE0F-4069-A5A9-411B2CE8FA4E}" name="BACnet Type" dataDxfId="32">
      <calculatedColumnFormula>IF(Table242[[#This Row],[Type]]="","",LEFT(Table242[[#This Row],[Type]],1)&amp;LEFT($F$2,1))</calculatedColumnFormula>
    </tableColumn>
    <tableColumn id="15" xr3:uid="{B1FE7CB6-3862-42F4-A0B4-4FC4255BD5BE}" name="Status" dataDxfId="31"/>
    <tableColumn id="16" xr3:uid="{7DBF325F-8DFD-44C2-B407-5F7432180C53}" name="ModBus Adress" dataDxfId="30"/>
    <tableColumn id="17" xr3:uid="{D7EBF908-38BB-44A6-8B7D-FEF9D219CA01}" name="BACnet Adresse" dataDxfId="29">
      <calculatedColumnFormula>IF(Table242[[#This Row],[A Counter]]=1,"AO"&amp;$F$3+SUM($N10:N$10),IF(Table242[[#This Row],[B Counter]]=1,"BO"&amp;$F$3+SUM($O10:O$10),""))</calculatedColumnFormula>
    </tableColumn>
    <tableColumn id="18" xr3:uid="{306A6B1C-CA71-4C6F-99C8-91B1CED88AAD}" name="Client Visibility" dataDxfId="28"/>
    <tableColumn id="5" xr3:uid="{B7979795-B475-463B-B52B-0B7A56E9D8AF}" name="Password HMI" dataDxfId="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6C8C3A-BDEF-4675-BB10-F64D1242F498}" name="Table246" displayName="Table246" ref="A9:U446" totalsRowShown="0" headerRowDxfId="95" dataDxfId="94">
  <autoFilter ref="A9:U446" xr:uid="{C09A257D-B94F-44A2-A803-A1459A0F9064}"/>
  <sortState xmlns:xlrd2="http://schemas.microsoft.com/office/spreadsheetml/2017/richdata2" ref="A10:T387">
    <sortCondition ref="B9:B387"/>
  </sortState>
  <tableColumns count="21">
    <tableColumn id="1" xr3:uid="{1F31DCCD-E090-441D-88F1-4D93866E99E4}" name="#" dataDxfId="93"/>
    <tableColumn id="19" xr3:uid="{46765B43-73DE-4776-A961-42260AC601C8}" name="XNNOV #" dataDxfId="92">
      <calculatedColumnFormula>IFERROR(RIGHT(Table246[[#This Row],[Controller Input '#]],3)*1,"")</calculatedColumnFormula>
    </tableColumn>
    <tableColumn id="21" xr3:uid="{1CFF2F90-B456-4BE7-B9BD-5DA5E7F3717D}" name="Controller Input #" dataDxfId="91"/>
    <tableColumn id="20" xr3:uid="{A0758DB5-3B99-4484-A3EC-A8A848D92731}" name="Supplier Description" dataDxfId="90"/>
    <tableColumn id="2" xr3:uid="{DA6BACFA-681E-4DE6-A25A-CD20A4B54E7F}" name="Description" dataDxfId="89"/>
    <tableColumn id="3" xr3:uid="{10607580-35CE-432A-9A27-3A76F442032A}" name="Label" dataDxfId="88"/>
    <tableColumn id="4" xr3:uid="{4BE9F7EB-4C33-45F4-8CBC-9100A38780CB}" name="Signal" dataDxfId="87"/>
    <tableColumn id="6" xr3:uid="{ACBCF6DA-8361-4FB2-82F9-F31FD464C338}" name="Controller Input" dataDxfId="86"/>
    <tableColumn id="7" xr3:uid="{540EB255-1889-42B8-8642-717D8C41E7AA}" name="Type" dataDxfId="85"/>
    <tableColumn id="8" xr3:uid="{7C271338-27AF-47D9-924D-C7EE9B76ABC1}" name="Comm Type" dataDxfId="84"/>
    <tableColumn id="9" xr3:uid="{0B28B2BD-7BDF-483C-B1F7-B8EB4E754445}" name="Unit" dataDxfId="83"/>
    <tableColumn id="10" xr3:uid="{AA3C32E5-9FFE-4E48-9090-C1F05A0A16DD}" name="Range" dataDxfId="82"/>
    <tableColumn id="11" xr3:uid="{F918E217-4D9F-4F93-A66A-F250909D1602}" name="ModBurs Type" dataDxfId="81"/>
    <tableColumn id="12" xr3:uid="{7CAD326B-DBE5-432D-A554-92C96674A5F5}" name="A Counter" dataDxfId="80"/>
    <tableColumn id="13" xr3:uid="{0949E237-6B01-43B5-A14A-5F5D14B7B15A}" name="B Counter" dataDxfId="79"/>
    <tableColumn id="14" xr3:uid="{03743C88-94D8-4CD2-A3D7-9BC2CEA0B752}" name="BACnet Type" dataDxfId="78"/>
    <tableColumn id="15" xr3:uid="{E4A2AED3-B0CC-4B92-B51F-8A4F17CE9C66}" name="Status" dataDxfId="77">
      <calculatedColumnFormula>IF(Table246[[#This Row],[Type]]="","",LEFT(Table246[[#This Row],[Type]],1)&amp;LEFT(#REF!,1))</calculatedColumnFormula>
    </tableColumn>
    <tableColumn id="16" xr3:uid="{B44D7F2B-5B82-4A3A-8436-C35813EC1BC4}" name="ModBurs Adress" dataDxfId="76"/>
    <tableColumn id="17" xr3:uid="{3E8314B8-12DD-4F77-A6AD-C33C1BE5A249}" name="BACnet Adresse" dataDxfId="75"/>
    <tableColumn id="18" xr3:uid="{204EF4B2-8B3D-4FDD-A489-AB4EE6705952}" name="Client Visibility" dataDxfId="74"/>
    <tableColumn id="5" xr3:uid="{6A273BB4-AA6D-408F-9AC3-464C63509CA5}" name="Column1" dataDxfId="7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A8C41D-FB36-4102-8DC9-C406B6EA112B}" name="Table245" displayName="Table245" ref="A9:O147" totalsRowShown="0" headerRowDxfId="26" dataDxfId="25">
  <autoFilter ref="A9:O147" xr:uid="{A369F490-1296-4875-8773-FBC1E727B1CB}"/>
  <tableColumns count="15">
    <tableColumn id="1" xr3:uid="{76BC51CB-657A-49EF-AE5A-BE56CC214AA3}" name="#" dataDxfId="24">
      <calculatedColumnFormula>A9+1</calculatedColumnFormula>
    </tableColumn>
    <tableColumn id="2" xr3:uid="{9FD29667-8679-496A-A22D-D00977BBA687}" name="Description" dataDxfId="23"/>
    <tableColumn id="3" xr3:uid="{911AFD16-68C9-44A4-9242-E6A6A421D87F}" name="Label" dataDxfId="22"/>
    <tableColumn id="7" xr3:uid="{823C634F-3B6C-46F6-B2CC-BF54A9D1BBA7}" name="Type" dataDxfId="21"/>
    <tableColumn id="19" xr3:uid="{ACFFA742-EA3E-4842-A8A0-BAED4B6FCF15}" name="Column1" dataDxfId="20">
      <calculatedColumnFormula>(-22-32)/1.8</calculatedColumnFormula>
    </tableColumn>
    <tableColumn id="8" xr3:uid="{CEA4A835-540B-45D5-AE0D-25951855B8C2}" name="Comm Type" dataDxfId="19">
      <calculatedColumnFormula>(149-32)/1.8</calculatedColumnFormula>
    </tableColumn>
    <tableColumn id="20" xr3:uid="{9FC72807-7247-4221-9AFD-E170E77CBD94}" name="Column2" dataDxfId="18"/>
    <tableColumn id="9" xr3:uid="{6A82C08C-F0D6-4227-AE94-D26C1E6DB3DE}" name="Unit" dataDxfId="17"/>
    <tableColumn id="12" xr3:uid="{CF7F97F0-BEB1-43A4-9AEB-1D52F0208921}" name="A Counter" dataDxfId="16">
      <calculatedColumnFormula>IF(ISNUMBER(SEARCH("ANALOG",Table245[[#This Row],[Type]]))=TRUE,1,"")</calculatedColumnFormula>
    </tableColumn>
    <tableColumn id="13" xr3:uid="{A50FD2F1-139B-41E9-88B6-0609E4E0E5D2}" name="B Counter" dataDxfId="15">
      <calculatedColumnFormula>IF(ISNUMBER(SEARCH("BINARY",Table245[[#This Row],[Type]]))=TRUE,1,"")</calculatedColumnFormula>
    </tableColumn>
    <tableColumn id="14" xr3:uid="{AE8721F3-104D-4344-B3AD-80B26AE2D9F2}" name="BACnet Type" dataDxfId="14">
      <calculatedColumnFormula>IF(Table245[[#This Row],[Type]]="","",LEFT(Table245[[#This Row],[Type]],1)&amp;LEFT($C$2,1))</calculatedColumnFormula>
    </tableColumn>
    <tableColumn id="15" xr3:uid="{ED4700C4-6D95-444B-83E7-27FD8FBC4C80}" name="Status" dataDxfId="13"/>
    <tableColumn id="17" xr3:uid="{526CEAE4-6E0D-468D-92B0-9714FFD6A471}" name="BACnet Adresse" dataDxfId="12">
      <calculatedColumnFormula>IF(Table245[[#This Row],[A Counter]]=1,"AV"&amp;$C$3+SUM($I$10:I10),IF(Table245[[#This Row],[B Counter]]=1,"BV"&amp;$C$3+SUM($J$10:J10),""))</calculatedColumnFormula>
    </tableColumn>
    <tableColumn id="18" xr3:uid="{D83A9DD5-FCF7-4D8B-9AEC-6BA877A633BF}" name="Client Visibility" dataDxfId="11"/>
    <tableColumn id="5" xr3:uid="{33D31131-4D2A-4C1F-BE27-729243874998}" name="Password HMI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49F4F6-3E1F-45AD-AD33-DE7DE0DB1319}" name="Table2453" displayName="Table2453" ref="A12:H85" totalsRowShown="0" headerRowDxfId="9" dataDxfId="8">
  <autoFilter ref="A12:H85" xr:uid="{EDB6B65C-F35E-40EC-86C3-6B5E43A9E5E7}"/>
  <tableColumns count="8">
    <tableColumn id="1" xr3:uid="{98F61E03-A92C-4BAC-9684-17CB319D07FA}" name="#" dataDxfId="7"/>
    <tableColumn id="2" xr3:uid="{5D664ADE-A37E-4AD1-AA33-66C5C85A51C2}" name="Description" dataDxfId="6"/>
    <tableColumn id="3" xr3:uid="{EB72E319-1474-499B-B3FF-B5AA33261672}" name="Label" dataDxfId="5"/>
    <tableColumn id="7" xr3:uid="{39456D30-3009-42C4-A340-38633FB968A1}" name="Type" dataDxfId="4"/>
    <tableColumn id="12" xr3:uid="{48B3F769-3A2F-461F-96D4-0BABE92BAF39}" name="A Counter" dataDxfId="3">
      <calculatedColumnFormula>IF(ISNUMBER(SEARCH("ANALOG",Table2453[[#This Row],[Type]]))=TRUE,1,"")</calculatedColumnFormula>
    </tableColumn>
    <tableColumn id="13" xr3:uid="{332551FD-8C4F-4A3B-B2AB-DC353CC8ACB7}" name="B Counter" dataDxfId="2">
      <calculatedColumnFormula>IF(ISNUMBER(SEARCH($C$2,Table2453[[#This Row],[Type]]))=TRUE,1,"")</calculatedColumnFormula>
    </tableColumn>
    <tableColumn id="18" xr3:uid="{3009E2E4-E1C2-4940-888A-E466E6AEF877}" name="Client Visibility" dataDxfId="1">
      <calculatedColumnFormula>"BV"&amp;$C$3+SUM($F$13:F13)</calculatedColumnFormula>
    </tableColumn>
    <tableColumn id="5" xr3:uid="{50938021-4A7F-4C6B-8586-E787F312E5E4}" name="Rese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84" dT="2026-01-05T19:30:19.17" personId="{36580943-4CB3-48C3-809F-A438F6A13C4C}" id="{B830C44B-B469-4149-9990-588FE0F43042}">
    <text>AO304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798A2-48B6-4389-96E4-F83D149A42E7}">
  <sheetPr codeName="Sheet1"/>
  <dimension ref="A1:AY26"/>
  <sheetViews>
    <sheetView zoomScaleNormal="100" workbookViewId="0">
      <selection activeCell="G25" sqref="G25:K25"/>
    </sheetView>
  </sheetViews>
  <sheetFormatPr defaultColWidth="9.140625" defaultRowHeight="15" x14ac:dyDescent="0.25"/>
  <cols>
    <col min="1" max="1" width="16.28515625" customWidth="1"/>
    <col min="2" max="2" width="0.85546875" customWidth="1"/>
    <col min="3" max="3" width="6.42578125" customWidth="1"/>
    <col min="4" max="4" width="0.85546875" customWidth="1"/>
    <col min="5" max="5" width="6.42578125" customWidth="1"/>
    <col min="6" max="6" width="0.85546875" customWidth="1"/>
    <col min="7" max="7" width="6.42578125" customWidth="1"/>
    <col min="8" max="8" width="0.85546875" customWidth="1"/>
    <col min="9" max="9" width="8.140625" customWidth="1"/>
    <col min="10" max="10" width="0.85546875" customWidth="1"/>
    <col min="11" max="11" width="6.42578125" customWidth="1"/>
    <col min="12" max="12" width="0.85546875" customWidth="1"/>
    <col min="13" max="13" width="6.42578125" customWidth="1"/>
    <col min="14" max="14" width="0.85546875" customWidth="1"/>
    <col min="15" max="15" width="6.42578125" customWidth="1"/>
    <col min="16" max="16" width="0.85546875" customWidth="1"/>
    <col min="17" max="17" width="6.42578125" customWidth="1"/>
    <col min="18" max="18" width="0.85546875" customWidth="1"/>
    <col min="19" max="19" width="6.42578125" customWidth="1"/>
    <col min="20" max="20" width="0.85546875" customWidth="1"/>
    <col min="21" max="21" width="6.42578125" customWidth="1"/>
    <col min="22" max="22" width="0.85546875" customWidth="1"/>
    <col min="23" max="23" width="6.42578125" customWidth="1"/>
    <col min="24" max="24" width="0.85546875" customWidth="1"/>
  </cols>
  <sheetData>
    <row r="1" spans="1:51" s="30" customFormat="1" ht="5.25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</row>
    <row r="2" spans="1:51" s="30" customFormat="1" ht="23.25" x14ac:dyDescent="0.25">
      <c r="A2" s="158" t="str">
        <f>IF(C18="Water Cooled", "WCCU Point List", "ACCU Point List")</f>
        <v>ACCU Point List</v>
      </c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</row>
    <row r="3" spans="1:51" s="30" customFormat="1" ht="3" customHeight="1" x14ac:dyDescent="0.25">
      <c r="A3" s="159"/>
      <c r="B3" s="159"/>
      <c r="C3" s="159"/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9"/>
      <c r="U3" s="159"/>
      <c r="V3" s="159"/>
      <c r="W3" s="159"/>
      <c r="X3" s="159"/>
    </row>
    <row r="4" spans="1:51" s="30" customFormat="1" ht="18.75" x14ac:dyDescent="0.25">
      <c r="A4" s="160" t="s">
        <v>0</v>
      </c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</row>
    <row r="5" spans="1:51" s="30" customFormat="1" ht="3" customHeight="1" x14ac:dyDescent="0.25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</row>
    <row r="6" spans="1:51" s="30" customFormat="1" x14ac:dyDescent="0.25">
      <c r="A6" s="161" t="s">
        <v>1</v>
      </c>
      <c r="B6" s="162"/>
      <c r="C6" s="155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7"/>
      <c r="P6" s="29"/>
      <c r="Q6" s="161" t="s">
        <v>2</v>
      </c>
      <c r="R6" s="162"/>
      <c r="S6" s="155"/>
      <c r="T6" s="156"/>
      <c r="U6" s="156"/>
      <c r="V6" s="156"/>
      <c r="W6" s="157"/>
      <c r="X6" s="29"/>
    </row>
    <row r="7" spans="1:51" s="30" customFormat="1" ht="3" customHeight="1" x14ac:dyDescent="0.25">
      <c r="A7" s="32"/>
      <c r="B7" s="32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</row>
    <row r="8" spans="1:51" s="30" customFormat="1" x14ac:dyDescent="0.25">
      <c r="A8" s="161" t="s">
        <v>3</v>
      </c>
      <c r="B8" s="162"/>
      <c r="C8" s="155"/>
      <c r="D8" s="156"/>
      <c r="E8" s="157"/>
      <c r="F8" s="29"/>
      <c r="G8" s="161" t="s">
        <v>4</v>
      </c>
      <c r="H8" s="161"/>
      <c r="I8" s="161"/>
      <c r="J8" s="162"/>
      <c r="K8" s="155"/>
      <c r="L8" s="156"/>
      <c r="M8" s="156"/>
      <c r="N8" s="156"/>
      <c r="O8" s="157"/>
      <c r="P8" s="161" t="s">
        <v>5</v>
      </c>
      <c r="Q8" s="161"/>
      <c r="R8" s="161"/>
      <c r="S8" s="155"/>
      <c r="T8" s="156"/>
      <c r="U8" s="156"/>
      <c r="V8" s="156"/>
      <c r="W8" s="157"/>
      <c r="X8" s="29"/>
    </row>
    <row r="9" spans="1:51" s="30" customFormat="1" ht="3" customHeight="1" x14ac:dyDescent="0.25">
      <c r="A9" s="33"/>
      <c r="B9" s="33"/>
      <c r="C9" s="34"/>
      <c r="D9" s="34"/>
      <c r="E9" s="34"/>
      <c r="F9" s="35"/>
      <c r="G9" s="33"/>
      <c r="H9" s="33"/>
      <c r="I9" s="33"/>
      <c r="J9" s="34"/>
      <c r="K9" s="34"/>
      <c r="L9" s="34"/>
      <c r="M9" s="33"/>
      <c r="N9" s="33"/>
      <c r="O9" s="33"/>
      <c r="P9" s="36"/>
      <c r="Q9" s="36"/>
      <c r="R9" s="36"/>
      <c r="S9" s="37"/>
      <c r="T9" s="37"/>
      <c r="U9" s="37"/>
      <c r="V9" s="37"/>
      <c r="W9" s="38"/>
      <c r="X9" s="35"/>
    </row>
    <row r="10" spans="1:51" s="30" customFormat="1" ht="15" customHeight="1" x14ac:dyDescent="0.25">
      <c r="A10" s="161" t="s">
        <v>6</v>
      </c>
      <c r="B10" s="162"/>
      <c r="C10" s="166"/>
      <c r="D10" s="167"/>
      <c r="E10" s="168"/>
      <c r="F10" s="35"/>
      <c r="G10" s="161" t="s">
        <v>7</v>
      </c>
      <c r="H10" s="162"/>
      <c r="I10" s="169"/>
      <c r="J10" s="170"/>
      <c r="K10" s="170"/>
      <c r="L10" s="171"/>
      <c r="M10" s="172" t="s">
        <v>8</v>
      </c>
      <c r="N10" s="161"/>
      <c r="O10" s="162"/>
      <c r="P10" s="163" t="s">
        <v>9</v>
      </c>
      <c r="Q10" s="164"/>
      <c r="R10" s="165"/>
      <c r="S10" s="40"/>
      <c r="T10" s="40"/>
      <c r="U10" s="40"/>
      <c r="V10" s="40"/>
      <c r="W10" s="40"/>
      <c r="X10" s="40"/>
    </row>
    <row r="11" spans="1:51" s="30" customFormat="1" ht="3" customHeight="1" x14ac:dyDescent="0.25">
      <c r="A11" s="32"/>
      <c r="B11" s="32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</row>
    <row r="12" spans="1:51" s="30" customFormat="1" x14ac:dyDescent="0.25">
      <c r="A12" s="161" t="str">
        <f>IF(P10="Canada", "Province ","State ")</f>
        <v xml:space="preserve">State </v>
      </c>
      <c r="B12" s="162"/>
      <c r="C12" s="163" t="s">
        <v>10</v>
      </c>
      <c r="D12" s="164"/>
      <c r="E12" s="164"/>
      <c r="F12" s="164"/>
      <c r="G12" s="164"/>
      <c r="H12" s="164"/>
      <c r="I12" s="165"/>
      <c r="J12" s="39"/>
      <c r="K12" s="161" t="s">
        <v>11</v>
      </c>
      <c r="L12" s="161"/>
      <c r="M12" s="161"/>
      <c r="N12" s="40"/>
      <c r="O12" s="163"/>
      <c r="P12" s="164"/>
      <c r="Q12" s="164"/>
      <c r="R12" s="164"/>
      <c r="S12" s="164"/>
      <c r="T12" s="164"/>
      <c r="U12" s="164"/>
      <c r="V12" s="164"/>
      <c r="W12" s="165"/>
      <c r="X12" s="41"/>
    </row>
    <row r="13" spans="1:51" s="30" customFormat="1" ht="3" hidden="1" customHeight="1" x14ac:dyDescent="0.25">
      <c r="A13" s="42"/>
      <c r="B13" s="42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</row>
    <row r="14" spans="1:51" s="30" customFormat="1" hidden="1" x14ac:dyDescent="0.25">
      <c r="A14" s="185" t="s">
        <v>12</v>
      </c>
      <c r="B14" s="185"/>
      <c r="C14" s="184"/>
      <c r="D14" s="184"/>
      <c r="E14" s="43" t="s">
        <v>13</v>
      </c>
      <c r="F14" s="161" t="s">
        <v>14</v>
      </c>
      <c r="G14" s="161"/>
      <c r="H14" s="29"/>
      <c r="I14" s="183" t="s">
        <v>13</v>
      </c>
      <c r="J14" s="183"/>
      <c r="K14" s="161" t="s">
        <v>15</v>
      </c>
      <c r="L14" s="161"/>
      <c r="M14" s="161"/>
      <c r="N14" s="173" t="s">
        <v>13</v>
      </c>
      <c r="O14" s="173"/>
      <c r="P14" s="173"/>
      <c r="Q14" s="174" t="s">
        <v>16</v>
      </c>
      <c r="R14" s="174"/>
      <c r="S14" s="174"/>
      <c r="T14" s="174"/>
      <c r="U14" s="175" t="str">
        <f ca="1">IFERROR(1/Psy_SVwb(C14,I14,N14),"")</f>
        <v/>
      </c>
      <c r="V14" s="175"/>
      <c r="W14" s="175"/>
      <c r="X14" s="29"/>
    </row>
    <row r="15" spans="1:51" s="30" customFormat="1" ht="3" customHeight="1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</row>
    <row r="16" spans="1:51" s="30" customFormat="1" ht="16.5" customHeight="1" x14ac:dyDescent="0.25">
      <c r="A16" s="160" t="s">
        <v>17</v>
      </c>
      <c r="B16" s="160"/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</row>
    <row r="17" spans="1:51" s="30" customFormat="1" ht="3" customHeight="1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6"/>
      <c r="V17" s="46"/>
      <c r="W17" s="46"/>
      <c r="X17" s="46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8"/>
    </row>
    <row r="18" spans="1:51" s="30" customFormat="1" x14ac:dyDescent="0.25">
      <c r="A18" s="161" t="s">
        <v>18</v>
      </c>
      <c r="B18" s="162"/>
      <c r="C18" s="163" t="s">
        <v>19</v>
      </c>
      <c r="D18" s="164"/>
      <c r="E18" s="165"/>
      <c r="F18" s="40"/>
      <c r="G18" s="161" t="s">
        <v>20</v>
      </c>
      <c r="H18" s="161"/>
      <c r="I18" s="161"/>
      <c r="J18" s="162"/>
      <c r="K18" s="163" t="s">
        <v>21</v>
      </c>
      <c r="L18" s="164"/>
      <c r="M18" s="165"/>
      <c r="N18" s="39"/>
      <c r="O18" s="161" t="s">
        <v>22</v>
      </c>
      <c r="P18" s="161"/>
      <c r="Q18" s="161"/>
      <c r="R18" s="161"/>
      <c r="S18" s="176" t="s">
        <v>23</v>
      </c>
      <c r="T18" s="176"/>
      <c r="U18" s="176"/>
      <c r="V18" s="176"/>
      <c r="W18" s="176"/>
      <c r="X18" s="29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8"/>
    </row>
    <row r="19" spans="1:51" s="30" customFormat="1" ht="3" customHeight="1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6"/>
      <c r="V19" s="46"/>
      <c r="W19" s="46"/>
      <c r="X19" s="46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8"/>
    </row>
    <row r="20" spans="1:51" s="30" customFormat="1" x14ac:dyDescent="0.25">
      <c r="A20" s="161" t="s">
        <v>24</v>
      </c>
      <c r="B20" s="162"/>
      <c r="C20" s="49" t="s">
        <v>25</v>
      </c>
      <c r="D20" s="33"/>
      <c r="E20" s="161" t="s">
        <v>26</v>
      </c>
      <c r="F20" s="161"/>
      <c r="G20" s="161"/>
      <c r="H20" s="40"/>
      <c r="I20" s="179">
        <v>100</v>
      </c>
      <c r="J20" s="180"/>
      <c r="K20" s="172" t="s">
        <v>27</v>
      </c>
      <c r="L20" s="161"/>
      <c r="M20" s="161"/>
      <c r="N20" s="161"/>
      <c r="O20" s="181" t="e">
        <v>#REF!</v>
      </c>
      <c r="P20" s="181"/>
      <c r="Q20" s="181"/>
      <c r="R20" s="181"/>
      <c r="S20" s="161" t="s">
        <v>28</v>
      </c>
      <c r="T20" s="161"/>
      <c r="U20" s="161"/>
      <c r="V20" s="46"/>
      <c r="W20" s="50" t="e">
        <v>#REF!</v>
      </c>
      <c r="X20" s="46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8"/>
    </row>
    <row r="21" spans="1:51" s="30" customFormat="1" ht="3" customHeight="1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6"/>
      <c r="V21" s="46"/>
      <c r="W21" s="46"/>
      <c r="X21" s="46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8"/>
    </row>
    <row r="22" spans="1:51" s="30" customFormat="1" x14ac:dyDescent="0.25">
      <c r="A22" s="161" t="s">
        <v>29</v>
      </c>
      <c r="B22" s="162"/>
      <c r="C22" s="186" t="s">
        <v>30</v>
      </c>
      <c r="D22" s="187"/>
      <c r="E22" s="188"/>
      <c r="F22" s="40"/>
      <c r="G22" s="161" t="s">
        <v>31</v>
      </c>
      <c r="H22" s="161"/>
      <c r="I22" s="161"/>
      <c r="J22" s="161"/>
      <c r="K22" s="51">
        <v>1</v>
      </c>
      <c r="L22" s="29"/>
      <c r="M22" s="161" t="s">
        <v>32</v>
      </c>
      <c r="N22" s="161"/>
      <c r="O22" s="161"/>
      <c r="P22" s="162"/>
      <c r="Q22" s="51" t="s">
        <v>33</v>
      </c>
      <c r="R22" s="52"/>
      <c r="S22" s="161" t="str">
        <f>IF(C18="Air Cooled","Cond. Coating ",IF(C18="Water Cooled","Corrosif ",""))</f>
        <v xml:space="preserve">Cond. Coating </v>
      </c>
      <c r="T22" s="161"/>
      <c r="U22" s="161"/>
      <c r="V22" s="162"/>
      <c r="W22" s="51" t="s">
        <v>34</v>
      </c>
      <c r="X22" s="46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8"/>
    </row>
    <row r="23" spans="1:51" s="30" customFormat="1" ht="3" customHeight="1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6"/>
      <c r="V23" s="46"/>
      <c r="W23" s="46"/>
      <c r="X23" s="46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8"/>
    </row>
    <row r="24" spans="1:51" s="30" customFormat="1" ht="16.5" customHeight="1" x14ac:dyDescent="0.25">
      <c r="A24" s="161" t="s">
        <v>35</v>
      </c>
      <c r="B24" s="161"/>
      <c r="C24" s="53" t="s">
        <v>36</v>
      </c>
      <c r="D24" s="53"/>
      <c r="E24" s="53"/>
      <c r="F24" s="53"/>
      <c r="G24" s="53"/>
      <c r="H24" s="177" t="s">
        <v>37</v>
      </c>
      <c r="I24" s="177"/>
      <c r="J24" s="178"/>
      <c r="K24" s="51">
        <v>1</v>
      </c>
      <c r="L24" s="29"/>
      <c r="M24" s="56"/>
      <c r="N24" s="56"/>
      <c r="O24" s="56"/>
      <c r="P24" s="56"/>
      <c r="Q24" s="56"/>
      <c r="R24" s="56"/>
      <c r="S24" s="161"/>
      <c r="T24" s="161"/>
      <c r="U24" s="161"/>
      <c r="V24" s="161"/>
      <c r="W24" s="29"/>
      <c r="X24" s="46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8"/>
    </row>
    <row r="25" spans="1:51" s="30" customFormat="1" ht="16.5" customHeight="1" x14ac:dyDescent="0.25">
      <c r="A25" s="172" t="s">
        <v>38</v>
      </c>
      <c r="B25" s="161"/>
      <c r="C25" s="161"/>
      <c r="D25" s="54"/>
      <c r="E25" s="53" t="s">
        <v>39</v>
      </c>
      <c r="F25" s="53"/>
      <c r="G25" s="161" t="s">
        <v>40</v>
      </c>
      <c r="H25" s="161"/>
      <c r="I25" s="161"/>
      <c r="J25" s="161"/>
      <c r="K25" s="161"/>
      <c r="L25" s="55"/>
      <c r="M25" s="182" t="s">
        <v>41</v>
      </c>
      <c r="N25" s="182"/>
      <c r="O25" s="182"/>
      <c r="P25" s="182"/>
      <c r="Q25" s="182"/>
      <c r="R25" s="39"/>
      <c r="S25" s="33"/>
      <c r="T25" s="33"/>
      <c r="U25" s="33"/>
      <c r="V25" s="33"/>
      <c r="W25" s="29"/>
      <c r="X25" s="46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8"/>
    </row>
    <row r="26" spans="1:51" s="30" customFormat="1" ht="3" customHeight="1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6"/>
      <c r="V26" s="46"/>
      <c r="W26" s="46"/>
      <c r="X26" s="46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8"/>
    </row>
  </sheetData>
  <mergeCells count="55">
    <mergeCell ref="O12:W12"/>
    <mergeCell ref="K12:M12"/>
    <mergeCell ref="C12:I12"/>
    <mergeCell ref="A12:B12"/>
    <mergeCell ref="A25:C25"/>
    <mergeCell ref="G25:K25"/>
    <mergeCell ref="M25:Q25"/>
    <mergeCell ref="K14:M14"/>
    <mergeCell ref="I14:J14"/>
    <mergeCell ref="F14:G14"/>
    <mergeCell ref="C14:D14"/>
    <mergeCell ref="A14:B14"/>
    <mergeCell ref="A22:B22"/>
    <mergeCell ref="C22:E22"/>
    <mergeCell ref="G22:J22"/>
    <mergeCell ref="M22:P22"/>
    <mergeCell ref="S22:V22"/>
    <mergeCell ref="A24:B24"/>
    <mergeCell ref="H24:J24"/>
    <mergeCell ref="S24:V24"/>
    <mergeCell ref="A20:B20"/>
    <mergeCell ref="E20:G20"/>
    <mergeCell ref="I20:J20"/>
    <mergeCell ref="K20:N20"/>
    <mergeCell ref="O20:R20"/>
    <mergeCell ref="S20:U20"/>
    <mergeCell ref="N14:P14"/>
    <mergeCell ref="Q14:T14"/>
    <mergeCell ref="U14:W14"/>
    <mergeCell ref="A16:X16"/>
    <mergeCell ref="A18:B18"/>
    <mergeCell ref="C18:E18"/>
    <mergeCell ref="G18:J18"/>
    <mergeCell ref="K18:M18"/>
    <mergeCell ref="O18:R18"/>
    <mergeCell ref="S18:W18"/>
    <mergeCell ref="P10:R10"/>
    <mergeCell ref="A8:B8"/>
    <mergeCell ref="C8:E8"/>
    <mergeCell ref="G8:J8"/>
    <mergeCell ref="K8:O8"/>
    <mergeCell ref="P8:R8"/>
    <mergeCell ref="A10:B10"/>
    <mergeCell ref="C10:E10"/>
    <mergeCell ref="G10:H10"/>
    <mergeCell ref="I10:L10"/>
    <mergeCell ref="M10:O10"/>
    <mergeCell ref="S8:W8"/>
    <mergeCell ref="A2:X2"/>
    <mergeCell ref="A3:X3"/>
    <mergeCell ref="A4:X4"/>
    <mergeCell ref="A6:B6"/>
    <mergeCell ref="C6:O6"/>
    <mergeCell ref="Q6:R6"/>
    <mergeCell ref="S6:W6"/>
  </mergeCells>
  <dataValidations count="8">
    <dataValidation type="list" allowBlank="1" showInputMessage="1" showErrorMessage="1" sqref="K24" xr:uid="{9729FBD9-1B78-4225-85C4-5069C57F1E90}">
      <formula1>CircuitQty</formula1>
    </dataValidation>
    <dataValidation type="list" allowBlank="1" showInputMessage="1" showErrorMessage="1" sqref="C12" xr:uid="{0042BF52-0903-415A-8F67-F263F16EA75B}">
      <formula1>INDIRECT($P$10)</formula1>
    </dataValidation>
    <dataValidation type="list" allowBlank="1" showInputMessage="1" showErrorMessage="1" sqref="P9:P10" xr:uid="{25113EC6-30F8-49A1-8869-161756530B7A}">
      <formula1>Country</formula1>
    </dataValidation>
    <dataValidation type="list" allowBlank="1" showInputMessage="1" showErrorMessage="1" sqref="W22 Q22" xr:uid="{C891ED92-6E62-4603-AE06-5BDCE52211F9}">
      <formula1>YesNo</formula1>
    </dataValidation>
    <dataValidation type="list" allowBlank="1" showInputMessage="1" showErrorMessage="1" promptTitle="Application" sqref="K18:M18" xr:uid="{95C41A25-D803-49CE-8AA5-0C26294E44E1}">
      <formula1>Application</formula1>
    </dataValidation>
    <dataValidation type="list" allowBlank="1" showInputMessage="1" showErrorMessage="1" sqref="C22" xr:uid="{B469F2F4-21DB-4663-9CFB-B61E01991D93}">
      <formula1>Power</formula1>
    </dataValidation>
    <dataValidation type="list" allowBlank="1" showInputMessage="1" showErrorMessage="1" sqref="C20" xr:uid="{A3570F37-3465-49BE-9565-0EADC6147C60}">
      <formula1>RefrigerantType</formula1>
    </dataValidation>
    <dataValidation type="list" allowBlank="1" showInputMessage="1" showErrorMessage="1" sqref="C18" xr:uid="{766D871A-E434-4EAB-B288-E516C1EF86C6}">
      <formula1>CUType</formula1>
    </dataValidation>
  </dataValidations>
  <pageMargins left="0.7" right="0.7" top="0.75" bottom="0.75" header="0.3" footer="0.3"/>
  <pageSetup scale="9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ED2D7-E9A8-4D07-B992-C9B559DF33B7}">
  <sheetPr codeName="Sheet3"/>
  <dimension ref="A1:AD418"/>
  <sheetViews>
    <sheetView tabSelected="1" zoomScaleNormal="100" zoomScaleSheetLayoutView="130" workbookViewId="0">
      <pane xSplit="1" ySplit="9" topLeftCell="B10" activePane="bottomRight" state="frozen"/>
      <selection pane="topRight" activeCell="S3" sqref="S3"/>
      <selection pane="bottomLeft" activeCell="S3" sqref="S3"/>
      <selection pane="bottomRight" activeCell="E10" sqref="E10:T33"/>
    </sheetView>
  </sheetViews>
  <sheetFormatPr defaultColWidth="9.140625" defaultRowHeight="15" x14ac:dyDescent="0.25"/>
  <cols>
    <col min="3" max="3" width="13.85546875" bestFit="1" customWidth="1"/>
    <col min="4" max="4" width="11.42578125" customWidth="1"/>
    <col min="5" max="5" width="55.85546875" bestFit="1" customWidth="1"/>
    <col min="6" max="6" width="15.7109375" bestFit="1" customWidth="1"/>
    <col min="8" max="8" width="20.28515625" customWidth="1"/>
    <col min="12" max="12" width="11.140625" bestFit="1" customWidth="1"/>
  </cols>
  <sheetData>
    <row r="1" spans="1:30" ht="67.5" customHeight="1" x14ac:dyDescent="0.25"/>
    <row r="5" spans="1:30" hidden="1" x14ac:dyDescent="0.25"/>
    <row r="6" spans="1:30" hidden="1" x14ac:dyDescent="0.25"/>
    <row r="7" spans="1:30" ht="7.5" hidden="1" customHeight="1" x14ac:dyDescent="0.25"/>
    <row r="8" spans="1:30" ht="36" hidden="1" customHeight="1" x14ac:dyDescent="0.25"/>
    <row r="9" spans="1:30" ht="36" customHeight="1" x14ac:dyDescent="0.25">
      <c r="A9" t="s">
        <v>44</v>
      </c>
      <c r="B9" s="4" t="s">
        <v>63</v>
      </c>
      <c r="C9" s="4" t="s">
        <v>64</v>
      </c>
      <c r="D9" s="4" t="s">
        <v>47</v>
      </c>
      <c r="E9" t="s">
        <v>48</v>
      </c>
      <c r="F9" t="s">
        <v>49</v>
      </c>
      <c r="G9" t="s">
        <v>65</v>
      </c>
      <c r="H9" t="s">
        <v>66</v>
      </c>
      <c r="I9" t="s">
        <v>51</v>
      </c>
      <c r="J9" t="s">
        <v>52</v>
      </c>
      <c r="K9" s="6" t="s">
        <v>53</v>
      </c>
      <c r="L9" s="7" t="s">
        <v>54</v>
      </c>
      <c r="M9" s="7" t="s">
        <v>55</v>
      </c>
      <c r="N9" s="7" t="s">
        <v>56</v>
      </c>
      <c r="O9" s="7" t="s">
        <v>57</v>
      </c>
      <c r="P9" s="7" t="s">
        <v>58</v>
      </c>
      <c r="Q9" s="7" t="s">
        <v>59</v>
      </c>
      <c r="R9" s="7" t="s">
        <v>60</v>
      </c>
      <c r="S9" s="7" t="s">
        <v>61</v>
      </c>
      <c r="T9" s="7" t="s">
        <v>62</v>
      </c>
      <c r="U9" s="7" t="s">
        <v>594</v>
      </c>
    </row>
    <row r="10" spans="1:30" x14ac:dyDescent="0.25">
      <c r="A10">
        <v>1</v>
      </c>
      <c r="B10" s="93" t="str">
        <f>IFERROR(RIGHT(Table24[[#This Row],[Controller Input '#]],3)*1,"")</f>
        <v/>
      </c>
      <c r="C10" s="94"/>
      <c r="D10" s="70"/>
      <c r="E10" s="119" t="s">
        <v>596</v>
      </c>
      <c r="F10" s="87" t="s">
        <v>1125</v>
      </c>
      <c r="G10" s="1" t="s">
        <v>112</v>
      </c>
      <c r="H10" s="8"/>
      <c r="I10" s="1" t="s">
        <v>1018</v>
      </c>
      <c r="J10" s="83" t="s">
        <v>71</v>
      </c>
      <c r="K10" s="1"/>
      <c r="L10" s="1"/>
      <c r="M10" s="1"/>
      <c r="N10" s="1"/>
      <c r="O10" s="1"/>
      <c r="Q10" s="1"/>
      <c r="R10" s="1"/>
      <c r="S10" s="7"/>
      <c r="T10" s="1"/>
      <c r="V10" t="str" cm="1">
        <f t="array" ref="V10:V22">_xlfn.UNIQUE(Table24[XNNOV '#])</f>
        <v/>
      </c>
    </row>
    <row r="11" spans="1:30" x14ac:dyDescent="0.25">
      <c r="A11">
        <f t="shared" ref="A11:A77" si="0">A10+1</f>
        <v>2</v>
      </c>
      <c r="B11" s="93" t="str">
        <f>IFERROR(RIGHT(Table24[[#This Row],[Controller Input '#]],3)*1,"")</f>
        <v/>
      </c>
      <c r="C11" s="95"/>
      <c r="D11" s="72"/>
      <c r="E11" s="120" t="s">
        <v>598</v>
      </c>
      <c r="F11" s="1" t="s">
        <v>1124</v>
      </c>
      <c r="G11" s="1" t="s">
        <v>112</v>
      </c>
      <c r="H11" s="8"/>
      <c r="I11" s="1" t="s">
        <v>1018</v>
      </c>
      <c r="J11" s="1" t="s">
        <v>71</v>
      </c>
      <c r="K11" s="1"/>
      <c r="L11" s="1"/>
      <c r="M11" s="1"/>
      <c r="N11" s="1"/>
      <c r="O11" s="1"/>
      <c r="Q11" s="1"/>
      <c r="R11" s="1"/>
      <c r="S11" s="7"/>
      <c r="T11" s="1"/>
      <c r="U11" s="67"/>
      <c r="V11">
        <v>306</v>
      </c>
    </row>
    <row r="12" spans="1:30" x14ac:dyDescent="0.25">
      <c r="A12">
        <f t="shared" si="0"/>
        <v>3</v>
      </c>
      <c r="B12" s="93" t="str">
        <f>IFERROR(RIGHT(Table24[[#This Row],[Controller Input '#]],3)*1,"")</f>
        <v/>
      </c>
      <c r="C12" s="94"/>
      <c r="D12" s="74"/>
      <c r="E12" s="120" t="s">
        <v>1016</v>
      </c>
      <c r="F12" s="104" t="s">
        <v>1017</v>
      </c>
      <c r="G12" s="1" t="s">
        <v>133</v>
      </c>
      <c r="H12" s="8"/>
      <c r="I12" s="1" t="s">
        <v>70</v>
      </c>
      <c r="J12" s="83" t="s">
        <v>71</v>
      </c>
      <c r="K12" s="1"/>
      <c r="L12" s="1"/>
      <c r="M12" s="83"/>
      <c r="N12" s="83">
        <v>1</v>
      </c>
      <c r="O12" s="83"/>
      <c r="P12" s="70" t="s">
        <v>940</v>
      </c>
      <c r="Q12" s="83"/>
      <c r="R12" s="83"/>
      <c r="S12" s="85" t="s">
        <v>1002</v>
      </c>
      <c r="T12" s="86" t="s">
        <v>34</v>
      </c>
      <c r="U12" s="7"/>
      <c r="V12">
        <v>506</v>
      </c>
    </row>
    <row r="13" spans="1:30" x14ac:dyDescent="0.25">
      <c r="A13">
        <f t="shared" si="0"/>
        <v>4</v>
      </c>
      <c r="B13" s="93" t="str">
        <f>IFERROR(RIGHT(Table24[[#This Row],[Controller Input '#]],3)*1,"")</f>
        <v/>
      </c>
      <c r="C13" s="94"/>
      <c r="D13" s="82"/>
      <c r="E13" s="120" t="s">
        <v>1126</v>
      </c>
      <c r="F13" s="1" t="s">
        <v>1127</v>
      </c>
      <c r="G13" s="1" t="s">
        <v>133</v>
      </c>
      <c r="H13" s="8"/>
      <c r="I13" s="1" t="s">
        <v>70</v>
      </c>
      <c r="J13" s="1" t="s">
        <v>71</v>
      </c>
      <c r="K13" s="1"/>
      <c r="L13" s="1"/>
      <c r="M13" s="72"/>
      <c r="N13" s="72"/>
      <c r="O13" s="72">
        <v>1</v>
      </c>
      <c r="P13" s="72" t="s">
        <v>941</v>
      </c>
      <c r="Q13" s="72"/>
      <c r="R13" s="72"/>
      <c r="S13" s="72" t="s">
        <v>1003</v>
      </c>
      <c r="T13" s="73"/>
      <c r="U13" s="7"/>
      <c r="V13">
        <v>602</v>
      </c>
    </row>
    <row r="14" spans="1:30" x14ac:dyDescent="0.25">
      <c r="A14">
        <f t="shared" si="0"/>
        <v>5</v>
      </c>
      <c r="B14" s="93" t="str">
        <f>IFERROR(RIGHT(Table24[[#This Row],[Controller Input '#]],3)*1,"")</f>
        <v/>
      </c>
      <c r="C14" s="94"/>
      <c r="D14" s="82"/>
      <c r="E14" s="121" t="s">
        <v>95</v>
      </c>
      <c r="F14" s="83" t="s">
        <v>96</v>
      </c>
      <c r="G14" s="83" t="s">
        <v>218</v>
      </c>
      <c r="H14" s="84"/>
      <c r="I14" s="83" t="s">
        <v>70</v>
      </c>
      <c r="J14" s="83" t="s">
        <v>71</v>
      </c>
      <c r="K14" s="83" t="s">
        <v>84</v>
      </c>
      <c r="L14" s="83" t="s">
        <v>85</v>
      </c>
      <c r="M14" s="70"/>
      <c r="N14" s="70"/>
      <c r="O14" s="70">
        <v>1</v>
      </c>
      <c r="P14" s="70" t="s">
        <v>941</v>
      </c>
      <c r="Q14" s="70"/>
      <c r="R14" s="70"/>
      <c r="S14" s="70" t="s">
        <v>1003</v>
      </c>
      <c r="T14" s="71" t="s">
        <v>34</v>
      </c>
      <c r="U14" s="7"/>
      <c r="V14">
        <v>703</v>
      </c>
      <c r="W14" s="24" t="s">
        <v>83</v>
      </c>
      <c r="Y14" t="s">
        <v>86</v>
      </c>
      <c r="Z14" t="s">
        <v>87</v>
      </c>
      <c r="AA14">
        <v>3</v>
      </c>
      <c r="AC14" t="str">
        <f t="shared" ref="AC14:AC19" si="1">Y14&amp;"_"&amp;Z14&amp;AA14</f>
        <v>Suc_T3</v>
      </c>
      <c r="AD14" t="b">
        <f t="shared" ref="AD14:AD36" si="2">AC14=W14</f>
        <v>0</v>
      </c>
    </row>
    <row r="15" spans="1:30" x14ac:dyDescent="0.25">
      <c r="A15">
        <f t="shared" si="0"/>
        <v>6</v>
      </c>
      <c r="B15" s="93" t="str">
        <f>IFERROR(RIGHT(Table24[[#This Row],[Controller Input '#]],3)*1,"")</f>
        <v/>
      </c>
      <c r="C15" s="94"/>
      <c r="D15" s="82"/>
      <c r="E15" s="122" t="s">
        <v>1013</v>
      </c>
      <c r="F15" s="72" t="s">
        <v>1014</v>
      </c>
      <c r="G15" s="72" t="s">
        <v>112</v>
      </c>
      <c r="H15" s="72"/>
      <c r="I15" s="72" t="s">
        <v>103</v>
      </c>
      <c r="J15" s="72" t="s">
        <v>71</v>
      </c>
      <c r="K15" s="72" t="s">
        <v>112</v>
      </c>
      <c r="L15" s="72"/>
      <c r="M15" s="83"/>
      <c r="N15" s="83"/>
      <c r="O15" s="83"/>
      <c r="P15" s="70"/>
      <c r="Q15" s="83" t="e">
        <f>IF(Table24[[#This Row],[Type]]="","",LEFT(Table24[[#This Row],[Type]],1)&amp;LEFT(#REF!,1))</f>
        <v>#REF!</v>
      </c>
      <c r="R15" s="83"/>
      <c r="S15" s="85"/>
      <c r="T15" s="86"/>
      <c r="U15" s="7"/>
      <c r="V15">
        <v>704</v>
      </c>
      <c r="W15" s="24"/>
    </row>
    <row r="16" spans="1:30" x14ac:dyDescent="0.25">
      <c r="A16">
        <f t="shared" si="0"/>
        <v>7</v>
      </c>
      <c r="B16" s="93" t="str">
        <f>IFERROR(RIGHT(Table24[[#This Row],[Controller Input '#]],3)*1,"")</f>
        <v/>
      </c>
      <c r="C16" s="94"/>
      <c r="D16" s="82"/>
      <c r="E16" s="122" t="s">
        <v>162</v>
      </c>
      <c r="F16" s="70" t="s">
        <v>163</v>
      </c>
      <c r="G16" s="70" t="s">
        <v>112</v>
      </c>
      <c r="H16" s="70"/>
      <c r="I16" s="70" t="s">
        <v>103</v>
      </c>
      <c r="J16" s="70" t="s">
        <v>71</v>
      </c>
      <c r="K16" s="70" t="s">
        <v>112</v>
      </c>
      <c r="L16" s="70"/>
      <c r="M16" s="83"/>
      <c r="N16" s="83"/>
      <c r="O16" s="83"/>
      <c r="P16" s="70"/>
      <c r="Q16" s="83" t="e">
        <f>IF(Table24[[#This Row],[Type]]="","",LEFT(Table24[[#This Row],[Type]],1)&amp;LEFT(#REF!,1))</f>
        <v>#REF!</v>
      </c>
      <c r="R16" s="83"/>
      <c r="S16" s="85"/>
      <c r="T16" s="86"/>
      <c r="U16" s="7"/>
      <c r="V16">
        <v>705</v>
      </c>
      <c r="W16" s="24"/>
    </row>
    <row r="17" spans="1:30" x14ac:dyDescent="0.25">
      <c r="A17">
        <f t="shared" si="0"/>
        <v>8</v>
      </c>
      <c r="B17" s="93" t="str">
        <f>IFERROR(RIGHT(Table24[[#This Row],[Controller Input '#]],3)*1,"")</f>
        <v/>
      </c>
      <c r="C17" s="94"/>
      <c r="D17" s="82"/>
      <c r="E17" s="120" t="s">
        <v>1128</v>
      </c>
      <c r="F17" s="83"/>
      <c r="G17" s="83"/>
      <c r="H17" s="84"/>
      <c r="I17" s="83"/>
      <c r="J17" s="83"/>
      <c r="K17" s="83"/>
      <c r="L17" s="83"/>
      <c r="M17" s="83"/>
      <c r="N17" s="83"/>
      <c r="O17" s="83"/>
      <c r="P17" s="70"/>
      <c r="Q17" s="83" t="str">
        <f>IF(Table24[[#This Row],[Type]]="","",LEFT(Table24[[#This Row],[Type]],1)&amp;LEFT(#REF!,1))</f>
        <v/>
      </c>
      <c r="R17" s="83"/>
      <c r="S17" s="85"/>
      <c r="T17" s="86"/>
      <c r="U17" s="7"/>
      <c r="V17">
        <v>804</v>
      </c>
      <c r="W17" s="24"/>
    </row>
    <row r="18" spans="1:30" x14ac:dyDescent="0.25">
      <c r="A18">
        <f>A17+1</f>
        <v>9</v>
      </c>
      <c r="B18" s="93" t="str">
        <f>IFERROR(RIGHT(Table24[[#This Row],[Controller Input '#]],3)*1,"")</f>
        <v/>
      </c>
      <c r="C18" s="96"/>
      <c r="D18" s="75" t="s">
        <v>1004</v>
      </c>
      <c r="E18" s="123" t="s">
        <v>110</v>
      </c>
      <c r="F18" s="109" t="s">
        <v>111</v>
      </c>
      <c r="G18" s="109" t="s">
        <v>112</v>
      </c>
      <c r="H18" s="111"/>
      <c r="I18" s="109" t="s">
        <v>103</v>
      </c>
      <c r="J18" s="109" t="s">
        <v>71</v>
      </c>
      <c r="K18" s="109" t="s">
        <v>112</v>
      </c>
      <c r="L18" s="109"/>
      <c r="M18" s="109"/>
      <c r="N18" s="114"/>
      <c r="O18" s="114">
        <v>1</v>
      </c>
      <c r="P18" s="77" t="s">
        <v>941</v>
      </c>
      <c r="Q18" s="114"/>
      <c r="R18" s="114"/>
      <c r="S18" s="77" t="s">
        <v>1009</v>
      </c>
      <c r="T18" s="115" t="s">
        <v>34</v>
      </c>
      <c r="U18" s="7"/>
      <c r="V18">
        <v>805</v>
      </c>
      <c r="W18" s="25" t="s">
        <v>89</v>
      </c>
      <c r="Y18" t="s">
        <v>91</v>
      </c>
      <c r="Z18" t="s">
        <v>87</v>
      </c>
      <c r="AA18">
        <v>3</v>
      </c>
      <c r="AC18" t="str">
        <f t="shared" si="1"/>
        <v>Dis_T3</v>
      </c>
      <c r="AD18" t="b">
        <f t="shared" si="2"/>
        <v>0</v>
      </c>
    </row>
    <row r="19" spans="1:30" x14ac:dyDescent="0.25">
      <c r="A19">
        <f t="shared" si="0"/>
        <v>10</v>
      </c>
      <c r="B19" s="93" t="str">
        <f>IFERROR(RIGHT(Table24[[#This Row],[Controller Input '#]],3)*1,"")</f>
        <v/>
      </c>
      <c r="C19" s="96"/>
      <c r="D19" s="81" t="s">
        <v>1004</v>
      </c>
      <c r="E19" s="123" t="s">
        <v>116</v>
      </c>
      <c r="F19" s="108" t="s">
        <v>117</v>
      </c>
      <c r="G19" s="108" t="s">
        <v>112</v>
      </c>
      <c r="H19" s="112"/>
      <c r="I19" s="108" t="s">
        <v>103</v>
      </c>
      <c r="J19" s="108" t="s">
        <v>71</v>
      </c>
      <c r="K19" s="108" t="s">
        <v>112</v>
      </c>
      <c r="L19" s="108"/>
      <c r="M19" s="108"/>
      <c r="N19" s="113"/>
      <c r="O19" s="113">
        <v>1</v>
      </c>
      <c r="P19" s="79" t="s">
        <v>941</v>
      </c>
      <c r="Q19" s="113"/>
      <c r="R19" s="113"/>
      <c r="S19" s="79" t="s">
        <v>1010</v>
      </c>
      <c r="T19" s="116" t="s">
        <v>34</v>
      </c>
      <c r="U19" s="7"/>
      <c r="V19">
        <v>806</v>
      </c>
      <c r="W19" s="24" t="s">
        <v>93</v>
      </c>
      <c r="Y19" t="s">
        <v>94</v>
      </c>
      <c r="Z19" t="s">
        <v>87</v>
      </c>
      <c r="AA19">
        <v>3</v>
      </c>
      <c r="AC19" t="str">
        <f t="shared" si="1"/>
        <v>Liq_T3</v>
      </c>
      <c r="AD19" t="b">
        <f t="shared" si="2"/>
        <v>0</v>
      </c>
    </row>
    <row r="20" spans="1:30" x14ac:dyDescent="0.25">
      <c r="A20">
        <f t="shared" si="0"/>
        <v>11</v>
      </c>
      <c r="B20" s="93" t="str">
        <f>IFERROR(RIGHT(Table24[[#This Row],[Controller Input '#]],3)*1,"")</f>
        <v/>
      </c>
      <c r="C20" s="96"/>
      <c r="D20" s="75" t="s">
        <v>1004</v>
      </c>
      <c r="E20" s="123" t="s">
        <v>120</v>
      </c>
      <c r="F20" s="109" t="s">
        <v>121</v>
      </c>
      <c r="G20" s="109" t="s">
        <v>112</v>
      </c>
      <c r="H20" s="111"/>
      <c r="I20" s="109" t="s">
        <v>103</v>
      </c>
      <c r="J20" s="109" t="s">
        <v>71</v>
      </c>
      <c r="K20" s="109" t="s">
        <v>112</v>
      </c>
      <c r="L20" s="109"/>
      <c r="M20" s="109"/>
      <c r="N20" s="109"/>
      <c r="O20" s="109"/>
      <c r="P20" s="76"/>
      <c r="Q20" s="114"/>
      <c r="R20" s="114"/>
      <c r="S20" s="77"/>
      <c r="T20" s="115" t="s">
        <v>34</v>
      </c>
      <c r="U20" s="7"/>
      <c r="V20">
        <v>807</v>
      </c>
      <c r="W20" s="24" t="s">
        <v>97</v>
      </c>
      <c r="Y20" t="s">
        <v>98</v>
      </c>
      <c r="Z20" t="s">
        <v>99</v>
      </c>
      <c r="AA20">
        <v>3</v>
      </c>
      <c r="AC20" t="str">
        <f>Y20&amp;"_"&amp;Z20&amp;AA20</f>
        <v>EEV_Fdk3</v>
      </c>
      <c r="AD20" t="b">
        <f t="shared" si="2"/>
        <v>0</v>
      </c>
    </row>
    <row r="21" spans="1:30" x14ac:dyDescent="0.25">
      <c r="A21">
        <f t="shared" si="0"/>
        <v>12</v>
      </c>
      <c r="B21" s="93" t="str">
        <f>IFERROR(RIGHT(Table24[[#This Row],[Controller Input '#]],3)*1,"")</f>
        <v/>
      </c>
      <c r="C21" s="96"/>
      <c r="D21" s="75" t="s">
        <v>1004</v>
      </c>
      <c r="E21" s="123" t="s">
        <v>131</v>
      </c>
      <c r="F21" s="108" t="s">
        <v>132</v>
      </c>
      <c r="G21" s="108" t="s">
        <v>133</v>
      </c>
      <c r="H21" s="112"/>
      <c r="I21" s="108" t="s">
        <v>70</v>
      </c>
      <c r="J21" s="108" t="s">
        <v>71</v>
      </c>
      <c r="K21" s="108" t="s">
        <v>80</v>
      </c>
      <c r="L21" s="108"/>
      <c r="M21" s="108" t="s">
        <v>142</v>
      </c>
      <c r="N21" s="113">
        <v>1</v>
      </c>
      <c r="O21" s="113"/>
      <c r="P21" s="79" t="s">
        <v>940</v>
      </c>
      <c r="Q21" s="108"/>
      <c r="R21" s="108"/>
      <c r="S21" s="79"/>
      <c r="T21" s="117"/>
      <c r="U21" s="7"/>
      <c r="V21">
        <v>808</v>
      </c>
      <c r="W21" s="24" t="s">
        <v>104</v>
      </c>
      <c r="Y21" t="s">
        <v>98</v>
      </c>
      <c r="Z21" t="s">
        <v>105</v>
      </c>
      <c r="AA21">
        <v>3</v>
      </c>
      <c r="AC21" t="str">
        <f>Y21&amp;"_"&amp;Z21&amp;AA21</f>
        <v>EEV_Sts3</v>
      </c>
      <c r="AD21" t="b">
        <f t="shared" si="2"/>
        <v>0</v>
      </c>
    </row>
    <row r="22" spans="1:30" x14ac:dyDescent="0.25">
      <c r="A22">
        <f t="shared" si="0"/>
        <v>13</v>
      </c>
      <c r="B22" s="93" t="str">
        <f>IFERROR(RIGHT(Table24[[#This Row],[Controller Input '#]],3)*1,"")</f>
        <v/>
      </c>
      <c r="C22" s="96"/>
      <c r="D22" s="78" t="s">
        <v>1004</v>
      </c>
      <c r="E22" s="123" t="s">
        <v>139</v>
      </c>
      <c r="F22" s="109" t="s">
        <v>140</v>
      </c>
      <c r="G22" s="109" t="s">
        <v>133</v>
      </c>
      <c r="H22" s="111"/>
      <c r="I22" s="109" t="s">
        <v>70</v>
      </c>
      <c r="J22" s="109" t="s">
        <v>71</v>
      </c>
      <c r="K22" s="109" t="s">
        <v>80</v>
      </c>
      <c r="L22" s="109"/>
      <c r="M22" s="109"/>
      <c r="N22" s="109"/>
      <c r="O22" s="109"/>
      <c r="P22" s="76"/>
      <c r="Q22" s="109"/>
      <c r="R22" s="109"/>
      <c r="S22" s="77"/>
      <c r="T22" s="118"/>
      <c r="U22" s="7"/>
      <c r="V22">
        <v>908</v>
      </c>
      <c r="W22" t="s">
        <v>101</v>
      </c>
      <c r="Y22" t="s">
        <v>108</v>
      </c>
      <c r="Z22" t="s">
        <v>109</v>
      </c>
      <c r="AA22">
        <v>3</v>
      </c>
      <c r="AC22" t="str">
        <f t="shared" ref="AC22" si="3">Y22&amp;"_"&amp;Z22&amp;AA22</f>
        <v>LP_Sw3</v>
      </c>
      <c r="AD22" t="b">
        <f t="shared" si="2"/>
        <v>0</v>
      </c>
    </row>
    <row r="23" spans="1:30" x14ac:dyDescent="0.25">
      <c r="A23">
        <f t="shared" si="0"/>
        <v>14</v>
      </c>
      <c r="B23" s="93" t="str">
        <f>IFERROR(RIGHT(Table24[[#This Row],[Controller Input '#]],3)*1,"")</f>
        <v/>
      </c>
      <c r="C23" s="96"/>
      <c r="D23" s="78"/>
      <c r="E23" s="123" t="s">
        <v>1131</v>
      </c>
      <c r="F23" s="110" t="s">
        <v>1036</v>
      </c>
      <c r="G23" s="109" t="s">
        <v>133</v>
      </c>
      <c r="H23" s="111"/>
      <c r="I23" s="109" t="s">
        <v>70</v>
      </c>
      <c r="J23" s="109" t="s">
        <v>71</v>
      </c>
      <c r="K23" s="109" t="s">
        <v>80</v>
      </c>
      <c r="L23" s="109"/>
      <c r="M23" s="109"/>
      <c r="N23" s="109"/>
      <c r="O23" s="109"/>
      <c r="P23" s="76"/>
      <c r="Q23" s="109"/>
      <c r="R23" s="109"/>
      <c r="S23" s="77"/>
      <c r="T23" s="118"/>
      <c r="U23" s="7"/>
      <c r="W23" t="s">
        <v>113</v>
      </c>
      <c r="Y23" t="s">
        <v>114</v>
      </c>
      <c r="Z23" t="s">
        <v>115</v>
      </c>
      <c r="AA23">
        <v>3</v>
      </c>
      <c r="AB23">
        <v>1</v>
      </c>
      <c r="AC23" t="str">
        <f t="shared" ref="AC23:AC36" si="4">Y23&amp;"_"&amp;Z23&amp;AA23&amp;"-"&amp;AB23</f>
        <v>Comp_Amp3-1</v>
      </c>
      <c r="AD23" t="b">
        <f t="shared" si="2"/>
        <v>0</v>
      </c>
    </row>
    <row r="24" spans="1:30" x14ac:dyDescent="0.25">
      <c r="A24">
        <f t="shared" si="0"/>
        <v>15</v>
      </c>
      <c r="B24" s="93" t="str">
        <f>IFERROR(RIGHT(Table24[[#This Row],[Controller Input '#]],3)*1,"")</f>
        <v/>
      </c>
      <c r="C24" s="97"/>
      <c r="D24" s="76"/>
      <c r="E24" s="123" t="s">
        <v>100</v>
      </c>
      <c r="F24" s="109" t="s">
        <v>101</v>
      </c>
      <c r="G24" s="109" t="s">
        <v>102</v>
      </c>
      <c r="H24" s="111"/>
      <c r="I24" s="109" t="s">
        <v>103</v>
      </c>
      <c r="J24" s="109" t="s">
        <v>71</v>
      </c>
      <c r="K24" s="109" t="s">
        <v>102</v>
      </c>
      <c r="L24" s="109"/>
      <c r="M24" s="109"/>
      <c r="N24" s="114"/>
      <c r="O24" s="114">
        <v>1</v>
      </c>
      <c r="P24" s="77" t="s">
        <v>941</v>
      </c>
      <c r="Q24" s="114"/>
      <c r="R24" s="114"/>
      <c r="S24" s="77" t="s">
        <v>1007</v>
      </c>
      <c r="T24" s="115" t="s">
        <v>34</v>
      </c>
      <c r="U24" s="7"/>
      <c r="W24" t="s">
        <v>118</v>
      </c>
      <c r="Y24" t="s">
        <v>114</v>
      </c>
      <c r="Z24" t="s">
        <v>119</v>
      </c>
      <c r="AA24">
        <v>3</v>
      </c>
      <c r="AB24">
        <v>1</v>
      </c>
      <c r="AC24" t="str">
        <f t="shared" si="4"/>
        <v>Comp_kW3-1</v>
      </c>
      <c r="AD24" t="b">
        <f t="shared" si="2"/>
        <v>0</v>
      </c>
    </row>
    <row r="25" spans="1:30" x14ac:dyDescent="0.25">
      <c r="A25">
        <f t="shared" si="0"/>
        <v>16</v>
      </c>
      <c r="B25" s="93" t="str">
        <f>IFERROR(RIGHT(Table24[[#This Row],[Controller Input '#]],3)*1,"")</f>
        <v/>
      </c>
      <c r="C25" s="96"/>
      <c r="D25" s="78"/>
      <c r="E25" s="123" t="s">
        <v>106</v>
      </c>
      <c r="F25" s="108" t="s">
        <v>107</v>
      </c>
      <c r="G25" s="108" t="s">
        <v>102</v>
      </c>
      <c r="H25" s="112"/>
      <c r="I25" s="108" t="s">
        <v>103</v>
      </c>
      <c r="J25" s="108" t="s">
        <v>71</v>
      </c>
      <c r="K25" s="108" t="s">
        <v>102</v>
      </c>
      <c r="L25" s="108"/>
      <c r="M25" s="108"/>
      <c r="N25" s="113"/>
      <c r="O25" s="113">
        <v>1</v>
      </c>
      <c r="P25" s="79" t="s">
        <v>941</v>
      </c>
      <c r="Q25" s="113"/>
      <c r="R25" s="113"/>
      <c r="S25" s="79" t="s">
        <v>1008</v>
      </c>
      <c r="T25" s="116" t="s">
        <v>34</v>
      </c>
      <c r="U25" s="7"/>
    </row>
    <row r="26" spans="1:30" x14ac:dyDescent="0.25">
      <c r="A26">
        <f t="shared" si="0"/>
        <v>17</v>
      </c>
      <c r="B26" s="93" t="str">
        <f>IFERROR(RIGHT(Table24[[#This Row],[Controller Input '#]],3)*1,"")</f>
        <v/>
      </c>
      <c r="C26" s="97"/>
      <c r="D26" s="76"/>
      <c r="E26" s="124" t="s">
        <v>67</v>
      </c>
      <c r="F26" s="108" t="s">
        <v>68</v>
      </c>
      <c r="G26" s="109" t="s">
        <v>69</v>
      </c>
      <c r="H26" s="111"/>
      <c r="I26" s="109" t="s">
        <v>70</v>
      </c>
      <c r="J26" s="109" t="s">
        <v>71</v>
      </c>
      <c r="K26" s="109" t="s">
        <v>72</v>
      </c>
      <c r="L26" s="109" t="s">
        <v>73</v>
      </c>
      <c r="M26" s="114"/>
      <c r="N26" s="114">
        <v>1</v>
      </c>
      <c r="O26" s="114"/>
      <c r="P26" s="77" t="s">
        <v>940</v>
      </c>
      <c r="Q26" s="114"/>
      <c r="R26" s="114"/>
      <c r="S26" s="77" t="s">
        <v>1005</v>
      </c>
      <c r="T26" s="115" t="s">
        <v>34</v>
      </c>
      <c r="U26" s="7"/>
      <c r="W26" t="s">
        <v>122</v>
      </c>
      <c r="Y26" t="s">
        <v>123</v>
      </c>
      <c r="Z26" t="s">
        <v>124</v>
      </c>
      <c r="AA26">
        <v>3</v>
      </c>
      <c r="AB26">
        <v>1</v>
      </c>
      <c r="AC26" t="str">
        <f>Y26&amp;"_"&amp;Z26&amp;AA26&amp;"-"&amp;AB26</f>
        <v>Cond_Alm3-1</v>
      </c>
      <c r="AD26" t="b">
        <f>AC26=W26</f>
        <v>0</v>
      </c>
    </row>
    <row r="27" spans="1:30" x14ac:dyDescent="0.25">
      <c r="A27">
        <f t="shared" si="0"/>
        <v>18</v>
      </c>
      <c r="B27" s="93" t="str">
        <f>IFERROR(RIGHT(Table24[[#This Row],[Controller Input '#]],3)*1,"")</f>
        <v/>
      </c>
      <c r="C27" s="97"/>
      <c r="D27" s="76"/>
      <c r="E27" s="124" t="s">
        <v>74</v>
      </c>
      <c r="F27" s="108" t="s">
        <v>75</v>
      </c>
      <c r="G27" s="108" t="s">
        <v>69</v>
      </c>
      <c r="H27" s="112"/>
      <c r="I27" s="108" t="s">
        <v>70</v>
      </c>
      <c r="J27" s="108" t="s">
        <v>71</v>
      </c>
      <c r="K27" s="108" t="s">
        <v>72</v>
      </c>
      <c r="L27" s="108" t="s">
        <v>76</v>
      </c>
      <c r="M27" s="108"/>
      <c r="N27" s="113">
        <v>1</v>
      </c>
      <c r="O27" s="113"/>
      <c r="P27" s="79" t="s">
        <v>940</v>
      </c>
      <c r="Q27" s="113"/>
      <c r="R27" s="113"/>
      <c r="S27" s="79" t="s">
        <v>1006</v>
      </c>
      <c r="T27" s="116" t="s">
        <v>34</v>
      </c>
      <c r="U27" s="7"/>
      <c r="W27" t="s">
        <v>126</v>
      </c>
      <c r="Y27" t="s">
        <v>114</v>
      </c>
      <c r="Z27" t="s">
        <v>105</v>
      </c>
      <c r="AA27">
        <v>3</v>
      </c>
      <c r="AB27">
        <v>1</v>
      </c>
      <c r="AC27" t="str">
        <f t="shared" si="4"/>
        <v>Comp_Sts3-1</v>
      </c>
      <c r="AD27" t="b">
        <f t="shared" si="2"/>
        <v>0</v>
      </c>
    </row>
    <row r="28" spans="1:30" x14ac:dyDescent="0.25">
      <c r="A28">
        <f t="shared" si="0"/>
        <v>19</v>
      </c>
      <c r="B28" s="93" t="str">
        <f>IFERROR(RIGHT(Table24[[#This Row],[Controller Input '#]],3)*1,"")</f>
        <v/>
      </c>
      <c r="C28" s="96"/>
      <c r="D28" s="78"/>
      <c r="E28" s="124" t="s">
        <v>77</v>
      </c>
      <c r="F28" s="108" t="s">
        <v>78</v>
      </c>
      <c r="G28" s="109" t="s">
        <v>69</v>
      </c>
      <c r="H28" s="111"/>
      <c r="I28" s="109" t="s">
        <v>70</v>
      </c>
      <c r="J28" s="109" t="s">
        <v>71</v>
      </c>
      <c r="K28" s="109" t="s">
        <v>72</v>
      </c>
      <c r="L28" s="109" t="s">
        <v>76</v>
      </c>
      <c r="M28" s="109"/>
      <c r="N28" s="114">
        <v>1</v>
      </c>
      <c r="O28" s="114"/>
      <c r="P28" s="77" t="s">
        <v>940</v>
      </c>
      <c r="Q28" s="114"/>
      <c r="R28" s="114"/>
      <c r="S28" s="77" t="s">
        <v>204</v>
      </c>
      <c r="T28" s="115" t="s">
        <v>34</v>
      </c>
      <c r="U28" s="7"/>
      <c r="W28" t="s">
        <v>128</v>
      </c>
      <c r="Y28" t="s">
        <v>114</v>
      </c>
      <c r="Z28" t="s">
        <v>124</v>
      </c>
      <c r="AA28">
        <v>3</v>
      </c>
      <c r="AB28">
        <v>1</v>
      </c>
      <c r="AC28" t="str">
        <f t="shared" si="4"/>
        <v>Comp_Alm3-1</v>
      </c>
      <c r="AD28" t="b">
        <f t="shared" si="2"/>
        <v>0</v>
      </c>
    </row>
    <row r="29" spans="1:30" x14ac:dyDescent="0.25">
      <c r="A29">
        <f t="shared" si="0"/>
        <v>20</v>
      </c>
      <c r="B29" s="93" t="str">
        <f>IFERROR(RIGHT(Table24[[#This Row],[Controller Input '#]],3)*1,"")</f>
        <v/>
      </c>
      <c r="C29" s="97"/>
      <c r="D29" s="76"/>
      <c r="E29" s="124" t="s">
        <v>82</v>
      </c>
      <c r="F29" s="108" t="s">
        <v>83</v>
      </c>
      <c r="G29" s="108" t="s">
        <v>218</v>
      </c>
      <c r="H29" s="112"/>
      <c r="I29" s="108" t="s">
        <v>70</v>
      </c>
      <c r="J29" s="108" t="s">
        <v>71</v>
      </c>
      <c r="K29" s="108" t="s">
        <v>84</v>
      </c>
      <c r="L29" s="113" t="s">
        <v>85</v>
      </c>
      <c r="M29" s="108"/>
      <c r="N29" s="113">
        <v>1</v>
      </c>
      <c r="O29" s="113"/>
      <c r="P29" s="79" t="s">
        <v>940</v>
      </c>
      <c r="Q29" s="113"/>
      <c r="R29" s="113"/>
      <c r="S29" s="79" t="s">
        <v>207</v>
      </c>
      <c r="T29" s="116" t="s">
        <v>34</v>
      </c>
      <c r="U29" s="7"/>
      <c r="W29" t="s">
        <v>129</v>
      </c>
      <c r="Y29" t="s">
        <v>114</v>
      </c>
      <c r="Z29" t="s">
        <v>105</v>
      </c>
      <c r="AA29">
        <v>3</v>
      </c>
      <c r="AB29">
        <v>2</v>
      </c>
      <c r="AC29" t="str">
        <f t="shared" si="4"/>
        <v>Comp_Sts3-2</v>
      </c>
      <c r="AD29" t="b">
        <f t="shared" si="2"/>
        <v>0</v>
      </c>
    </row>
    <row r="30" spans="1:30" x14ac:dyDescent="0.25">
      <c r="A30">
        <f t="shared" si="0"/>
        <v>21</v>
      </c>
      <c r="B30" s="93" t="str">
        <f>IFERROR(RIGHT(Table24[[#This Row],[Controller Input '#]],3)*1,"")</f>
        <v/>
      </c>
      <c r="C30" s="96"/>
      <c r="D30" s="78"/>
      <c r="E30" s="124" t="s">
        <v>88</v>
      </c>
      <c r="F30" s="108" t="s">
        <v>89</v>
      </c>
      <c r="G30" s="109" t="s">
        <v>218</v>
      </c>
      <c r="H30" s="111"/>
      <c r="I30" s="109" t="s">
        <v>70</v>
      </c>
      <c r="J30" s="109" t="s">
        <v>71</v>
      </c>
      <c r="K30" s="109" t="s">
        <v>84</v>
      </c>
      <c r="L30" s="114" t="s">
        <v>90</v>
      </c>
      <c r="M30" s="109"/>
      <c r="N30" s="114">
        <v>1</v>
      </c>
      <c r="O30" s="114"/>
      <c r="P30" s="77" t="s">
        <v>940</v>
      </c>
      <c r="Q30" s="114"/>
      <c r="R30" s="114"/>
      <c r="S30" s="77" t="s">
        <v>210</v>
      </c>
      <c r="T30" s="115" t="s">
        <v>34</v>
      </c>
      <c r="U30" s="7"/>
      <c r="W30" t="s">
        <v>130</v>
      </c>
      <c r="Y30" t="s">
        <v>114</v>
      </c>
      <c r="Z30" t="s">
        <v>105</v>
      </c>
      <c r="AA30">
        <v>3</v>
      </c>
      <c r="AB30">
        <v>4</v>
      </c>
      <c r="AC30" t="str">
        <f t="shared" si="4"/>
        <v>Comp_Sts3-4</v>
      </c>
      <c r="AD30" t="b">
        <f t="shared" si="2"/>
        <v>0</v>
      </c>
    </row>
    <row r="31" spans="1:30" x14ac:dyDescent="0.25">
      <c r="A31">
        <f t="shared" si="0"/>
        <v>22</v>
      </c>
      <c r="B31" s="93" t="str">
        <f>IFERROR(RIGHT(Table24[[#This Row],[Controller Input '#]],3)*1,"")</f>
        <v/>
      </c>
      <c r="C31" s="97"/>
      <c r="D31" s="76"/>
      <c r="E31" s="124" t="s">
        <v>92</v>
      </c>
      <c r="F31" s="108" t="s">
        <v>93</v>
      </c>
      <c r="G31" s="108" t="s">
        <v>218</v>
      </c>
      <c r="H31" s="112"/>
      <c r="I31" s="108" t="s">
        <v>70</v>
      </c>
      <c r="J31" s="108" t="s">
        <v>71</v>
      </c>
      <c r="K31" s="108" t="s">
        <v>84</v>
      </c>
      <c r="L31" s="113" t="s">
        <v>90</v>
      </c>
      <c r="M31" s="108"/>
      <c r="N31" s="113">
        <v>1</v>
      </c>
      <c r="O31" s="113"/>
      <c r="P31" s="79" t="s">
        <v>940</v>
      </c>
      <c r="Q31" s="113"/>
      <c r="R31" s="113"/>
      <c r="S31" s="79" t="s">
        <v>213</v>
      </c>
      <c r="T31" s="116" t="s">
        <v>34</v>
      </c>
      <c r="U31" s="7"/>
      <c r="W31" t="s">
        <v>134</v>
      </c>
      <c r="Y31" t="s">
        <v>123</v>
      </c>
      <c r="Z31" t="s">
        <v>124</v>
      </c>
      <c r="AA31">
        <v>3</v>
      </c>
      <c r="AB31">
        <v>2</v>
      </c>
      <c r="AC31" t="str">
        <f t="shared" si="4"/>
        <v>Cond_Alm3-2</v>
      </c>
      <c r="AD31" t="b">
        <f t="shared" si="2"/>
        <v>0</v>
      </c>
    </row>
    <row r="32" spans="1:30" x14ac:dyDescent="0.25">
      <c r="A32">
        <f t="shared" si="0"/>
        <v>23</v>
      </c>
      <c r="B32" s="93" t="str">
        <f>IFERROR(RIGHT(Table24[[#This Row],[Controller Input '#]],3)*1,"")</f>
        <v/>
      </c>
      <c r="C32" s="97"/>
      <c r="D32" s="76"/>
      <c r="E32" s="124" t="s">
        <v>436</v>
      </c>
      <c r="F32" s="109" t="s">
        <v>437</v>
      </c>
      <c r="G32" s="109" t="s">
        <v>112</v>
      </c>
      <c r="H32" s="111"/>
      <c r="I32" s="109" t="s">
        <v>103</v>
      </c>
      <c r="J32" s="109" t="s">
        <v>71</v>
      </c>
      <c r="K32" s="109" t="s">
        <v>112</v>
      </c>
      <c r="L32" s="109"/>
      <c r="M32" s="109"/>
      <c r="N32" s="109"/>
      <c r="O32" s="109">
        <v>1</v>
      </c>
      <c r="P32" s="76" t="s">
        <v>941</v>
      </c>
      <c r="Q32" s="1"/>
      <c r="R32" s="1"/>
      <c r="S32" s="7"/>
      <c r="T32" s="1"/>
      <c r="U32" s="7"/>
      <c r="W32" t="s">
        <v>135</v>
      </c>
      <c r="Y32" t="s">
        <v>123</v>
      </c>
      <c r="Z32" t="s">
        <v>99</v>
      </c>
      <c r="AA32">
        <v>3</v>
      </c>
      <c r="AB32">
        <v>3</v>
      </c>
      <c r="AC32" t="str">
        <f t="shared" si="4"/>
        <v>Cond_Fdk3-3</v>
      </c>
      <c r="AD32" t="b">
        <f t="shared" si="2"/>
        <v>0</v>
      </c>
    </row>
    <row r="33" spans="1:30" x14ac:dyDescent="0.25">
      <c r="A33">
        <f t="shared" si="0"/>
        <v>24</v>
      </c>
      <c r="B33" s="93" t="str">
        <f>IFERROR(RIGHT(Table24[[#This Row],[Controller Input '#]],3)*1,"")</f>
        <v/>
      </c>
      <c r="C33" s="98"/>
      <c r="D33" s="1"/>
      <c r="E33" s="125"/>
      <c r="F33" s="1"/>
      <c r="G33" s="1"/>
      <c r="H33" s="8"/>
      <c r="I33" s="1"/>
      <c r="J33" s="1"/>
      <c r="K33" s="1"/>
      <c r="L33" s="1"/>
      <c r="M33" s="1"/>
      <c r="N33" s="1"/>
      <c r="O33" s="1"/>
      <c r="Q33" s="1"/>
      <c r="R33" s="1"/>
      <c r="S33" s="7"/>
      <c r="T33" s="1"/>
      <c r="U33" s="69"/>
      <c r="W33" t="s">
        <v>136</v>
      </c>
      <c r="Y33" t="s">
        <v>123</v>
      </c>
      <c r="Z33" t="s">
        <v>115</v>
      </c>
      <c r="AA33">
        <v>3</v>
      </c>
      <c r="AB33">
        <v>3</v>
      </c>
      <c r="AC33" t="str">
        <f t="shared" si="4"/>
        <v>Cond_Amp3-3</v>
      </c>
      <c r="AD33" t="b">
        <f t="shared" si="2"/>
        <v>0</v>
      </c>
    </row>
    <row r="34" spans="1:30" x14ac:dyDescent="0.25">
      <c r="A34">
        <f t="shared" si="0"/>
        <v>25</v>
      </c>
      <c r="B34" s="93" t="str">
        <f>IFERROR(RIGHT(Table24[[#This Row],[Controller Input '#]],3)*1,"")</f>
        <v/>
      </c>
      <c r="C34" s="99"/>
      <c r="D34" s="1"/>
      <c r="E34" s="126" t="s">
        <v>227</v>
      </c>
      <c r="F34" s="1" t="s">
        <v>228</v>
      </c>
      <c r="G34" s="1" t="s">
        <v>112</v>
      </c>
      <c r="H34" s="8"/>
      <c r="I34" s="1" t="s">
        <v>103</v>
      </c>
      <c r="J34" s="1" t="s">
        <v>71</v>
      </c>
      <c r="K34" s="1" t="s">
        <v>112</v>
      </c>
      <c r="L34" s="11"/>
      <c r="M34" s="11"/>
      <c r="N34" s="18" t="str">
        <f>IF(ISNUMBER(SEARCH("ANALOG",Table24[[#This Row],[Type]]))=TRUE,1,"")</f>
        <v/>
      </c>
      <c r="O34" s="18">
        <f>IF(ISNUMBER(SEARCH("BINARY",Table24[[#This Row],[Type]]))=TRUE,1,"")</f>
        <v>1</v>
      </c>
      <c r="P34" s="7" t="e">
        <f>IF(Table24[[#This Row],[Type]]="","",LEFT(Table24[[#This Row],[Type]],1)&amp;LEFT(#REF!,1))</f>
        <v>#REF!</v>
      </c>
      <c r="Q34" s="18" t="e">
        <f>IF(Table24[[#This Row],[Type]]="","",LEFT(Table24[[#This Row],[Type]],1)&amp;LEFT(#REF!,1))</f>
        <v>#REF!</v>
      </c>
      <c r="R34" s="18"/>
      <c r="S34" s="7" t="e">
        <f>IF(Table24[[#This Row],[A Counter]]=1,"AI"&amp;#REF!+SUM($N$35:N113),IF(Table24[[#This Row],[B Counter]]=1,"BI"&amp;#REF!+SUM($O$35:O113),""))</f>
        <v>#REF!</v>
      </c>
      <c r="T34" s="18" t="s">
        <v>34</v>
      </c>
      <c r="U34" s="68"/>
      <c r="W34" t="s">
        <v>137</v>
      </c>
      <c r="Y34" t="s">
        <v>123</v>
      </c>
      <c r="Z34" t="s">
        <v>119</v>
      </c>
      <c r="AA34">
        <v>3</v>
      </c>
      <c r="AB34">
        <v>3</v>
      </c>
      <c r="AC34" t="str">
        <f t="shared" si="4"/>
        <v>Cond_kW3-3</v>
      </c>
      <c r="AD34" t="b">
        <f t="shared" si="2"/>
        <v>0</v>
      </c>
    </row>
    <row r="35" spans="1:30" x14ac:dyDescent="0.25">
      <c r="A35">
        <f t="shared" si="0"/>
        <v>26</v>
      </c>
      <c r="B35" s="93" t="str">
        <f>IFERROR(RIGHT(Table24[[#This Row],[Controller Input '#]],3)*1,"")</f>
        <v/>
      </c>
      <c r="C35" s="99"/>
      <c r="D35" s="1"/>
      <c r="E35" s="126" t="s">
        <v>237</v>
      </c>
      <c r="F35" s="11" t="s">
        <v>238</v>
      </c>
      <c r="G35" s="1" t="s">
        <v>112</v>
      </c>
      <c r="H35" s="21"/>
      <c r="I35" s="11" t="s">
        <v>103</v>
      </c>
      <c r="J35" s="11" t="s">
        <v>71</v>
      </c>
      <c r="K35" s="11" t="s">
        <v>112</v>
      </c>
      <c r="L35" s="11"/>
      <c r="M35" s="11"/>
      <c r="N35" s="18" t="str">
        <f>IF(ISNUMBER(SEARCH("ANALOG",Table24[[#This Row],[Type]]))=TRUE,1,"")</f>
        <v/>
      </c>
      <c r="O35" s="18">
        <f>IF(ISNUMBER(SEARCH("BINARY",Table24[[#This Row],[Type]]))=TRUE,1,"")</f>
        <v>1</v>
      </c>
      <c r="P35" s="7" t="e">
        <f>IF(Table24[[#This Row],[Type]]="","",LEFT(Table24[[#This Row],[Type]],1)&amp;LEFT(#REF!,1))</f>
        <v>#REF!</v>
      </c>
      <c r="Q35" s="18" t="e">
        <f>IF(Table24[[#This Row],[Type]]="","",LEFT(Table24[[#This Row],[Type]],1)&amp;LEFT(#REF!,1))</f>
        <v>#REF!</v>
      </c>
      <c r="R35" s="18"/>
      <c r="S35" s="7" t="e">
        <f>IF(Table24[[#This Row],[A Counter]]=1,"AI"&amp;#REF!+SUM($N$35:N117),IF(Table24[[#This Row],[B Counter]]=1,"BI"&amp;#REF!+SUM($O$35:O117),""))</f>
        <v>#REF!</v>
      </c>
      <c r="T35" s="26" t="s">
        <v>34</v>
      </c>
      <c r="U35" s="7"/>
      <c r="W35" t="s">
        <v>138</v>
      </c>
      <c r="Y35" t="s">
        <v>123</v>
      </c>
      <c r="Z35" t="s">
        <v>105</v>
      </c>
      <c r="AA35">
        <v>3</v>
      </c>
      <c r="AB35">
        <v>3</v>
      </c>
      <c r="AC35" t="str">
        <f t="shared" si="4"/>
        <v>Cond_Sts3-3</v>
      </c>
      <c r="AD35" t="b">
        <f t="shared" si="2"/>
        <v>0</v>
      </c>
    </row>
    <row r="36" spans="1:30" x14ac:dyDescent="0.25">
      <c r="A36">
        <f t="shared" si="0"/>
        <v>27</v>
      </c>
      <c r="B36" s="93" t="str">
        <f>IFERROR(RIGHT(Table24[[#This Row],[Controller Input '#]],3)*1,"")</f>
        <v/>
      </c>
      <c r="C36" s="99"/>
      <c r="D36" s="1"/>
      <c r="E36" s="126" t="s">
        <v>247</v>
      </c>
      <c r="F36" s="11" t="s">
        <v>248</v>
      </c>
      <c r="G36" s="1" t="s">
        <v>112</v>
      </c>
      <c r="H36" s="21"/>
      <c r="I36" s="11" t="s">
        <v>103</v>
      </c>
      <c r="J36" s="11" t="s">
        <v>71</v>
      </c>
      <c r="K36" s="11" t="s">
        <v>112</v>
      </c>
      <c r="L36" s="11"/>
      <c r="M36" s="11"/>
      <c r="N36" s="18" t="str">
        <f>IF(ISNUMBER(SEARCH("ANALOG",Table24[[#This Row],[Type]]))=TRUE,1,"")</f>
        <v/>
      </c>
      <c r="O36" s="18">
        <f>IF(ISNUMBER(SEARCH("BINARY",Table24[[#This Row],[Type]]))=TRUE,1,"")</f>
        <v>1</v>
      </c>
      <c r="P36" s="7" t="e">
        <f>IF(Table24[[#This Row],[Type]]="","",LEFT(Table24[[#This Row],[Type]],1)&amp;LEFT(#REF!,1))</f>
        <v>#REF!</v>
      </c>
      <c r="Q36" s="18" t="e">
        <f>IF(Table24[[#This Row],[Type]]="","",LEFT(Table24[[#This Row],[Type]],1)&amp;LEFT(#REF!,1))</f>
        <v>#REF!</v>
      </c>
      <c r="R36" s="18"/>
      <c r="S36" s="7" t="e">
        <f>IF(Table24[[#This Row],[A Counter]]=1,"AI"&amp;#REF!+SUM($N$35:N122),IF(Table24[[#This Row],[B Counter]]=1,"BI"&amp;#REF!+SUM($O$35:O122),""))</f>
        <v>#REF!</v>
      </c>
      <c r="T36" s="26" t="s">
        <v>34</v>
      </c>
      <c r="U36" s="7"/>
      <c r="W36" t="s">
        <v>141</v>
      </c>
      <c r="Y36" t="s">
        <v>123</v>
      </c>
      <c r="Z36" t="s">
        <v>124</v>
      </c>
      <c r="AA36">
        <v>3</v>
      </c>
      <c r="AB36">
        <v>3</v>
      </c>
      <c r="AC36" t="str">
        <f t="shared" si="4"/>
        <v>Cond_Alm3-3</v>
      </c>
      <c r="AD36" t="b">
        <f t="shared" si="2"/>
        <v>0</v>
      </c>
    </row>
    <row r="37" spans="1:30" x14ac:dyDescent="0.25">
      <c r="A37">
        <f t="shared" si="0"/>
        <v>28</v>
      </c>
      <c r="B37" s="93" t="str">
        <f>IFERROR(RIGHT(Table24[[#This Row],[Controller Input '#]],3)*1,"")</f>
        <v/>
      </c>
      <c r="C37" s="99"/>
      <c r="D37" s="1"/>
      <c r="E37" s="126" t="s">
        <v>257</v>
      </c>
      <c r="F37" s="11" t="s">
        <v>258</v>
      </c>
      <c r="G37" s="1" t="s">
        <v>133</v>
      </c>
      <c r="H37" s="21"/>
      <c r="I37" s="11" t="s">
        <v>70</v>
      </c>
      <c r="J37" s="11" t="s">
        <v>71</v>
      </c>
      <c r="K37" s="11" t="s">
        <v>80</v>
      </c>
      <c r="L37" s="11"/>
      <c r="M37" s="11"/>
      <c r="N37" s="18">
        <f>IF(ISNUMBER(SEARCH("ANALOG",Table24[[#This Row],[Type]]))=TRUE,1,"")</f>
        <v>1</v>
      </c>
      <c r="O37" s="18" t="str">
        <f>IF(ISNUMBER(SEARCH("BINARY",Table24[[#This Row],[Type]]))=TRUE,1,"")</f>
        <v/>
      </c>
      <c r="P37" s="7" t="e">
        <f>IF(Table24[[#This Row],[Type]]="","",LEFT(Table24[[#This Row],[Type]],1)&amp;LEFT(#REF!,1))</f>
        <v>#REF!</v>
      </c>
      <c r="Q37" s="18" t="e">
        <f>IF(Table24[[#This Row],[Type]]="","",LEFT(Table24[[#This Row],[Type]],1)&amp;LEFT(#REF!,1))</f>
        <v>#REF!</v>
      </c>
      <c r="R37" s="18"/>
      <c r="S37" s="7" t="e">
        <f>IF(Table24[[#This Row],[A Counter]]=1,"AI"&amp;#REF!+SUM($N$35:N127),IF(Table24[[#This Row],[B Counter]]=1,"BI"&amp;#REF!+SUM($O$35:O127),""))</f>
        <v>#REF!</v>
      </c>
      <c r="T37" s="26" t="s">
        <v>34</v>
      </c>
      <c r="U37" s="7"/>
    </row>
    <row r="38" spans="1:30" x14ac:dyDescent="0.25">
      <c r="A38">
        <f t="shared" si="0"/>
        <v>29</v>
      </c>
      <c r="B38" s="93" t="str">
        <f>IFERROR(RIGHT(Table24[[#This Row],[Controller Input '#]],3)*1,"")</f>
        <v/>
      </c>
      <c r="C38" s="99"/>
      <c r="D38" s="1"/>
      <c r="E38" s="126" t="s">
        <v>267</v>
      </c>
      <c r="F38" s="1" t="s">
        <v>268</v>
      </c>
      <c r="G38" s="1" t="s">
        <v>133</v>
      </c>
      <c r="H38" s="8"/>
      <c r="I38" s="1" t="s">
        <v>70</v>
      </c>
      <c r="J38" s="1" t="s">
        <v>71</v>
      </c>
      <c r="K38" s="11" t="s">
        <v>80</v>
      </c>
      <c r="L38" s="1"/>
      <c r="M38" s="1"/>
      <c r="N38" s="18">
        <f>IF(ISNUMBER(SEARCH("ANALOG",Table24[[#This Row],[Type]]))=TRUE,1,"")</f>
        <v>1</v>
      </c>
      <c r="O38" s="18" t="str">
        <f>IF(ISNUMBER(SEARCH("BINARY",Table24[[#This Row],[Type]]))=TRUE,1,"")</f>
        <v/>
      </c>
      <c r="P38" s="7" t="e">
        <f>IF(Table24[[#This Row],[Type]]="","",LEFT(Table24[[#This Row],[Type]],1)&amp;LEFT(#REF!,1))</f>
        <v>#REF!</v>
      </c>
      <c r="Q38" s="18" t="e">
        <f>IF(Table24[[#This Row],[Type]]="","",LEFT(Table24[[#This Row],[Type]],1)&amp;LEFT(#REF!,1))</f>
        <v>#REF!</v>
      </c>
      <c r="R38" s="18"/>
      <c r="S38" s="7" t="e">
        <f>IF(Table24[[#This Row],[A Counter]]=1,"AI"&amp;#REF!+SUM($N$35:N132),IF(Table24[[#This Row],[B Counter]]=1,"BI"&amp;#REF!+SUM($O$35:O132),""))</f>
        <v>#REF!</v>
      </c>
      <c r="T38" s="18" t="s">
        <v>34</v>
      </c>
      <c r="U38" s="7"/>
    </row>
    <row r="39" spans="1:30" x14ac:dyDescent="0.25">
      <c r="A39">
        <f t="shared" si="0"/>
        <v>30</v>
      </c>
      <c r="B39" s="93" t="str">
        <f>IFERROR(RIGHT(Table24[[#This Row],[Controller Input '#]],3)*1,"")</f>
        <v/>
      </c>
      <c r="C39" s="99"/>
      <c r="D39" s="1"/>
      <c r="E39" s="126" t="s">
        <v>277</v>
      </c>
      <c r="F39" s="1" t="s">
        <v>278</v>
      </c>
      <c r="G39" s="1" t="s">
        <v>133</v>
      </c>
      <c r="H39" s="21"/>
      <c r="I39" s="1" t="s">
        <v>70</v>
      </c>
      <c r="J39" s="1" t="s">
        <v>71</v>
      </c>
      <c r="K39" s="11" t="s">
        <v>80</v>
      </c>
      <c r="L39" s="1"/>
      <c r="M39" s="1"/>
      <c r="N39" s="18">
        <f>IF(ISNUMBER(SEARCH("ANALOG",Table24[[#This Row],[Type]]))=TRUE,1,"")</f>
        <v>1</v>
      </c>
      <c r="O39" s="18" t="str">
        <f>IF(ISNUMBER(SEARCH("BINARY",Table24[[#This Row],[Type]]))=TRUE,1,"")</f>
        <v/>
      </c>
      <c r="P39" s="7" t="e">
        <f>IF(Table24[[#This Row],[Type]]="","",LEFT(Table24[[#This Row],[Type]],1)&amp;LEFT(#REF!,1))</f>
        <v>#REF!</v>
      </c>
      <c r="Q39" s="18" t="e">
        <f>IF(Table24[[#This Row],[Type]]="","",LEFT(Table24[[#This Row],[Type]],1)&amp;LEFT(#REF!,1))</f>
        <v>#REF!</v>
      </c>
      <c r="R39" s="18"/>
      <c r="S39" s="7" t="e">
        <f>IF(Table24[[#This Row],[A Counter]]=1,"AI"&amp;#REF!+SUM($N$35:N137),IF(Table24[[#This Row],[B Counter]]=1,"BI"&amp;#REF!+SUM($O$35:O137),""))</f>
        <v>#REF!</v>
      </c>
      <c r="T39" s="18" t="s">
        <v>34</v>
      </c>
      <c r="U39" s="7"/>
    </row>
    <row r="40" spans="1:30" x14ac:dyDescent="0.25">
      <c r="A40">
        <f t="shared" si="0"/>
        <v>31</v>
      </c>
      <c r="B40" s="93" t="str">
        <f>IFERROR(RIGHT(Table24[[#This Row],[Controller Input '#]],3)*1,"")</f>
        <v/>
      </c>
      <c r="C40" s="99"/>
      <c r="D40" s="1"/>
      <c r="E40" s="126" t="s">
        <v>223</v>
      </c>
      <c r="F40" s="1" t="s">
        <v>224</v>
      </c>
      <c r="G40" s="1" t="s">
        <v>102</v>
      </c>
      <c r="H40" s="8"/>
      <c r="I40" s="1" t="s">
        <v>103</v>
      </c>
      <c r="J40" s="1" t="s">
        <v>71</v>
      </c>
      <c r="K40" s="1" t="s">
        <v>102</v>
      </c>
      <c r="L40" s="1"/>
      <c r="M40" s="1"/>
      <c r="N40" s="18" t="str">
        <f>IF(ISNUMBER(SEARCH("ANALOG",Table24[[#This Row],[Type]]))=TRUE,1,"")</f>
        <v/>
      </c>
      <c r="O40" s="18">
        <f>IF(ISNUMBER(SEARCH("BINARY",Table24[[#This Row],[Type]]))=TRUE,1,"")</f>
        <v>1</v>
      </c>
      <c r="P40" s="7" t="e">
        <f>IF(Table24[[#This Row],[Type]]="","",LEFT(Table24[[#This Row],[Type]],1)&amp;LEFT(#REF!,1))</f>
        <v>#REF!</v>
      </c>
      <c r="Q40" s="18" t="e">
        <f>IF(Table24[[#This Row],[Type]]="","",LEFT(Table24[[#This Row],[Type]],1)&amp;LEFT(#REF!,1))</f>
        <v>#REF!</v>
      </c>
      <c r="R40" s="18"/>
      <c r="S40" s="7" t="e">
        <f>IF(Table24[[#This Row],[A Counter]]=1,"AI"&amp;#REF!+SUM($N40:N$57),IF(Table24[[#This Row],[B Counter]]=1,"BI"&amp;#REF!+SUM($O40:O$57),""))</f>
        <v>#REF!</v>
      </c>
      <c r="T40" s="18" t="s">
        <v>34</v>
      </c>
      <c r="U40" s="7"/>
    </row>
    <row r="41" spans="1:30" x14ac:dyDescent="0.25">
      <c r="A41">
        <f t="shared" si="0"/>
        <v>32</v>
      </c>
      <c r="B41" s="93" t="str">
        <f>IFERROR(RIGHT(Table24[[#This Row],[Controller Input '#]],3)*1,"")</f>
        <v/>
      </c>
      <c r="C41" s="97"/>
      <c r="D41" s="76"/>
      <c r="E41" s="126" t="s">
        <v>225</v>
      </c>
      <c r="F41" s="1" t="s">
        <v>226</v>
      </c>
      <c r="G41" s="1" t="s">
        <v>102</v>
      </c>
      <c r="H41" s="8"/>
      <c r="I41" s="1" t="s">
        <v>103</v>
      </c>
      <c r="J41" s="1" t="s">
        <v>71</v>
      </c>
      <c r="K41" s="1" t="s">
        <v>102</v>
      </c>
      <c r="L41" s="1"/>
      <c r="M41" s="1"/>
      <c r="N41" s="18" t="str">
        <f>IF(ISNUMBER(SEARCH("ANALOG",Table24[[#This Row],[Type]]))=TRUE,1,"")</f>
        <v/>
      </c>
      <c r="O41" s="18">
        <f>IF(ISNUMBER(SEARCH("BINARY",Table24[[#This Row],[Type]]))=TRUE,1,"")</f>
        <v>1</v>
      </c>
      <c r="P41" s="7" t="e">
        <f>IF(Table24[[#This Row],[Type]]="","",LEFT(Table24[[#This Row],[Type]],1)&amp;LEFT(#REF!,1))</f>
        <v>#REF!</v>
      </c>
      <c r="Q41" s="18" t="e">
        <f>IF(Table24[[#This Row],[Type]]="","",LEFT(Table24[[#This Row],[Type]],1)&amp;LEFT(#REF!,1))</f>
        <v>#REF!</v>
      </c>
      <c r="R41" s="18"/>
      <c r="S41" s="7" t="e">
        <f>IF(Table24[[#This Row],[A Counter]]=1,"AI"&amp;#REF!+SUM($N$35:N112),IF(Table24[[#This Row],[B Counter]]=1,"BI"&amp;#REF!+SUM($O$35:O112),""))</f>
        <v>#REF!</v>
      </c>
      <c r="T41" s="18" t="s">
        <v>34</v>
      </c>
      <c r="U41" s="7"/>
    </row>
    <row r="42" spans="1:30" x14ac:dyDescent="0.25">
      <c r="A42">
        <f t="shared" si="0"/>
        <v>33</v>
      </c>
      <c r="B42" s="93" t="str">
        <f>IFERROR(RIGHT(Table24[[#This Row],[Controller Input '#]],3)*1,"")</f>
        <v/>
      </c>
      <c r="C42" s="99"/>
      <c r="D42" s="1"/>
      <c r="E42" s="125" t="s">
        <v>205</v>
      </c>
      <c r="F42" s="1" t="s">
        <v>206</v>
      </c>
      <c r="G42" s="1" t="s">
        <v>69</v>
      </c>
      <c r="H42" s="8"/>
      <c r="I42" s="1" t="s">
        <v>70</v>
      </c>
      <c r="J42" s="1" t="s">
        <v>71</v>
      </c>
      <c r="K42" s="80" t="s">
        <v>72</v>
      </c>
      <c r="L42" s="1" t="s">
        <v>73</v>
      </c>
      <c r="M42" s="18"/>
      <c r="N42" s="18">
        <f>IF(ISNUMBER(SEARCH("ANALOG",Table24[[#This Row],[Type]]))=TRUE,1,"")</f>
        <v>1</v>
      </c>
      <c r="O42" s="18" t="str">
        <f>IF(ISNUMBER(SEARCH("BINARY",Table24[[#This Row],[Type]]))=TRUE,1,"")</f>
        <v/>
      </c>
      <c r="P42" s="7" t="e">
        <f>IF(Table24[[#This Row],[Type]]="","",LEFT(Table24[[#This Row],[Type]],1)&amp;LEFT(#REF!,1))</f>
        <v>#REF!</v>
      </c>
      <c r="Q42" s="18" t="e">
        <f>IF(Table24[[#This Row],[Type]]="","",LEFT(Table24[[#This Row],[Type]],1)&amp;LEFT(#REF!,1))</f>
        <v>#REF!</v>
      </c>
      <c r="R42" s="18"/>
      <c r="S42" s="7" t="e">
        <f>IF(Table24[[#This Row],[A Counter]]=1,"AI"&amp;#REF!+SUM($N42:N$57),IF(Table24[[#This Row],[B Counter]]=1,"BI"&amp;#REF!+SUM($O42:O$57),""))</f>
        <v>#REF!</v>
      </c>
      <c r="T42" s="18" t="s">
        <v>34</v>
      </c>
      <c r="U42" s="7"/>
    </row>
    <row r="43" spans="1:30" x14ac:dyDescent="0.25">
      <c r="A43">
        <f t="shared" si="0"/>
        <v>34</v>
      </c>
      <c r="B43" s="93" t="str">
        <f>IFERROR(RIGHT(Table24[[#This Row],[Controller Input '#]],3)*1,"")</f>
        <v/>
      </c>
      <c r="C43" s="99"/>
      <c r="D43" s="1"/>
      <c r="E43" s="125" t="s">
        <v>208</v>
      </c>
      <c r="F43" s="1" t="s">
        <v>209</v>
      </c>
      <c r="G43" s="1" t="s">
        <v>69</v>
      </c>
      <c r="H43" s="8"/>
      <c r="I43" s="1" t="s">
        <v>70</v>
      </c>
      <c r="J43" s="1" t="s">
        <v>71</v>
      </c>
      <c r="K43" s="80" t="s">
        <v>72</v>
      </c>
      <c r="L43" s="1" t="s">
        <v>76</v>
      </c>
      <c r="M43" s="1"/>
      <c r="N43" s="18">
        <f>IF(ISNUMBER(SEARCH("ANALOG",Table24[[#This Row],[Type]]))=TRUE,1,"")</f>
        <v>1</v>
      </c>
      <c r="O43" s="18" t="str">
        <f>IF(ISNUMBER(SEARCH("BINARY",Table24[[#This Row],[Type]]))=TRUE,1,"")</f>
        <v/>
      </c>
      <c r="P43" s="7" t="e">
        <f>IF(Table24[[#This Row],[Type]]="","",LEFT(Table24[[#This Row],[Type]],1)&amp;LEFT(#REF!,1))</f>
        <v>#REF!</v>
      </c>
      <c r="Q43" s="18" t="e">
        <f>IF(Table24[[#This Row],[Type]]="","",LEFT(Table24[[#This Row],[Type]],1)&amp;LEFT(#REF!,1))</f>
        <v>#REF!</v>
      </c>
      <c r="R43" s="18"/>
      <c r="S43" s="7" t="e">
        <f>IF(Table24[[#This Row],[A Counter]]=1,"AI"&amp;#REF!+SUM($N43:N$57),IF(Table24[[#This Row],[B Counter]]=1,"BI"&amp;#REF!+SUM($O43:O$57),""))</f>
        <v>#REF!</v>
      </c>
      <c r="T43" s="18" t="s">
        <v>34</v>
      </c>
      <c r="U43" s="7"/>
    </row>
    <row r="44" spans="1:30" x14ac:dyDescent="0.25">
      <c r="A44">
        <f t="shared" si="0"/>
        <v>35</v>
      </c>
      <c r="B44" s="93" t="str">
        <f>IFERROR(RIGHT(Table24[[#This Row],[Controller Input '#]],3)*1,"")</f>
        <v/>
      </c>
      <c r="C44" s="99"/>
      <c r="D44" s="1"/>
      <c r="E44" s="125" t="s">
        <v>211</v>
      </c>
      <c r="F44" s="1" t="s">
        <v>212</v>
      </c>
      <c r="G44" s="1" t="s">
        <v>69</v>
      </c>
      <c r="H44" s="8"/>
      <c r="I44" s="1" t="s">
        <v>70</v>
      </c>
      <c r="J44" s="1" t="s">
        <v>71</v>
      </c>
      <c r="K44" s="80" t="s">
        <v>72</v>
      </c>
      <c r="L44" s="1" t="s">
        <v>76</v>
      </c>
      <c r="M44" s="1"/>
      <c r="N44" s="18">
        <f>IF(ISNUMBER(SEARCH("ANALOG",Table24[[#This Row],[Type]]))=TRUE,1,"")</f>
        <v>1</v>
      </c>
      <c r="O44" s="18" t="str">
        <f>IF(ISNUMBER(SEARCH("BINARY",Table24[[#This Row],[Type]]))=TRUE,1,"")</f>
        <v/>
      </c>
      <c r="P44" s="7" t="e">
        <f>IF(Table24[[#This Row],[Type]]="","",LEFT(Table24[[#This Row],[Type]],1)&amp;LEFT(#REF!,1))</f>
        <v>#REF!</v>
      </c>
      <c r="Q44" s="18" t="e">
        <f>IF(Table24[[#This Row],[Type]]="","",LEFT(Table24[[#This Row],[Type]],1)&amp;LEFT(#REF!,1))</f>
        <v>#REF!</v>
      </c>
      <c r="R44" s="18"/>
      <c r="S44" s="7" t="e">
        <f>IF(Table24[[#This Row],[A Counter]]=1,"AI"&amp;#REF!+SUM($N44:N$57),IF(Table24[[#This Row],[B Counter]]=1,"BI"&amp;#REF!+SUM($O44:O$57),""))</f>
        <v>#REF!</v>
      </c>
      <c r="T44" s="18" t="s">
        <v>34</v>
      </c>
      <c r="U44" s="7"/>
    </row>
    <row r="45" spans="1:30" x14ac:dyDescent="0.25">
      <c r="A45">
        <f t="shared" si="0"/>
        <v>36</v>
      </c>
      <c r="B45" s="93" t="str">
        <f>IFERROR(RIGHT(Table24[[#This Row],[Controller Input '#]],3)*1,"")</f>
        <v/>
      </c>
      <c r="C45" s="99"/>
      <c r="D45" s="1"/>
      <c r="E45" s="125" t="s">
        <v>216</v>
      </c>
      <c r="F45" s="1" t="s">
        <v>217</v>
      </c>
      <c r="G45" s="1" t="s">
        <v>218</v>
      </c>
      <c r="H45" s="8"/>
      <c r="I45" s="1" t="s">
        <v>70</v>
      </c>
      <c r="J45" s="1" t="s">
        <v>71</v>
      </c>
      <c r="K45" s="1" t="s">
        <v>84</v>
      </c>
      <c r="L45" s="18" t="s">
        <v>85</v>
      </c>
      <c r="M45" s="1"/>
      <c r="N45" s="18">
        <f>IF(ISNUMBER(SEARCH("ANALOG",Table24[[#This Row],[Type]]))=TRUE,1,"")</f>
        <v>1</v>
      </c>
      <c r="O45" s="18" t="str">
        <f>IF(ISNUMBER(SEARCH("BINARY",Table24[[#This Row],[Type]]))=TRUE,1,"")</f>
        <v/>
      </c>
      <c r="P45" s="7" t="e">
        <f>IF(Table24[[#This Row],[Type]]="","",LEFT(Table24[[#This Row],[Type]],1)&amp;LEFT(#REF!,1))</f>
        <v>#REF!</v>
      </c>
      <c r="Q45" s="18" t="e">
        <f>IF(Table24[[#This Row],[Type]]="","",LEFT(Table24[[#This Row],[Type]],1)&amp;LEFT(#REF!,1))</f>
        <v>#REF!</v>
      </c>
      <c r="R45" s="18"/>
      <c r="S45" s="7" t="e">
        <f>IF(Table24[[#This Row],[A Counter]]=1,"AI"&amp;#REF!+SUM($N45:N$57),IF(Table24[[#This Row],[B Counter]]=1,"BI"&amp;#REF!+SUM($O45:O$57),""))</f>
        <v>#REF!</v>
      </c>
      <c r="T45" s="18" t="s">
        <v>34</v>
      </c>
      <c r="U45" s="7"/>
    </row>
    <row r="46" spans="1:30" x14ac:dyDescent="0.25">
      <c r="A46">
        <f t="shared" si="0"/>
        <v>37</v>
      </c>
      <c r="B46" s="93" t="str">
        <f>IFERROR(RIGHT(Table24[[#This Row],[Controller Input '#]],3)*1,"")</f>
        <v/>
      </c>
      <c r="C46" s="99"/>
      <c r="D46" s="1"/>
      <c r="E46" s="125" t="s">
        <v>219</v>
      </c>
      <c r="F46" s="1" t="s">
        <v>220</v>
      </c>
      <c r="G46" s="1" t="s">
        <v>218</v>
      </c>
      <c r="H46" s="8"/>
      <c r="I46" s="1" t="s">
        <v>70</v>
      </c>
      <c r="J46" s="1" t="s">
        <v>71</v>
      </c>
      <c r="K46" s="1" t="s">
        <v>84</v>
      </c>
      <c r="L46" s="18" t="s">
        <v>90</v>
      </c>
      <c r="M46" s="1"/>
      <c r="N46" s="18">
        <f>IF(ISNUMBER(SEARCH("ANALOG",Table24[[#This Row],[Type]]))=TRUE,1,"")</f>
        <v>1</v>
      </c>
      <c r="O46" s="18" t="str">
        <f>IF(ISNUMBER(SEARCH("BINARY",Table24[[#This Row],[Type]]))=TRUE,1,"")</f>
        <v/>
      </c>
      <c r="P46" s="7" t="e">
        <f>IF(Table24[[#This Row],[Type]]="","",LEFT(Table24[[#This Row],[Type]],1)&amp;LEFT(#REF!,1))</f>
        <v>#REF!</v>
      </c>
      <c r="Q46" s="18" t="e">
        <f>IF(Table24[[#This Row],[Type]]="","",LEFT(Table24[[#This Row],[Type]],1)&amp;LEFT(#REF!,1))</f>
        <v>#REF!</v>
      </c>
      <c r="R46" s="18"/>
      <c r="S46" s="7" t="e">
        <f>IF(Table24[[#This Row],[A Counter]]=1,"AI"&amp;#REF!+SUM($N46:N$57),IF(Table24[[#This Row],[B Counter]]=1,"BI"&amp;#REF!+SUM($O46:O$57),""))</f>
        <v>#REF!</v>
      </c>
      <c r="T46" s="18" t="s">
        <v>34</v>
      </c>
      <c r="U46" s="7"/>
    </row>
    <row r="47" spans="1:30" x14ac:dyDescent="0.25">
      <c r="A47">
        <f t="shared" si="0"/>
        <v>38</v>
      </c>
      <c r="B47" s="93" t="str">
        <f>IFERROR(RIGHT(Table24[[#This Row],[Controller Input '#]],3)*1,"")</f>
        <v/>
      </c>
      <c r="C47" s="99"/>
      <c r="D47" s="1"/>
      <c r="E47" s="125" t="s">
        <v>221</v>
      </c>
      <c r="F47" s="1" t="s">
        <v>222</v>
      </c>
      <c r="G47" s="1" t="s">
        <v>218</v>
      </c>
      <c r="H47" s="8"/>
      <c r="I47" s="1" t="s">
        <v>70</v>
      </c>
      <c r="J47" s="1" t="s">
        <v>71</v>
      </c>
      <c r="K47" s="1" t="s">
        <v>84</v>
      </c>
      <c r="L47" s="18" t="s">
        <v>90</v>
      </c>
      <c r="M47" s="1"/>
      <c r="N47" s="18">
        <f>IF(ISNUMBER(SEARCH("ANALOG",Table24[[#This Row],[Type]]))=TRUE,1,"")</f>
        <v>1</v>
      </c>
      <c r="O47" s="18" t="str">
        <f>IF(ISNUMBER(SEARCH("BINARY",Table24[[#This Row],[Type]]))=TRUE,1,"")</f>
        <v/>
      </c>
      <c r="P47" s="7" t="e">
        <f>IF(Table24[[#This Row],[Type]]="","",LEFT(Table24[[#This Row],[Type]],1)&amp;LEFT(#REF!,1))</f>
        <v>#REF!</v>
      </c>
      <c r="Q47" s="18" t="e">
        <f>IF(Table24[[#This Row],[Type]]="","",LEFT(Table24[[#This Row],[Type]],1)&amp;LEFT(#REF!,1))</f>
        <v>#REF!</v>
      </c>
      <c r="R47" s="18"/>
      <c r="S47" s="7" t="e">
        <f>IF(Table24[[#This Row],[A Counter]]=1,"AI"&amp;#REF!+SUM($N47:N$57),IF(Table24[[#This Row],[B Counter]]=1,"BI"&amp;#REF!+SUM($O47:O$57),""))</f>
        <v>#REF!</v>
      </c>
      <c r="T47" s="18" t="s">
        <v>34</v>
      </c>
      <c r="U47" s="7"/>
    </row>
    <row r="48" spans="1:30" x14ac:dyDescent="0.25">
      <c r="A48">
        <f t="shared" si="0"/>
        <v>39</v>
      </c>
      <c r="B48" s="93" t="str">
        <f>IFERROR(RIGHT(Table24[[#This Row],[Controller Input '#]],3)*1,"")</f>
        <v/>
      </c>
      <c r="C48" s="99"/>
      <c r="D48" s="1"/>
      <c r="E48" s="124" t="s">
        <v>1011</v>
      </c>
      <c r="F48" s="109" t="s">
        <v>441</v>
      </c>
      <c r="G48" s="109" t="s">
        <v>112</v>
      </c>
      <c r="H48" s="111"/>
      <c r="I48" s="109" t="s">
        <v>103</v>
      </c>
      <c r="J48" s="109" t="s">
        <v>71</v>
      </c>
      <c r="K48" s="109" t="s">
        <v>112</v>
      </c>
      <c r="L48" s="109"/>
      <c r="M48" s="109"/>
      <c r="N48" s="109"/>
      <c r="O48" s="109">
        <v>1</v>
      </c>
      <c r="P48" s="76" t="s">
        <v>941</v>
      </c>
      <c r="Q48" s="114"/>
      <c r="R48" s="114"/>
      <c r="S48" s="77"/>
      <c r="T48" s="115"/>
      <c r="U48" s="68"/>
    </row>
    <row r="49" spans="1:21" x14ac:dyDescent="0.25">
      <c r="A49">
        <f t="shared" si="0"/>
        <v>40</v>
      </c>
      <c r="B49" s="93" t="str">
        <f>IFERROR(RIGHT(Table24[[#This Row],[Controller Input '#]],3)*1,"")</f>
        <v/>
      </c>
      <c r="C49" s="99"/>
      <c r="D49" s="1"/>
      <c r="E49" s="125"/>
      <c r="F49" s="1"/>
      <c r="G49" s="1"/>
      <c r="H49" s="8"/>
      <c r="I49" s="1"/>
      <c r="J49" s="1"/>
      <c r="K49" s="1"/>
      <c r="L49" s="1"/>
      <c r="M49" s="1"/>
      <c r="N49" s="1"/>
      <c r="O49" s="1"/>
      <c r="Q49" s="1"/>
      <c r="R49" s="1"/>
      <c r="S49" s="7"/>
      <c r="T49" s="1"/>
      <c r="U49" s="68"/>
    </row>
    <row r="50" spans="1:21" x14ac:dyDescent="0.25">
      <c r="A50">
        <f t="shared" si="0"/>
        <v>41</v>
      </c>
      <c r="B50" s="93" t="str">
        <f>IFERROR(RIGHT(Table24[[#This Row],[Controller Input '#]],3)*1,"")</f>
        <v/>
      </c>
      <c r="C50" s="99"/>
      <c r="D50" s="1"/>
      <c r="E50" s="126" t="s">
        <v>341</v>
      </c>
      <c r="F50" s="1" t="s">
        <v>342</v>
      </c>
      <c r="G50" s="1" t="s">
        <v>112</v>
      </c>
      <c r="H50" s="8"/>
      <c r="I50" s="1" t="s">
        <v>103</v>
      </c>
      <c r="J50" s="1" t="s">
        <v>71</v>
      </c>
      <c r="K50" s="1" t="s">
        <v>112</v>
      </c>
      <c r="L50" s="11"/>
      <c r="M50" s="1"/>
      <c r="N50" s="18" t="str">
        <f>IF(ISNUMBER(SEARCH("ANALOG",Table24[[#This Row],[Type]]))=TRUE,1,"")</f>
        <v/>
      </c>
      <c r="O50" s="18">
        <f>IF(ISNUMBER(SEARCH("BINARY",Table24[[#This Row],[Type]]))=TRUE,1,"")</f>
        <v>1</v>
      </c>
      <c r="P50" s="7" t="e">
        <f>IF(Table24[[#This Row],[Type]]="","",LEFT(Table24[[#This Row],[Type]],1)&amp;LEFT(#REF!,1))</f>
        <v>#REF!</v>
      </c>
      <c r="Q50" s="18" t="e">
        <f>IF(Table24[[#This Row],[Type]]="","",LEFT(Table24[[#This Row],[Type]],1)&amp;LEFT(#REF!,1))</f>
        <v>#REF!</v>
      </c>
      <c r="R50" s="18"/>
      <c r="S50" s="7" t="e">
        <f>IF(Table24[[#This Row],[A Counter]]=1,"AI"&amp;#REF!+SUM($N$35:N168),IF(Table24[[#This Row],[B Counter]]=1,"BI"&amp;#REF!+SUM($O$35:O168),""))</f>
        <v>#REF!</v>
      </c>
      <c r="T50" s="18" t="s">
        <v>34</v>
      </c>
      <c r="U50" s="68"/>
    </row>
    <row r="51" spans="1:21" x14ac:dyDescent="0.25">
      <c r="A51">
        <f t="shared" si="0"/>
        <v>42</v>
      </c>
      <c r="B51" s="93" t="str">
        <f>IFERROR(RIGHT(Table24[[#This Row],[Controller Input '#]],3)*1,"")</f>
        <v/>
      </c>
      <c r="C51" s="99"/>
      <c r="D51" s="1"/>
      <c r="E51" s="126" t="s">
        <v>351</v>
      </c>
      <c r="F51" s="11" t="s">
        <v>352</v>
      </c>
      <c r="G51" s="1" t="s">
        <v>112</v>
      </c>
      <c r="H51" s="21"/>
      <c r="I51" s="11" t="s">
        <v>103</v>
      </c>
      <c r="J51" s="11" t="s">
        <v>71</v>
      </c>
      <c r="K51" s="11" t="s">
        <v>112</v>
      </c>
      <c r="L51" s="11"/>
      <c r="M51" s="11"/>
      <c r="N51" s="18" t="str">
        <f>IF(ISNUMBER(SEARCH("ANALOG",Table24[[#This Row],[Type]]))=TRUE,1,"")</f>
        <v/>
      </c>
      <c r="O51" s="18">
        <f>IF(ISNUMBER(SEARCH("BINARY",Table24[[#This Row],[Type]]))=TRUE,1,"")</f>
        <v>1</v>
      </c>
      <c r="P51" s="7" t="e">
        <f>IF(Table24[[#This Row],[Type]]="","",LEFT(Table24[[#This Row],[Type]],1)&amp;LEFT(#REF!,1))</f>
        <v>#REF!</v>
      </c>
      <c r="Q51" s="18" t="e">
        <f>IF(Table24[[#This Row],[Type]]="","",LEFT(Table24[[#This Row],[Type]],1)&amp;LEFT(#REF!,1))</f>
        <v>#REF!</v>
      </c>
      <c r="R51" s="18"/>
      <c r="S51" s="7" t="e">
        <f>IF(Table24[[#This Row],[A Counter]]=1,"AI"&amp;#REF!+SUM($N$35:N51),IF(Table24[[#This Row],[B Counter]]=1,"BI"&amp;#REF!+SUM($O$35:O51),""))</f>
        <v>#REF!</v>
      </c>
      <c r="T51" s="18" t="s">
        <v>34</v>
      </c>
      <c r="U51" s="69"/>
    </row>
    <row r="52" spans="1:21" x14ac:dyDescent="0.25">
      <c r="A52">
        <f t="shared" si="0"/>
        <v>43</v>
      </c>
      <c r="B52" s="93" t="str">
        <f>IFERROR(RIGHT(Table24[[#This Row],[Controller Input '#]],3)*1,"")</f>
        <v/>
      </c>
      <c r="C52" s="99"/>
      <c r="D52" s="1"/>
      <c r="E52" s="126" t="s">
        <v>361</v>
      </c>
      <c r="F52" s="11" t="s">
        <v>362</v>
      </c>
      <c r="G52" s="1" t="s">
        <v>112</v>
      </c>
      <c r="H52" s="21"/>
      <c r="I52" s="11" t="s">
        <v>103</v>
      </c>
      <c r="J52" s="11" t="s">
        <v>71</v>
      </c>
      <c r="K52" s="11" t="s">
        <v>112</v>
      </c>
      <c r="L52" s="11"/>
      <c r="M52" s="11"/>
      <c r="N52" s="18" t="str">
        <f>IF(ISNUMBER(SEARCH("ANALOG",Table24[[#This Row],[Type]]))=TRUE,1,"")</f>
        <v/>
      </c>
      <c r="O52" s="18">
        <f>IF(ISNUMBER(SEARCH("BINARY",Table24[[#This Row],[Type]]))=TRUE,1,"")</f>
        <v>1</v>
      </c>
      <c r="P52" s="7" t="e">
        <f>IF(Table24[[#This Row],[Type]]="","",LEFT(Table24[[#This Row],[Type]],1)&amp;LEFT(#REF!,1))</f>
        <v>#REF!</v>
      </c>
      <c r="Q52" s="18" t="e">
        <f>IF(Table24[[#This Row],[Type]]="","",LEFT(Table24[[#This Row],[Type]],1)&amp;LEFT(#REF!,1))</f>
        <v>#REF!</v>
      </c>
      <c r="R52" s="18"/>
      <c r="S52" s="7" t="e">
        <f>IF(Table24[[#This Row],[A Counter]]=1,"AI"&amp;#REF!+SUM($N$35:N52),IF(Table24[[#This Row],[B Counter]]=1,"BI"&amp;#REF!+SUM($O$35:O52),""))</f>
        <v>#REF!</v>
      </c>
      <c r="T52" s="26" t="s">
        <v>34</v>
      </c>
      <c r="U52" s="68"/>
    </row>
    <row r="53" spans="1:21" x14ac:dyDescent="0.25">
      <c r="A53">
        <f t="shared" si="0"/>
        <v>44</v>
      </c>
      <c r="B53" s="93" t="str">
        <f>IFERROR(RIGHT(Table24[[#This Row],[Controller Input '#]],3)*1,"")</f>
        <v/>
      </c>
      <c r="C53" s="99"/>
      <c r="D53" s="1"/>
      <c r="E53" s="126" t="s">
        <v>371</v>
      </c>
      <c r="F53" s="11" t="s">
        <v>372</v>
      </c>
      <c r="G53" s="1" t="s">
        <v>133</v>
      </c>
      <c r="H53" s="21"/>
      <c r="I53" s="11" t="s">
        <v>70</v>
      </c>
      <c r="J53" s="11" t="s">
        <v>71</v>
      </c>
      <c r="K53" s="11" t="s">
        <v>80</v>
      </c>
      <c r="L53" s="11"/>
      <c r="M53" s="11"/>
      <c r="N53" s="18">
        <f>IF(ISNUMBER(SEARCH("ANALOG",Table24[[#This Row],[Type]]))=TRUE,1,"")</f>
        <v>1</v>
      </c>
      <c r="O53" s="18" t="str">
        <f>IF(ISNUMBER(SEARCH("BINARY",Table24[[#This Row],[Type]]))=TRUE,1,"")</f>
        <v/>
      </c>
      <c r="P53" s="7" t="e">
        <f>IF(Table24[[#This Row],[Type]]="","",LEFT(Table24[[#This Row],[Type]],1)&amp;LEFT(#REF!,1))</f>
        <v>#REF!</v>
      </c>
      <c r="Q53" s="18" t="e">
        <f>IF(Table24[[#This Row],[Type]]="","",LEFT(Table24[[#This Row],[Type]],1)&amp;LEFT(#REF!,1))</f>
        <v>#REF!</v>
      </c>
      <c r="R53" s="18"/>
      <c r="S53" s="7" t="e">
        <f>IF(Table24[[#This Row],[A Counter]]=1,"AI"&amp;#REF!+SUM($N$35:N53),IF(Table24[[#This Row],[B Counter]]=1,"BI"&amp;#REF!+SUM($O$35:O53),""))</f>
        <v>#REF!</v>
      </c>
      <c r="T53" s="26" t="s">
        <v>34</v>
      </c>
      <c r="U53" s="7"/>
    </row>
    <row r="54" spans="1:21" x14ac:dyDescent="0.25">
      <c r="A54">
        <f t="shared" si="0"/>
        <v>45</v>
      </c>
      <c r="B54" s="93" t="str">
        <f>IFERROR(RIGHT(Table24[[#This Row],[Controller Input '#]],3)*1,"")</f>
        <v/>
      </c>
      <c r="C54" s="99"/>
      <c r="D54" s="1"/>
      <c r="E54" s="126" t="s">
        <v>381</v>
      </c>
      <c r="F54" s="1" t="s">
        <v>382</v>
      </c>
      <c r="G54" s="1" t="s">
        <v>133</v>
      </c>
      <c r="H54" s="8"/>
      <c r="I54" s="11" t="s">
        <v>70</v>
      </c>
      <c r="J54" s="1" t="s">
        <v>71</v>
      </c>
      <c r="K54" s="11" t="s">
        <v>80</v>
      </c>
      <c r="L54" s="1"/>
      <c r="M54" s="11"/>
      <c r="N54" s="18">
        <f>IF(ISNUMBER(SEARCH("ANALOG",Table24[[#This Row],[Type]]))=TRUE,1,"")</f>
        <v>1</v>
      </c>
      <c r="O54" s="18" t="str">
        <f>IF(ISNUMBER(SEARCH("BINARY",Table24[[#This Row],[Type]]))=TRUE,1,"")</f>
        <v/>
      </c>
      <c r="P54" s="7" t="e">
        <f>IF(Table24[[#This Row],[Type]]="","",LEFT(Table24[[#This Row],[Type]],1)&amp;LEFT(#REF!,1))</f>
        <v>#REF!</v>
      </c>
      <c r="Q54" s="18" t="e">
        <f>IF(Table24[[#This Row],[Type]]="","",LEFT(Table24[[#This Row],[Type]],1)&amp;LEFT(#REF!,1))</f>
        <v>#REF!</v>
      </c>
      <c r="R54" s="18"/>
      <c r="S54" s="7" t="e">
        <f>IF(Table24[[#This Row],[A Counter]]=1,"AI"&amp;#REF!+SUM($N$35:N54),IF(Table24[[#This Row],[B Counter]]=1,"BI"&amp;#REF!+SUM($O$35:O54),""))</f>
        <v>#REF!</v>
      </c>
      <c r="T54" s="26" t="s">
        <v>34</v>
      </c>
      <c r="U54" s="7"/>
    </row>
    <row r="55" spans="1:21" x14ac:dyDescent="0.25">
      <c r="A55">
        <f t="shared" si="0"/>
        <v>46</v>
      </c>
      <c r="B55" s="93" t="str">
        <f>IFERROR(RIGHT(Table24[[#This Row],[Controller Input '#]],3)*1,"")</f>
        <v/>
      </c>
      <c r="C55" s="99"/>
      <c r="D55" s="1"/>
      <c r="E55" s="126" t="s">
        <v>391</v>
      </c>
      <c r="F55" s="1" t="s">
        <v>392</v>
      </c>
      <c r="G55" s="1" t="s">
        <v>133</v>
      </c>
      <c r="H55" s="21"/>
      <c r="I55" s="11" t="s">
        <v>70</v>
      </c>
      <c r="J55" s="1" t="s">
        <v>71</v>
      </c>
      <c r="K55" s="11" t="s">
        <v>80</v>
      </c>
      <c r="L55" s="1"/>
      <c r="M55" s="1"/>
      <c r="N55" s="18">
        <f>IF(ISNUMBER(SEARCH("ANALOG",Table24[[#This Row],[Type]]))=TRUE,1,"")</f>
        <v>1</v>
      </c>
      <c r="O55" s="18" t="str">
        <f>IF(ISNUMBER(SEARCH("BINARY",Table24[[#This Row],[Type]]))=TRUE,1,"")</f>
        <v/>
      </c>
      <c r="P55" s="7" t="e">
        <f>IF(Table24[[#This Row],[Type]]="","",LEFT(Table24[[#This Row],[Type]],1)&amp;LEFT(#REF!,1))</f>
        <v>#REF!</v>
      </c>
      <c r="Q55" s="18" t="e">
        <f>IF(Table24[[#This Row],[Type]]="","",LEFT(Table24[[#This Row],[Type]],1)&amp;LEFT(#REF!,1))</f>
        <v>#REF!</v>
      </c>
      <c r="R55" s="18"/>
      <c r="S55" s="7" t="e">
        <f>IF(Table24[[#This Row],[A Counter]]=1,"AI"&amp;#REF!+SUM($N$35:N65),IF(Table24[[#This Row],[B Counter]]=1,"BI"&amp;#REF!+SUM($O$35:O65),""))</f>
        <v>#REF!</v>
      </c>
      <c r="T55" s="18" t="s">
        <v>34</v>
      </c>
      <c r="U55" s="7"/>
    </row>
    <row r="56" spans="1:21" x14ac:dyDescent="0.25">
      <c r="A56">
        <f t="shared" si="0"/>
        <v>47</v>
      </c>
      <c r="B56" s="93" t="str">
        <f>IFERROR(RIGHT(Table24[[#This Row],[Controller Input '#]],3)*1,"")</f>
        <v/>
      </c>
      <c r="C56" s="97"/>
      <c r="D56" s="76"/>
      <c r="E56" s="126" t="s">
        <v>337</v>
      </c>
      <c r="F56" s="1" t="s">
        <v>338</v>
      </c>
      <c r="G56" s="1" t="s">
        <v>102</v>
      </c>
      <c r="H56" s="8"/>
      <c r="I56" s="1" t="s">
        <v>103</v>
      </c>
      <c r="J56" s="1" t="s">
        <v>71</v>
      </c>
      <c r="K56" s="1" t="s">
        <v>102</v>
      </c>
      <c r="L56" s="1"/>
      <c r="M56" s="1"/>
      <c r="N56" s="18" t="str">
        <f>IF(ISNUMBER(SEARCH("ANALOG",Table24[[#This Row],[Type]]))=TRUE,1,"")</f>
        <v/>
      </c>
      <c r="O56" s="18">
        <f>IF(ISNUMBER(SEARCH("BINARY",Table24[[#This Row],[Type]]))=TRUE,1,"")</f>
        <v>1</v>
      </c>
      <c r="P56" s="7" t="e">
        <f>IF(Table24[[#This Row],[Type]]="","",LEFT(Table24[[#This Row],[Type]],1)&amp;LEFT(#REF!,1))</f>
        <v>#REF!</v>
      </c>
      <c r="Q56" s="18" t="e">
        <f>IF(Table24[[#This Row],[Type]]="","",LEFT(Table24[[#This Row],[Type]],1)&amp;LEFT(#REF!,1))</f>
        <v>#REF!</v>
      </c>
      <c r="R56" s="18"/>
      <c r="S56" s="7" t="e">
        <f>IF(Table24[[#This Row],[A Counter]]=1,"AI"&amp;#REF!+SUM($N$35:N56),IF(Table24[[#This Row],[B Counter]]=1,"BI"&amp;#REF!+SUM($O$35:O56),""))</f>
        <v>#REF!</v>
      </c>
      <c r="T56" s="18" t="s">
        <v>34</v>
      </c>
      <c r="U56" s="7"/>
    </row>
    <row r="57" spans="1:21" x14ac:dyDescent="0.25">
      <c r="A57">
        <f t="shared" si="0"/>
        <v>48</v>
      </c>
      <c r="B57" s="93" t="str">
        <f>IFERROR(RIGHT(Table24[[#This Row],[Controller Input '#]],3)*1,"")</f>
        <v/>
      </c>
      <c r="C57" s="99"/>
      <c r="D57" s="1"/>
      <c r="E57" s="126" t="s">
        <v>339</v>
      </c>
      <c r="F57" s="1" t="s">
        <v>340</v>
      </c>
      <c r="G57" s="1" t="s">
        <v>102</v>
      </c>
      <c r="H57" s="8"/>
      <c r="I57" s="1" t="s">
        <v>103</v>
      </c>
      <c r="J57" s="1" t="s">
        <v>71</v>
      </c>
      <c r="K57" s="1" t="s">
        <v>102</v>
      </c>
      <c r="L57" s="1"/>
      <c r="M57" s="1"/>
      <c r="N57" s="18" t="str">
        <f>IF(ISNUMBER(SEARCH("ANALOG",Table24[[#This Row],[Type]]))=TRUE,1,"")</f>
        <v/>
      </c>
      <c r="O57" s="18">
        <f>IF(ISNUMBER(SEARCH("BINARY",Table24[[#This Row],[Type]]))=TRUE,1,"")</f>
        <v>1</v>
      </c>
      <c r="P57" s="7" t="e">
        <f>IF(Table24[[#This Row],[Type]]="","",LEFT(Table24[[#This Row],[Type]],1)&amp;LEFT(#REF!,1))</f>
        <v>#REF!</v>
      </c>
      <c r="Q57" s="18" t="e">
        <f>IF(Table24[[#This Row],[Type]]="","",LEFT(Table24[[#This Row],[Type]],1)&amp;LEFT(#REF!,1))</f>
        <v>#REF!</v>
      </c>
      <c r="R57" s="18"/>
      <c r="S57" s="7" t="e">
        <f>IF(Table24[[#This Row],[A Counter]]=1,"AI"&amp;#REF!+SUM($N$35:N63),IF(Table24[[#This Row],[B Counter]]=1,"BI"&amp;#REF!+SUM($O$35:O63),""))</f>
        <v>#REF!</v>
      </c>
      <c r="T57" s="18" t="s">
        <v>34</v>
      </c>
      <c r="U57" s="7"/>
    </row>
    <row r="58" spans="1:21" x14ac:dyDescent="0.25">
      <c r="A58">
        <f t="shared" si="0"/>
        <v>49</v>
      </c>
      <c r="B58" s="93" t="str">
        <f>IFERROR(RIGHT(Table24[[#This Row],[Controller Input '#]],3)*1,"")</f>
        <v/>
      </c>
      <c r="C58" s="99"/>
      <c r="D58" s="1"/>
      <c r="E58" s="125" t="s">
        <v>323</v>
      </c>
      <c r="F58" s="1" t="s">
        <v>324</v>
      </c>
      <c r="G58" s="1" t="s">
        <v>69</v>
      </c>
      <c r="H58" s="8"/>
      <c r="I58" s="1" t="s">
        <v>70</v>
      </c>
      <c r="J58" s="1" t="s">
        <v>71</v>
      </c>
      <c r="K58" s="3" t="s">
        <v>72</v>
      </c>
      <c r="L58" s="1" t="s">
        <v>73</v>
      </c>
      <c r="M58" s="1"/>
      <c r="N58" s="18">
        <f>IF(ISNUMBER(SEARCH("ANALOG",Table24[[#This Row],[Type]]))=TRUE,1,"")</f>
        <v>1</v>
      </c>
      <c r="O58" s="18" t="str">
        <f>IF(ISNUMBER(SEARCH("BINARY",Table24[[#This Row],[Type]]))=TRUE,1,"")</f>
        <v/>
      </c>
      <c r="P58" s="7" t="e">
        <f>IF(Table24[[#This Row],[Type]]="","",LEFT(Table24[[#This Row],[Type]],1)&amp;LEFT(#REF!,1))</f>
        <v>#REF!</v>
      </c>
      <c r="Q58" s="18" t="e">
        <f>IF(Table24[[#This Row],[Type]]="","",LEFT(Table24[[#This Row],[Type]],1)&amp;LEFT(#REF!,1))</f>
        <v>#REF!</v>
      </c>
      <c r="R58" s="18"/>
      <c r="S58" s="7" t="e">
        <f>IF(Table24[[#This Row],[A Counter]]=1,"AI"&amp;#REF!+SUM($N$35:N58),IF(Table24[[#This Row],[B Counter]]=1,"BI"&amp;#REF!+SUM($O$35:O58),""))</f>
        <v>#REF!</v>
      </c>
      <c r="T58" s="18"/>
      <c r="U58" s="7"/>
    </row>
    <row r="59" spans="1:21" x14ac:dyDescent="0.25">
      <c r="A59">
        <f t="shared" si="0"/>
        <v>50</v>
      </c>
      <c r="B59" s="93" t="str">
        <f>IFERROR(RIGHT(Table24[[#This Row],[Controller Input '#]],3)*1,"")</f>
        <v/>
      </c>
      <c r="C59" s="99"/>
      <c r="D59" s="1"/>
      <c r="E59" s="125" t="s">
        <v>325</v>
      </c>
      <c r="F59" s="1" t="s">
        <v>326</v>
      </c>
      <c r="G59" s="1" t="s">
        <v>69</v>
      </c>
      <c r="H59" s="8"/>
      <c r="I59" s="1" t="s">
        <v>70</v>
      </c>
      <c r="J59" s="1" t="s">
        <v>71</v>
      </c>
      <c r="K59" s="3" t="s">
        <v>72</v>
      </c>
      <c r="L59" s="1" t="s">
        <v>76</v>
      </c>
      <c r="M59" s="1"/>
      <c r="N59" s="18">
        <f>IF(ISNUMBER(SEARCH("ANALOG",Table24[[#This Row],[Type]]))=TRUE,1,"")</f>
        <v>1</v>
      </c>
      <c r="O59" s="18" t="str">
        <f>IF(ISNUMBER(SEARCH("BINARY",Table24[[#This Row],[Type]]))=TRUE,1,"")</f>
        <v/>
      </c>
      <c r="P59" s="7" t="e">
        <f>IF(Table24[[#This Row],[Type]]="","",LEFT(Table24[[#This Row],[Type]],1)&amp;LEFT(#REF!,1))</f>
        <v>#REF!</v>
      </c>
      <c r="Q59" s="18" t="e">
        <f>IF(Table24[[#This Row],[Type]]="","",LEFT(Table24[[#This Row],[Type]],1)&amp;LEFT(#REF!,1))</f>
        <v>#REF!</v>
      </c>
      <c r="R59" s="18"/>
      <c r="S59" s="7" t="e">
        <f>IF(Table24[[#This Row],[A Counter]]=1,"AI"&amp;#REF!+SUM($N$35:N59),IF(Table24[[#This Row],[B Counter]]=1,"BI"&amp;#REF!+SUM($O$35:O59),""))</f>
        <v>#REF!</v>
      </c>
      <c r="T59" s="18"/>
      <c r="U59" s="7"/>
    </row>
    <row r="60" spans="1:21" x14ac:dyDescent="0.25">
      <c r="A60">
        <f t="shared" si="0"/>
        <v>51</v>
      </c>
      <c r="B60" s="93" t="str">
        <f>IFERROR(RIGHT(Table24[[#This Row],[Controller Input '#]],3)*1,"")</f>
        <v/>
      </c>
      <c r="C60" s="99"/>
      <c r="D60" s="1"/>
      <c r="E60" s="125" t="s">
        <v>327</v>
      </c>
      <c r="F60" s="1" t="s">
        <v>328</v>
      </c>
      <c r="G60" s="1" t="s">
        <v>69</v>
      </c>
      <c r="H60" s="8"/>
      <c r="I60" s="1" t="s">
        <v>70</v>
      </c>
      <c r="J60" s="1" t="s">
        <v>71</v>
      </c>
      <c r="K60" s="3" t="s">
        <v>72</v>
      </c>
      <c r="L60" s="1" t="s">
        <v>76</v>
      </c>
      <c r="M60" s="18"/>
      <c r="N60" s="18">
        <f>IF(ISNUMBER(SEARCH("ANALOG",Table24[[#This Row],[Type]]))=TRUE,1,"")</f>
        <v>1</v>
      </c>
      <c r="O60" s="18" t="str">
        <f>IF(ISNUMBER(SEARCH("BINARY",Table24[[#This Row],[Type]]))=TRUE,1,"")</f>
        <v/>
      </c>
      <c r="P60" s="7" t="e">
        <f>IF(Table24[[#This Row],[Type]]="","",LEFT(Table24[[#This Row],[Type]],1)&amp;LEFT(#REF!,1))</f>
        <v>#REF!</v>
      </c>
      <c r="Q60" s="18" t="e">
        <f>IF(Table24[[#This Row],[Type]]="","",LEFT(Table24[[#This Row],[Type]],1)&amp;LEFT(#REF!,1))</f>
        <v>#REF!</v>
      </c>
      <c r="R60" s="18"/>
      <c r="S60" s="7" t="e">
        <f>IF(Table24[[#This Row],[A Counter]]=1,"AI"&amp;#REF!+SUM($N$35:N60),IF(Table24[[#This Row],[B Counter]]=1,"BI"&amp;#REF!+SUM($O$35:O60),""))</f>
        <v>#REF!</v>
      </c>
      <c r="T60" s="18" t="s">
        <v>34</v>
      </c>
      <c r="U60" s="7"/>
    </row>
    <row r="61" spans="1:21" x14ac:dyDescent="0.25">
      <c r="A61">
        <f t="shared" si="0"/>
        <v>52</v>
      </c>
      <c r="B61" s="93" t="str">
        <f>IFERROR(RIGHT(Table24[[#This Row],[Controller Input '#]],3)*1,"")</f>
        <v/>
      </c>
      <c r="C61" s="99"/>
      <c r="D61" s="1"/>
      <c r="E61" s="125" t="s">
        <v>330</v>
      </c>
      <c r="F61" s="1" t="s">
        <v>331</v>
      </c>
      <c r="G61" s="1" t="s">
        <v>218</v>
      </c>
      <c r="H61" s="8"/>
      <c r="I61" s="1" t="s">
        <v>70</v>
      </c>
      <c r="J61" s="1" t="s">
        <v>71</v>
      </c>
      <c r="K61" s="1" t="s">
        <v>84</v>
      </c>
      <c r="L61" s="18" t="s">
        <v>85</v>
      </c>
      <c r="M61" s="1"/>
      <c r="N61" s="18">
        <f>IF(ISNUMBER(SEARCH("ANALOG",Table24[[#This Row],[Type]]))=TRUE,1,"")</f>
        <v>1</v>
      </c>
      <c r="O61" s="18" t="str">
        <f>IF(ISNUMBER(SEARCH("BINARY",Table24[[#This Row],[Type]]))=TRUE,1,"")</f>
        <v/>
      </c>
      <c r="P61" s="7" t="e">
        <f>IF(Table24[[#This Row],[Type]]="","",LEFT(Table24[[#This Row],[Type]],1)&amp;LEFT(#REF!,1))</f>
        <v>#REF!</v>
      </c>
      <c r="Q61" s="18" t="e">
        <f>IF(Table24[[#This Row],[Type]]="","",LEFT(Table24[[#This Row],[Type]],1)&amp;LEFT(#REF!,1))</f>
        <v>#REF!</v>
      </c>
      <c r="R61" s="18"/>
      <c r="S61" s="7" t="e">
        <f>IF(Table24[[#This Row],[A Counter]]=1,"AI"&amp;#REF!+SUM($N$35:N61),IF(Table24[[#This Row],[B Counter]]=1,"BI"&amp;#REF!+SUM($O$35:O61),""))</f>
        <v>#REF!</v>
      </c>
      <c r="T61" s="18" t="s">
        <v>34</v>
      </c>
      <c r="U61" s="7"/>
    </row>
    <row r="62" spans="1:21" x14ac:dyDescent="0.25">
      <c r="A62">
        <f t="shared" si="0"/>
        <v>53</v>
      </c>
      <c r="B62" s="93" t="str">
        <f>IFERROR(RIGHT(Table24[[#This Row],[Controller Input '#]],3)*1,"")</f>
        <v/>
      </c>
      <c r="C62" s="99"/>
      <c r="D62" s="1"/>
      <c r="E62" s="125" t="s">
        <v>332</v>
      </c>
      <c r="F62" s="1" t="s">
        <v>333</v>
      </c>
      <c r="G62" s="1" t="s">
        <v>218</v>
      </c>
      <c r="H62" s="8"/>
      <c r="I62" s="1" t="s">
        <v>70</v>
      </c>
      <c r="J62" s="1" t="s">
        <v>71</v>
      </c>
      <c r="K62" s="1" t="s">
        <v>84</v>
      </c>
      <c r="L62" s="18" t="s">
        <v>90</v>
      </c>
      <c r="M62" s="1"/>
      <c r="N62" s="18">
        <f>IF(ISNUMBER(SEARCH("ANALOG",Table24[[#This Row],[Type]]))=TRUE,1,"")</f>
        <v>1</v>
      </c>
      <c r="O62" s="18" t="str">
        <f>IF(ISNUMBER(SEARCH("BINARY",Table24[[#This Row],[Type]]))=TRUE,1,"")</f>
        <v/>
      </c>
      <c r="P62" s="7" t="e">
        <f>IF(Table24[[#This Row],[Type]]="","",LEFT(Table24[[#This Row],[Type]],1)&amp;LEFT(#REF!,1))</f>
        <v>#REF!</v>
      </c>
      <c r="Q62" s="18" t="e">
        <f>IF(Table24[[#This Row],[Type]]="","",LEFT(Table24[[#This Row],[Type]],1)&amp;LEFT(#REF!,1))</f>
        <v>#REF!</v>
      </c>
      <c r="R62" s="18"/>
      <c r="S62" s="7" t="e">
        <f>IF(Table24[[#This Row],[A Counter]]=1,"AI"&amp;#REF!+SUM($N$35:N62),IF(Table24[[#This Row],[B Counter]]=1,"BI"&amp;#REF!+SUM($O$35:O62),""))</f>
        <v>#REF!</v>
      </c>
      <c r="T62" s="18" t="s">
        <v>34</v>
      </c>
      <c r="U62" s="7"/>
    </row>
    <row r="63" spans="1:21" x14ac:dyDescent="0.25">
      <c r="A63">
        <f t="shared" si="0"/>
        <v>54</v>
      </c>
      <c r="B63" s="93" t="str">
        <f>IFERROR(RIGHT(Table24[[#This Row],[Controller Input '#]],3)*1,"")</f>
        <v/>
      </c>
      <c r="C63" s="99"/>
      <c r="D63" s="1"/>
      <c r="E63" s="125" t="s">
        <v>334</v>
      </c>
      <c r="F63" s="1" t="s">
        <v>335</v>
      </c>
      <c r="G63" s="1" t="s">
        <v>218</v>
      </c>
      <c r="H63" s="8"/>
      <c r="I63" s="1" t="s">
        <v>70</v>
      </c>
      <c r="J63" s="1" t="s">
        <v>71</v>
      </c>
      <c r="K63" s="1" t="s">
        <v>84</v>
      </c>
      <c r="L63" s="18" t="s">
        <v>90</v>
      </c>
      <c r="M63" s="1"/>
      <c r="N63" s="18">
        <f>IF(ISNUMBER(SEARCH("ANALOG",Table24[[#This Row],[Type]]))=TRUE,1,"")</f>
        <v>1</v>
      </c>
      <c r="O63" s="18" t="str">
        <f>IF(ISNUMBER(SEARCH("BINARY",Table24[[#This Row],[Type]]))=TRUE,1,"")</f>
        <v/>
      </c>
      <c r="P63" s="7" t="e">
        <f>IF(Table24[[#This Row],[Type]]="","",LEFT(Table24[[#This Row],[Type]],1)&amp;LEFT(#REF!,1))</f>
        <v>#REF!</v>
      </c>
      <c r="Q63" s="18" t="e">
        <f>IF(Table24[[#This Row],[Type]]="","",LEFT(Table24[[#This Row],[Type]],1)&amp;LEFT(#REF!,1))</f>
        <v>#REF!</v>
      </c>
      <c r="R63" s="18"/>
      <c r="S63" s="7" t="e">
        <f>IF(Table24[[#This Row],[A Counter]]=1,"AI"&amp;#REF!+SUM($N$35:N160),IF(Table24[[#This Row],[B Counter]]=1,"BI"&amp;#REF!+SUM($O$35:O160),""))</f>
        <v>#REF!</v>
      </c>
      <c r="T63" s="18" t="s">
        <v>34</v>
      </c>
    </row>
    <row r="64" spans="1:21" x14ac:dyDescent="0.25">
      <c r="A64">
        <f t="shared" si="0"/>
        <v>55</v>
      </c>
      <c r="B64" s="93" t="str">
        <f>IFERROR(RIGHT(Table24[[#This Row],[Controller Input '#]],3)*1,"")</f>
        <v/>
      </c>
      <c r="C64" s="99"/>
      <c r="D64" s="1"/>
      <c r="E64" s="124" t="s">
        <v>1012</v>
      </c>
      <c r="F64" s="109" t="s">
        <v>445</v>
      </c>
      <c r="G64" s="109" t="s">
        <v>112</v>
      </c>
      <c r="H64" s="111"/>
      <c r="I64" s="109" t="s">
        <v>103</v>
      </c>
      <c r="J64" s="109" t="s">
        <v>71</v>
      </c>
      <c r="K64" s="109" t="s">
        <v>112</v>
      </c>
      <c r="L64" s="109"/>
      <c r="M64" s="109"/>
      <c r="N64" s="109"/>
      <c r="O64" s="109">
        <v>1</v>
      </c>
      <c r="P64" s="76" t="s">
        <v>941</v>
      </c>
      <c r="Q64" s="1"/>
      <c r="R64" s="1"/>
      <c r="S64" s="7"/>
      <c r="T64" s="1"/>
    </row>
    <row r="65" spans="1:21" x14ac:dyDescent="0.25">
      <c r="A65">
        <f t="shared" si="0"/>
        <v>56</v>
      </c>
      <c r="B65" s="93" t="str">
        <f>IFERROR(RIGHT(Table24[[#This Row],[Controller Input '#]],3)*1,"")</f>
        <v/>
      </c>
      <c r="C65" s="99"/>
      <c r="D65" s="1"/>
      <c r="E65" s="125"/>
      <c r="F65" s="1"/>
      <c r="G65" s="1"/>
      <c r="H65" s="8"/>
      <c r="I65" s="1"/>
      <c r="J65" s="1"/>
      <c r="K65" s="1"/>
      <c r="L65" s="1"/>
      <c r="M65" s="1"/>
      <c r="N65" s="1"/>
      <c r="O65" s="1"/>
      <c r="Q65" s="1"/>
      <c r="R65" s="1"/>
      <c r="S65" s="7"/>
      <c r="T65" s="1"/>
    </row>
    <row r="66" spans="1:21" x14ac:dyDescent="0.25">
      <c r="A66">
        <f t="shared" si="0"/>
        <v>57</v>
      </c>
      <c r="B66" s="93" t="str">
        <f>IFERROR(RIGHT(Table24[[#This Row],[Controller Input '#]],3)*1,"")</f>
        <v/>
      </c>
      <c r="C66" s="99"/>
      <c r="D66" s="1"/>
      <c r="E66" s="126" t="s">
        <v>1132</v>
      </c>
      <c r="F66" s="1"/>
      <c r="G66" s="1"/>
      <c r="H66" s="8"/>
      <c r="I66" s="1"/>
      <c r="J66" s="1"/>
      <c r="K66" s="1"/>
      <c r="L66" s="1"/>
      <c r="M66" s="1"/>
      <c r="N66" s="1"/>
      <c r="O66" s="1"/>
      <c r="Q66" s="114"/>
      <c r="R66" s="114"/>
      <c r="S66" s="77"/>
      <c r="T66" s="115"/>
    </row>
    <row r="67" spans="1:21" x14ac:dyDescent="0.25">
      <c r="A67">
        <f t="shared" si="0"/>
        <v>58</v>
      </c>
      <c r="B67" s="93" t="str">
        <f>IFERROR(RIGHT(Table24[[#This Row],[Controller Input '#]],3)*1,"")</f>
        <v/>
      </c>
      <c r="C67" s="99"/>
      <c r="D67" s="1"/>
      <c r="E67" s="126" t="s">
        <v>1133</v>
      </c>
      <c r="F67" s="1"/>
      <c r="G67" s="1"/>
      <c r="H67" s="8"/>
      <c r="I67" s="1"/>
      <c r="J67" s="1"/>
      <c r="K67" s="1"/>
      <c r="L67" s="1"/>
      <c r="M67" s="1"/>
      <c r="N67" s="1"/>
      <c r="O67" s="1"/>
      <c r="Q67" s="1"/>
      <c r="R67" s="1"/>
      <c r="S67" s="7"/>
      <c r="T67" s="1"/>
    </row>
    <row r="68" spans="1:21" x14ac:dyDescent="0.25">
      <c r="A68">
        <f t="shared" si="0"/>
        <v>59</v>
      </c>
      <c r="B68" s="93" t="str">
        <f>IFERROR(RIGHT(Table24[[#This Row],[Controller Input '#]],3)*1,"")</f>
        <v/>
      </c>
      <c r="C68" s="99"/>
      <c r="D68" s="1"/>
      <c r="E68" s="126" t="s">
        <v>1134</v>
      </c>
      <c r="F68" s="1"/>
      <c r="G68" s="1"/>
      <c r="H68" s="8"/>
      <c r="I68" s="1"/>
      <c r="J68" s="1"/>
      <c r="K68" s="1"/>
      <c r="L68" s="1"/>
      <c r="M68" s="1"/>
      <c r="N68" s="1"/>
      <c r="O68" s="1"/>
      <c r="Q68" s="1"/>
      <c r="R68" s="1"/>
      <c r="S68" s="7"/>
      <c r="T68" s="1"/>
    </row>
    <row r="69" spans="1:21" x14ac:dyDescent="0.25">
      <c r="A69">
        <f t="shared" si="0"/>
        <v>60</v>
      </c>
      <c r="B69" s="93" t="str">
        <f>IFERROR(RIGHT(Table24[[#This Row],[Controller Input '#]],3)*1,"")</f>
        <v/>
      </c>
      <c r="C69" s="99"/>
      <c r="D69" s="1"/>
      <c r="E69" s="126" t="s">
        <v>1135</v>
      </c>
      <c r="F69" s="1"/>
      <c r="G69" s="1"/>
      <c r="H69" s="8"/>
      <c r="I69" s="1"/>
      <c r="J69" s="1"/>
      <c r="K69" s="1"/>
      <c r="L69" s="1"/>
      <c r="M69" s="1"/>
      <c r="N69" s="1"/>
      <c r="O69" s="1"/>
      <c r="Q69" s="1"/>
      <c r="R69" s="1"/>
      <c r="S69" s="7"/>
      <c r="T69" s="1"/>
    </row>
    <row r="70" spans="1:21" x14ac:dyDescent="0.25">
      <c r="A70">
        <f t="shared" si="0"/>
        <v>61</v>
      </c>
      <c r="B70" s="93" t="str">
        <f>IFERROR(RIGHT(Table24[[#This Row],[Controller Input '#]],3)*1,"")</f>
        <v/>
      </c>
      <c r="C70" s="99"/>
      <c r="D70" s="1"/>
      <c r="F70" s="1"/>
      <c r="G70" s="1"/>
      <c r="H70" s="8"/>
      <c r="I70" s="1"/>
      <c r="J70" s="1"/>
      <c r="K70" s="1"/>
      <c r="L70" s="1"/>
      <c r="M70" s="1"/>
      <c r="N70" s="1"/>
      <c r="O70" s="1"/>
      <c r="Q70" s="1"/>
      <c r="R70" s="1"/>
      <c r="S70" s="7"/>
      <c r="T70" s="1"/>
    </row>
    <row r="71" spans="1:21" x14ac:dyDescent="0.25">
      <c r="A71">
        <f t="shared" si="0"/>
        <v>62</v>
      </c>
      <c r="B71" s="93" t="str">
        <f>IFERROR(RIGHT(Table24[[#This Row],[Controller Input '#]],3)*1,"")</f>
        <v/>
      </c>
      <c r="C71" s="99"/>
      <c r="D71" s="1"/>
      <c r="F71" s="1"/>
      <c r="G71" s="1"/>
      <c r="H71" s="8"/>
      <c r="I71" s="1"/>
      <c r="J71" s="1"/>
      <c r="K71" s="1"/>
      <c r="L71" s="1"/>
      <c r="M71" s="1"/>
      <c r="N71" s="1"/>
      <c r="O71" s="1"/>
      <c r="Q71" s="1"/>
      <c r="R71" s="1"/>
      <c r="S71" s="7"/>
      <c r="T71" s="1"/>
    </row>
    <row r="72" spans="1:21" x14ac:dyDescent="0.25">
      <c r="A72">
        <f t="shared" si="0"/>
        <v>63</v>
      </c>
      <c r="B72" s="93" t="str">
        <f>IFERROR(RIGHT(Table24[[#This Row],[Controller Input '#]],3)*1,"")</f>
        <v/>
      </c>
      <c r="C72" s="99"/>
      <c r="D72" s="1"/>
      <c r="F72" s="1"/>
      <c r="G72" s="1"/>
      <c r="H72" s="8"/>
      <c r="I72" s="1"/>
      <c r="J72" s="1"/>
      <c r="K72" s="1"/>
      <c r="L72" s="1"/>
      <c r="M72" s="1"/>
      <c r="N72" s="1"/>
      <c r="O72" s="1"/>
      <c r="Q72" s="1"/>
      <c r="R72" s="1"/>
      <c r="S72" s="7"/>
      <c r="T72" s="1"/>
    </row>
    <row r="73" spans="1:21" x14ac:dyDescent="0.25">
      <c r="A73">
        <f t="shared" si="0"/>
        <v>64</v>
      </c>
      <c r="B73" s="93" t="str">
        <f>IFERROR(RIGHT(Table24[[#This Row],[Controller Input '#]],3)*1,"")</f>
        <v/>
      </c>
      <c r="C73" s="99"/>
      <c r="D73" s="1"/>
      <c r="F73" s="1"/>
      <c r="G73" s="1"/>
      <c r="H73" s="8"/>
      <c r="I73" s="1"/>
      <c r="J73" s="1"/>
      <c r="K73" s="1"/>
      <c r="L73" s="1"/>
      <c r="M73" s="1"/>
      <c r="N73" s="1"/>
      <c r="O73" s="1"/>
      <c r="Q73" s="1"/>
      <c r="R73" s="1"/>
      <c r="S73" s="7"/>
      <c r="T73" s="1"/>
    </row>
    <row r="74" spans="1:21" x14ac:dyDescent="0.25">
      <c r="A74">
        <f t="shared" si="0"/>
        <v>65</v>
      </c>
      <c r="B74" s="93" t="str">
        <f>IFERROR(RIGHT(Table24[[#This Row],[Controller Input '#]],3)*1,"")</f>
        <v/>
      </c>
      <c r="C74" s="99"/>
      <c r="D74" s="1"/>
      <c r="E74" s="1"/>
      <c r="F74" s="1"/>
      <c r="G74" s="1"/>
      <c r="H74" s="8"/>
      <c r="I74" s="1"/>
      <c r="J74" s="1"/>
      <c r="K74" s="1"/>
      <c r="L74" s="1"/>
      <c r="M74" s="1"/>
      <c r="N74" s="1"/>
      <c r="O74" s="1"/>
      <c r="Q74" s="1"/>
      <c r="R74" s="1"/>
      <c r="S74" s="7"/>
      <c r="T74" s="1"/>
    </row>
    <row r="75" spans="1:21" x14ac:dyDescent="0.25">
      <c r="A75">
        <f t="shared" si="0"/>
        <v>66</v>
      </c>
      <c r="B75" s="93" t="str">
        <f>IFERROR(RIGHT(Table24[[#This Row],[Controller Input '#]],3)*1,"")</f>
        <v/>
      </c>
      <c r="C75" s="98"/>
      <c r="D75" s="1"/>
      <c r="E75" s="1"/>
      <c r="F75" s="1"/>
      <c r="G75" s="1"/>
      <c r="H75" s="8"/>
      <c r="I75" s="1"/>
      <c r="J75" s="1"/>
      <c r="K75" s="1"/>
      <c r="L75" s="1"/>
      <c r="M75" s="1"/>
      <c r="N75" s="1"/>
      <c r="O75" s="1"/>
      <c r="Q75" s="1"/>
      <c r="R75" s="1"/>
      <c r="S75" s="7"/>
      <c r="T75" s="1"/>
      <c r="U75" s="7"/>
    </row>
    <row r="76" spans="1:21" x14ac:dyDescent="0.25">
      <c r="A76">
        <f t="shared" si="0"/>
        <v>67</v>
      </c>
      <c r="B76" s="93" t="str">
        <f>IFERROR(RIGHT(Table24[[#This Row],[Controller Input '#]],3)*1,"")</f>
        <v/>
      </c>
      <c r="C76" s="98"/>
      <c r="D76" s="1"/>
      <c r="E76" s="1"/>
      <c r="F76" s="1"/>
      <c r="G76" s="1"/>
      <c r="H76" s="8"/>
      <c r="I76" s="1"/>
      <c r="J76" s="1"/>
      <c r="K76" s="1"/>
      <c r="L76" s="1"/>
      <c r="M76" s="1"/>
      <c r="N76" s="1"/>
      <c r="O76" s="1"/>
      <c r="Q76" s="1"/>
      <c r="R76" s="1"/>
      <c r="S76" s="7"/>
      <c r="T76" s="1"/>
      <c r="U76" s="7"/>
    </row>
    <row r="77" spans="1:21" x14ac:dyDescent="0.25">
      <c r="A77">
        <f t="shared" si="0"/>
        <v>68</v>
      </c>
      <c r="B77" s="93" t="str">
        <f>IFERROR(RIGHT(Table24[[#This Row],[Controller Input '#]],3)*1,"")</f>
        <v/>
      </c>
      <c r="C77" s="98"/>
      <c r="D77" s="1"/>
      <c r="E77" s="1"/>
      <c r="F77" s="1"/>
      <c r="G77" s="1"/>
      <c r="H77" s="8"/>
      <c r="I77" s="1"/>
      <c r="J77" s="1"/>
      <c r="K77" s="1"/>
      <c r="L77" s="1"/>
      <c r="M77" s="1"/>
      <c r="N77" s="1"/>
      <c r="O77" s="1"/>
      <c r="Q77" s="1"/>
      <c r="R77" s="1"/>
      <c r="S77" s="7"/>
      <c r="T77" s="1"/>
      <c r="U77" s="7"/>
    </row>
    <row r="78" spans="1:21" x14ac:dyDescent="0.25">
      <c r="A78">
        <f t="shared" ref="A78:A141" si="5">A77+1</f>
        <v>69</v>
      </c>
      <c r="B78" s="93">
        <f>IFERROR(RIGHT(Table24[[#This Row],[Controller Input '#]],3)*1,"")</f>
        <v>306</v>
      </c>
      <c r="C78" s="100" t="s">
        <v>213</v>
      </c>
      <c r="D78" s="1"/>
      <c r="E78" s="1"/>
      <c r="F78" s="1"/>
      <c r="G78" s="1"/>
      <c r="H78" s="8"/>
      <c r="I78" s="1"/>
      <c r="J78" s="1"/>
      <c r="K78" s="1"/>
      <c r="L78" s="1"/>
      <c r="M78" s="1"/>
      <c r="N78" s="1"/>
      <c r="O78" s="1"/>
      <c r="Q78" s="1"/>
      <c r="R78" s="1"/>
      <c r="S78" s="7"/>
      <c r="T78" s="1"/>
      <c r="U78" s="7"/>
    </row>
    <row r="79" spans="1:21" x14ac:dyDescent="0.25">
      <c r="A79">
        <f t="shared" si="5"/>
        <v>70</v>
      </c>
      <c r="B79" s="93" t="str">
        <f>IFERROR(RIGHT(Table24[[#This Row],[Controller Input '#]],3)*1,"")</f>
        <v/>
      </c>
      <c r="C79" s="98"/>
      <c r="D79" s="1"/>
      <c r="E79" s="1"/>
      <c r="F79" s="1"/>
      <c r="G79" s="1"/>
      <c r="H79" s="8"/>
      <c r="I79" s="1"/>
      <c r="J79" s="1"/>
      <c r="K79" s="1"/>
      <c r="L79" s="1"/>
      <c r="M79" s="1"/>
      <c r="N79" s="1"/>
      <c r="O79" s="1"/>
      <c r="Q79" s="1"/>
      <c r="R79" s="1"/>
      <c r="S79" s="7"/>
      <c r="T79" s="1"/>
      <c r="U79" s="7"/>
    </row>
    <row r="80" spans="1:21" x14ac:dyDescent="0.25">
      <c r="A80">
        <f t="shared" si="5"/>
        <v>71</v>
      </c>
      <c r="B80" s="93" t="str">
        <f>IFERROR(RIGHT(Table24[[#This Row],[Controller Input '#]],3)*1,"")</f>
        <v/>
      </c>
      <c r="C80" s="98"/>
      <c r="D80" s="1"/>
      <c r="E80" s="1"/>
      <c r="F80" s="1"/>
      <c r="G80" s="1"/>
      <c r="H80" s="8"/>
      <c r="I80" s="1"/>
      <c r="J80" s="1"/>
      <c r="K80" s="1"/>
      <c r="L80" s="1"/>
      <c r="M80" s="1"/>
      <c r="N80" s="1"/>
      <c r="O80" s="1"/>
      <c r="Q80" s="1"/>
      <c r="R80" s="1"/>
      <c r="S80" s="7"/>
      <c r="T80" s="1"/>
      <c r="U80" s="7"/>
    </row>
    <row r="81" spans="1:21" x14ac:dyDescent="0.25">
      <c r="A81">
        <f t="shared" si="5"/>
        <v>72</v>
      </c>
      <c r="B81" s="93" t="str">
        <f>IFERROR(RIGHT(Table24[[#This Row],[Controller Input '#]],3)*1,"")</f>
        <v/>
      </c>
      <c r="C81" s="98"/>
      <c r="D81" s="1"/>
      <c r="E81" s="1"/>
      <c r="F81" s="1"/>
      <c r="G81" s="1"/>
      <c r="H81" s="8"/>
      <c r="I81" s="1"/>
      <c r="J81" s="1"/>
      <c r="K81" s="1"/>
      <c r="L81" s="1"/>
      <c r="M81" s="1"/>
      <c r="N81" s="18"/>
      <c r="O81" s="18"/>
      <c r="P81" s="7"/>
      <c r="Q81" s="18"/>
      <c r="R81" s="18"/>
      <c r="S81" s="7"/>
      <c r="T81" s="18"/>
      <c r="U81" s="7"/>
    </row>
    <row r="82" spans="1:21" x14ac:dyDescent="0.25">
      <c r="A82">
        <f t="shared" si="5"/>
        <v>73</v>
      </c>
      <c r="B82" s="93" t="str">
        <f>IFERROR(RIGHT(Table24[[#This Row],[Controller Input '#]],3)*1,"")</f>
        <v/>
      </c>
      <c r="C82" s="100"/>
      <c r="D82" s="1"/>
      <c r="E82" s="1" t="s">
        <v>143</v>
      </c>
      <c r="F82" s="1" t="s">
        <v>144</v>
      </c>
      <c r="G82" s="1"/>
      <c r="H82" s="8"/>
      <c r="I82" s="1" t="s">
        <v>103</v>
      </c>
      <c r="J82" s="1" t="s">
        <v>125</v>
      </c>
      <c r="K82" s="1" t="s">
        <v>112</v>
      </c>
      <c r="L82" s="1"/>
      <c r="M82" s="1"/>
      <c r="N82" s="18" t="str">
        <f>IF(ISNUMBER(SEARCH("ANALOG",Table24[[#This Row],[Type]]))=TRUE,1,"")</f>
        <v/>
      </c>
      <c r="O82" s="18">
        <f>IF(ISNUMBER(SEARCH("BINARY",Table24[[#This Row],[Type]]))=TRUE,1,"")</f>
        <v>1</v>
      </c>
      <c r="P82" s="7" t="e">
        <f>IF(Table24[[#This Row],[Type]]="","",LEFT(Table24[[#This Row],[Type]],1)&amp;LEFT(#REF!,1))</f>
        <v>#REF!</v>
      </c>
      <c r="Q82" s="18" t="e">
        <f>IF(Table24[[#This Row],[Type]]="","",LEFT(Table24[[#This Row],[Type]],1)&amp;LEFT(#REF!,1))</f>
        <v>#REF!</v>
      </c>
      <c r="R82" s="18"/>
      <c r="S82" s="7" t="e">
        <f>IF(Table24[[#This Row],[A Counter]]=1,"AI"&amp;#REF!+SUM($N$35:N82),IF(Table24[[#This Row],[B Counter]]=1,"BI"&amp;#REF!+SUM($O$35:O82),""))</f>
        <v>#REF!</v>
      </c>
      <c r="T82" s="18" t="s">
        <v>34</v>
      </c>
    </row>
    <row r="83" spans="1:21" x14ac:dyDescent="0.25">
      <c r="A83">
        <f t="shared" si="5"/>
        <v>74</v>
      </c>
      <c r="B83" s="93" t="str">
        <f>IFERROR(RIGHT(Table24[[#This Row],[Controller Input '#]],3)*1,"")</f>
        <v/>
      </c>
      <c r="C83" s="98"/>
      <c r="D83" s="1"/>
      <c r="E83" s="1" t="s">
        <v>145</v>
      </c>
      <c r="F83" s="1" t="s">
        <v>146</v>
      </c>
      <c r="G83" s="1"/>
      <c r="H83" s="8"/>
      <c r="I83" s="1" t="s">
        <v>70</v>
      </c>
      <c r="J83" s="1" t="s">
        <v>125</v>
      </c>
      <c r="K83" s="1" t="s">
        <v>80</v>
      </c>
      <c r="L83" s="1"/>
      <c r="M83" s="1"/>
      <c r="N83" s="18">
        <f>IF(ISNUMBER(SEARCH("ANALOG",Table24[[#This Row],[Type]]))=TRUE,1,"")</f>
        <v>1</v>
      </c>
      <c r="O83" s="18" t="str">
        <f>IF(ISNUMBER(SEARCH("BINARY",Table24[[#This Row],[Type]]))=TRUE,1,"")</f>
        <v/>
      </c>
      <c r="P83" s="7" t="e">
        <f>IF(Table24[[#This Row],[Type]]="","",LEFT(Table24[[#This Row],[Type]],1)&amp;LEFT(#REF!,1))</f>
        <v>#REF!</v>
      </c>
      <c r="Q83" s="18" t="e">
        <f>IF(Table24[[#This Row],[Type]]="","",LEFT(Table24[[#This Row],[Type]],1)&amp;LEFT(#REF!,1))</f>
        <v>#REF!</v>
      </c>
      <c r="R83" s="18"/>
      <c r="S83" s="7" t="e">
        <f>IF(Table24[[#This Row],[A Counter]]=1,"AI"&amp;#REF!+SUM($N$35:N83),IF(Table24[[#This Row],[B Counter]]=1,"BI"&amp;#REF!+SUM($O$35:O83),""))</f>
        <v>#REF!</v>
      </c>
      <c r="T83" s="18" t="s">
        <v>34</v>
      </c>
      <c r="U83" s="7"/>
    </row>
    <row r="84" spans="1:21" x14ac:dyDescent="0.25">
      <c r="A84">
        <f t="shared" si="5"/>
        <v>75</v>
      </c>
      <c r="B84" s="93" t="str">
        <f>IFERROR(RIGHT(Table24[[#This Row],[Controller Input '#]],3)*1,"")</f>
        <v/>
      </c>
      <c r="C84" s="98"/>
      <c r="D84" s="1"/>
      <c r="E84" s="1" t="s">
        <v>147</v>
      </c>
      <c r="F84" s="1" t="s">
        <v>148</v>
      </c>
      <c r="G84" s="1"/>
      <c r="H84" s="8"/>
      <c r="I84" s="1" t="s">
        <v>70</v>
      </c>
      <c r="J84" s="1" t="s">
        <v>125</v>
      </c>
      <c r="K84" s="1" t="s">
        <v>127</v>
      </c>
      <c r="L84" s="1"/>
      <c r="M84" s="1"/>
      <c r="N84" s="18">
        <f>IF(ISNUMBER(SEARCH("ANALOG",Table24[[#This Row],[Type]]))=TRUE,1,"")</f>
        <v>1</v>
      </c>
      <c r="O84" s="18" t="str">
        <f>IF(ISNUMBER(SEARCH("BINARY",Table24[[#This Row],[Type]]))=TRUE,1,"")</f>
        <v/>
      </c>
      <c r="P84" s="7" t="e">
        <f>IF(Table24[[#This Row],[Type]]="","",LEFT(Table24[[#This Row],[Type]],1)&amp;LEFT(#REF!,1))</f>
        <v>#REF!</v>
      </c>
      <c r="Q84" s="18" t="e">
        <f>IF(Table24[[#This Row],[Type]]="","",LEFT(Table24[[#This Row],[Type]],1)&amp;LEFT(#REF!,1))</f>
        <v>#REF!</v>
      </c>
      <c r="R84" s="18"/>
      <c r="S84" s="7" t="e">
        <f>IF(Table24[[#This Row],[A Counter]]=1,"AI"&amp;#REF!+SUM($N$35:N84),IF(Table24[[#This Row],[B Counter]]=1,"BI"&amp;#REF!+SUM($O$35:O84),""))</f>
        <v>#REF!</v>
      </c>
      <c r="T84" s="18" t="s">
        <v>34</v>
      </c>
      <c r="U84" s="7"/>
    </row>
    <row r="85" spans="1:21" x14ac:dyDescent="0.25">
      <c r="A85">
        <f t="shared" si="5"/>
        <v>76</v>
      </c>
      <c r="B85" s="93" t="str">
        <f>IFERROR(RIGHT(Table24[[#This Row],[Controller Input '#]],3)*1,"")</f>
        <v/>
      </c>
      <c r="C85" s="99"/>
      <c r="D85" s="1"/>
      <c r="E85" s="1" t="s">
        <v>149</v>
      </c>
      <c r="F85" s="1" t="s">
        <v>150</v>
      </c>
      <c r="G85" s="1"/>
      <c r="H85" s="8"/>
      <c r="I85" s="1" t="s">
        <v>70</v>
      </c>
      <c r="J85" s="1" t="s">
        <v>125</v>
      </c>
      <c r="K85" s="1" t="s">
        <v>119</v>
      </c>
      <c r="L85" s="1"/>
      <c r="M85" s="1"/>
      <c r="N85" s="18">
        <f>IF(ISNUMBER(SEARCH("ANALOG",Table24[[#This Row],[Type]]))=TRUE,1,"")</f>
        <v>1</v>
      </c>
      <c r="O85" s="18" t="str">
        <f>IF(ISNUMBER(SEARCH("BINARY",Table24[[#This Row],[Type]]))=TRUE,1,"")</f>
        <v/>
      </c>
      <c r="P85" s="7" t="e">
        <f>IF(Table24[[#This Row],[Type]]="","",LEFT(Table24[[#This Row],[Type]],1)&amp;LEFT(#REF!,1))</f>
        <v>#REF!</v>
      </c>
      <c r="Q85" s="18" t="e">
        <f>IF(Table24[[#This Row],[Type]]="","",LEFT(Table24[[#This Row],[Type]],1)&amp;LEFT(#REF!,1))</f>
        <v>#REF!</v>
      </c>
      <c r="R85" s="18"/>
      <c r="S85" s="7" t="e">
        <f>IF(Table24[[#This Row],[A Counter]]=1,"AI"&amp;#REF!+SUM($N$35:N85),IF(Table24[[#This Row],[B Counter]]=1,"BI"&amp;#REF!+SUM($O$35:O85),""))</f>
        <v>#REF!</v>
      </c>
      <c r="T85" s="18" t="s">
        <v>34</v>
      </c>
      <c r="U85" s="7"/>
    </row>
    <row r="86" spans="1:21" x14ac:dyDescent="0.25">
      <c r="A86">
        <f t="shared" si="5"/>
        <v>77</v>
      </c>
      <c r="B86" s="93" t="str">
        <f>IFERROR(RIGHT(Table24[[#This Row],[Controller Input '#]],3)*1,"")</f>
        <v/>
      </c>
      <c r="C86" s="99"/>
      <c r="D86" s="1"/>
      <c r="E86" s="59"/>
      <c r="F86" s="59"/>
      <c r="G86" s="59"/>
      <c r="H86" s="60"/>
      <c r="I86" s="59"/>
      <c r="J86" s="59"/>
      <c r="K86" s="61"/>
      <c r="L86" s="62"/>
      <c r="M86" s="62"/>
      <c r="N86" s="62"/>
      <c r="O86" s="62"/>
      <c r="P86" s="67"/>
      <c r="Q86" s="62"/>
      <c r="R86" s="62"/>
      <c r="S86" s="67"/>
      <c r="T86" s="62"/>
      <c r="U86" s="7"/>
    </row>
    <row r="87" spans="1:21" x14ac:dyDescent="0.25">
      <c r="A87">
        <f t="shared" si="5"/>
        <v>78</v>
      </c>
      <c r="B87" s="93" t="str">
        <f>IFERROR(RIGHT(Table24[[#This Row],[Controller Input '#]],3)*1,"")</f>
        <v/>
      </c>
      <c r="C87" s="99"/>
      <c r="D87" s="1"/>
      <c r="E87" s="1" t="s">
        <v>154</v>
      </c>
      <c r="F87" s="1" t="s">
        <v>155</v>
      </c>
      <c r="G87" s="1"/>
      <c r="H87" s="8"/>
      <c r="I87" s="1" t="s">
        <v>103</v>
      </c>
      <c r="J87" s="1" t="s">
        <v>125</v>
      </c>
      <c r="K87" s="1" t="s">
        <v>112</v>
      </c>
      <c r="L87" s="1"/>
      <c r="M87" s="1"/>
      <c r="N87" s="18" t="str">
        <f>IF(ISNUMBER(SEARCH("ANALOG",Table24[[#This Row],[Type]]))=TRUE,1,"")</f>
        <v/>
      </c>
      <c r="O87" s="18">
        <f>IF(ISNUMBER(SEARCH("BINARY",Table24[[#This Row],[Type]]))=TRUE,1,"")</f>
        <v>1</v>
      </c>
      <c r="P87" s="7" t="e">
        <f>IF(Table24[[#This Row],[Type]]="","",LEFT(Table24[[#This Row],[Type]],1)&amp;LEFT(#REF!,1))</f>
        <v>#REF!</v>
      </c>
      <c r="Q87" s="18" t="e">
        <f>IF(Table24[[#This Row],[Type]]="","",LEFT(Table24[[#This Row],[Type]],1)&amp;LEFT(#REF!,1))</f>
        <v>#REF!</v>
      </c>
      <c r="R87" s="18"/>
      <c r="S87" s="7" t="e">
        <f>IF(Table24[[#This Row],[A Counter]]=1,"AI"&amp;#REF!+SUM($N$35:N87),IF(Table24[[#This Row],[B Counter]]=1,"BI"&amp;#REF!+SUM($O$35:O87),""))</f>
        <v>#REF!</v>
      </c>
      <c r="T87" s="18" t="s">
        <v>34</v>
      </c>
      <c r="U87" s="7"/>
    </row>
    <row r="88" spans="1:21" x14ac:dyDescent="0.25">
      <c r="A88">
        <f t="shared" si="5"/>
        <v>79</v>
      </c>
      <c r="B88" s="93" t="str">
        <f>IFERROR(RIGHT(Table24[[#This Row],[Controller Input '#]],3)*1,"")</f>
        <v/>
      </c>
      <c r="C88" s="99"/>
      <c r="D88" s="1"/>
      <c r="E88" s="1" t="s">
        <v>156</v>
      </c>
      <c r="F88" s="1" t="s">
        <v>157</v>
      </c>
      <c r="G88" s="1"/>
      <c r="H88" s="8"/>
      <c r="I88" s="1" t="s">
        <v>70</v>
      </c>
      <c r="J88" s="1" t="s">
        <v>125</v>
      </c>
      <c r="K88" s="1" t="s">
        <v>80</v>
      </c>
      <c r="L88" s="1"/>
      <c r="M88" s="1"/>
      <c r="N88" s="18">
        <f>IF(ISNUMBER(SEARCH("ANALOG",Table24[[#This Row],[Type]]))=TRUE,1,"")</f>
        <v>1</v>
      </c>
      <c r="O88" s="18" t="str">
        <f>IF(ISNUMBER(SEARCH("BINARY",Table24[[#This Row],[Type]]))=TRUE,1,"")</f>
        <v/>
      </c>
      <c r="P88" s="7" t="e">
        <f>IF(Table24[[#This Row],[Type]]="","",LEFT(Table24[[#This Row],[Type]],1)&amp;LEFT(#REF!,1))</f>
        <v>#REF!</v>
      </c>
      <c r="Q88" s="18" t="e">
        <f>IF(Table24[[#This Row],[Type]]="","",LEFT(Table24[[#This Row],[Type]],1)&amp;LEFT(#REF!,1))</f>
        <v>#REF!</v>
      </c>
      <c r="R88" s="18"/>
      <c r="S88" s="7" t="e">
        <f>IF(Table24[[#This Row],[A Counter]]=1,"AI"&amp;#REF!+SUM($N$35:N88),IF(Table24[[#This Row],[B Counter]]=1,"BI"&amp;#REF!+SUM($O$35:O88),""))</f>
        <v>#REF!</v>
      </c>
      <c r="T88" s="18" t="s">
        <v>34</v>
      </c>
      <c r="U88" s="7"/>
    </row>
    <row r="89" spans="1:21" x14ac:dyDescent="0.25">
      <c r="A89">
        <f t="shared" si="5"/>
        <v>80</v>
      </c>
      <c r="B89" s="93" t="str">
        <f>IFERROR(RIGHT(Table24[[#This Row],[Controller Input '#]],3)*1,"")</f>
        <v/>
      </c>
      <c r="C89" s="99"/>
      <c r="D89" s="1"/>
      <c r="E89" s="1" t="s">
        <v>158</v>
      </c>
      <c r="F89" s="1" t="s">
        <v>159</v>
      </c>
      <c r="G89" s="1"/>
      <c r="H89" s="8"/>
      <c r="I89" s="1" t="s">
        <v>70</v>
      </c>
      <c r="J89" s="1" t="s">
        <v>125</v>
      </c>
      <c r="K89" s="1" t="s">
        <v>127</v>
      </c>
      <c r="L89" s="1"/>
      <c r="M89" s="1"/>
      <c r="N89" s="18">
        <f>IF(ISNUMBER(SEARCH("ANALOG",Table24[[#This Row],[Type]]))=TRUE,1,"")</f>
        <v>1</v>
      </c>
      <c r="O89" s="18" t="str">
        <f>IF(ISNUMBER(SEARCH("BINARY",Table24[[#This Row],[Type]]))=TRUE,1,"")</f>
        <v/>
      </c>
      <c r="P89" s="7" t="e">
        <f>IF(Table24[[#This Row],[Type]]="","",LEFT(Table24[[#This Row],[Type]],1)&amp;LEFT(#REF!,1))</f>
        <v>#REF!</v>
      </c>
      <c r="Q89" s="18" t="e">
        <f>IF(Table24[[#This Row],[Type]]="","",LEFT(Table24[[#This Row],[Type]],1)&amp;LEFT(#REF!,1))</f>
        <v>#REF!</v>
      </c>
      <c r="R89" s="18"/>
      <c r="S89" s="7" t="e">
        <f>IF(Table24[[#This Row],[A Counter]]=1,"AI"&amp;#REF!+SUM($N$35:N89),IF(Table24[[#This Row],[B Counter]]=1,"BI"&amp;#REF!+SUM($O$35:O89),""))</f>
        <v>#REF!</v>
      </c>
      <c r="T89" s="18" t="s">
        <v>34</v>
      </c>
      <c r="U89" s="7"/>
    </row>
    <row r="90" spans="1:21" x14ac:dyDescent="0.25">
      <c r="A90">
        <f t="shared" si="5"/>
        <v>81</v>
      </c>
      <c r="B90" s="93" t="str">
        <f>IFERROR(RIGHT(Table24[[#This Row],[Controller Input '#]],3)*1,"")</f>
        <v/>
      </c>
      <c r="C90" s="99"/>
      <c r="D90" s="1"/>
      <c r="E90" s="1" t="s">
        <v>160</v>
      </c>
      <c r="F90" s="1" t="s">
        <v>161</v>
      </c>
      <c r="G90" s="1"/>
      <c r="H90" s="8"/>
      <c r="I90" s="1" t="s">
        <v>70</v>
      </c>
      <c r="J90" s="1" t="s">
        <v>125</v>
      </c>
      <c r="K90" s="1" t="s">
        <v>119</v>
      </c>
      <c r="L90" s="1"/>
      <c r="M90" s="1"/>
      <c r="N90" s="18">
        <f>IF(ISNUMBER(SEARCH("ANALOG",Table24[[#This Row],[Type]]))=TRUE,1,"")</f>
        <v>1</v>
      </c>
      <c r="O90" s="18" t="str">
        <f>IF(ISNUMBER(SEARCH("BINARY",Table24[[#This Row],[Type]]))=TRUE,1,"")</f>
        <v/>
      </c>
      <c r="P90" s="7" t="e">
        <f>IF(Table24[[#This Row],[Type]]="","",LEFT(Table24[[#This Row],[Type]],1)&amp;LEFT(#REF!,1))</f>
        <v>#REF!</v>
      </c>
      <c r="Q90" s="18" t="e">
        <f>IF(Table24[[#This Row],[Type]]="","",LEFT(Table24[[#This Row],[Type]],1)&amp;LEFT(#REF!,1))</f>
        <v>#REF!</v>
      </c>
      <c r="R90" s="18"/>
      <c r="S90" s="7" t="e">
        <f>IF(Table24[[#This Row],[A Counter]]=1,"AI"&amp;#REF!+SUM($N$35:N90),IF(Table24[[#This Row],[B Counter]]=1,"BI"&amp;#REF!+SUM($O$35:O90),""))</f>
        <v>#REF!</v>
      </c>
      <c r="T90" s="18" t="s">
        <v>34</v>
      </c>
      <c r="U90" s="68"/>
    </row>
    <row r="91" spans="1:21" x14ac:dyDescent="0.25">
      <c r="A91">
        <f t="shared" si="5"/>
        <v>82</v>
      </c>
      <c r="B91" s="93" t="str">
        <f>IFERROR(RIGHT(Table24[[#This Row],[Controller Input '#]],3)*1,"")</f>
        <v/>
      </c>
      <c r="C91" s="99"/>
      <c r="D91" s="1"/>
      <c r="E91" s="1"/>
      <c r="F91" s="1"/>
      <c r="G91" s="1"/>
      <c r="H91" s="8"/>
      <c r="I91" s="1"/>
      <c r="J91" s="1"/>
      <c r="K91" s="1"/>
      <c r="L91" s="1"/>
      <c r="M91" s="1"/>
      <c r="N91" s="1"/>
      <c r="O91" s="1"/>
      <c r="Q91" s="1"/>
      <c r="R91" s="1"/>
      <c r="S91" s="7"/>
      <c r="T91" s="1"/>
      <c r="U91" s="68"/>
    </row>
    <row r="92" spans="1:21" x14ac:dyDescent="0.25">
      <c r="A92">
        <f t="shared" si="5"/>
        <v>83</v>
      </c>
      <c r="B92" s="93" t="str">
        <f>IFERROR(RIGHT(Table24[[#This Row],[Controller Input '#]],3)*1,"")</f>
        <v/>
      </c>
      <c r="C92" s="99"/>
      <c r="D92" s="1"/>
      <c r="E92" s="1" t="s">
        <v>164</v>
      </c>
      <c r="F92" s="1" t="s">
        <v>165</v>
      </c>
      <c r="G92" s="1"/>
      <c r="H92" s="8"/>
      <c r="I92" s="1" t="s">
        <v>103</v>
      </c>
      <c r="J92" s="1" t="s">
        <v>125</v>
      </c>
      <c r="K92" s="1" t="s">
        <v>112</v>
      </c>
      <c r="L92" s="1"/>
      <c r="M92" s="1" t="s">
        <v>142</v>
      </c>
      <c r="N92" s="18" t="str">
        <f>IF(ISNUMBER(SEARCH("ANALOG",Table24[[#This Row],[Type]]))=TRUE,1,"")</f>
        <v/>
      </c>
      <c r="O92" s="18">
        <f>IF(ISNUMBER(SEARCH("BINARY",Table24[[#This Row],[Type]]))=TRUE,1,"")</f>
        <v>1</v>
      </c>
      <c r="P92" s="7" t="e">
        <f>IF(Table24[[#This Row],[Type]]="","",LEFT(Table24[[#This Row],[Type]],1)&amp;LEFT(#REF!,1))</f>
        <v>#REF!</v>
      </c>
      <c r="Q92" s="18" t="e">
        <f>IF(Table24[[#This Row],[Type]]="","",LEFT(Table24[[#This Row],[Type]],1)&amp;LEFT(#REF!,1))</f>
        <v>#REF!</v>
      </c>
      <c r="R92" s="18"/>
      <c r="S92" s="7" t="e">
        <f>IF(Table24[[#This Row],[A Counter]]=1,"AI"&amp;#REF!+SUM($N$35:N92),IF(Table24[[#This Row],[B Counter]]=1,"BI"&amp;#REF!+SUM($O$35:O92),""))</f>
        <v>#REF!</v>
      </c>
      <c r="T92" s="18" t="s">
        <v>34</v>
      </c>
      <c r="U92" s="68"/>
    </row>
    <row r="93" spans="1:21" x14ac:dyDescent="0.25">
      <c r="A93">
        <f t="shared" si="5"/>
        <v>84</v>
      </c>
      <c r="B93" s="93" t="str">
        <f>IFERROR(RIGHT(Table24[[#This Row],[Controller Input '#]],3)*1,"")</f>
        <v/>
      </c>
      <c r="C93" s="98"/>
      <c r="D93" s="1"/>
      <c r="E93" s="1" t="s">
        <v>166</v>
      </c>
      <c r="F93" s="1" t="s">
        <v>167</v>
      </c>
      <c r="G93" s="1"/>
      <c r="H93" s="8"/>
      <c r="I93" s="1" t="s">
        <v>70</v>
      </c>
      <c r="J93" s="1" t="s">
        <v>125</v>
      </c>
      <c r="K93" s="1" t="s">
        <v>80</v>
      </c>
      <c r="L93" s="1"/>
      <c r="M93" s="1"/>
      <c r="N93" s="18">
        <f>IF(ISNUMBER(SEARCH("ANALOG",Table24[[#This Row],[Type]]))=TRUE,1,"")</f>
        <v>1</v>
      </c>
      <c r="O93" s="18" t="str">
        <f>IF(ISNUMBER(SEARCH("BINARY",Table24[[#This Row],[Type]]))=TRUE,1,"")</f>
        <v/>
      </c>
      <c r="P93" s="7" t="e">
        <f>IF(Table24[[#This Row],[Type]]="","",LEFT(Table24[[#This Row],[Type]],1)&amp;LEFT(#REF!,1))</f>
        <v>#REF!</v>
      </c>
      <c r="Q93" s="18" t="e">
        <f>IF(Table24[[#This Row],[Type]]="","",LEFT(Table24[[#This Row],[Type]],1)&amp;LEFT(#REF!,1))</f>
        <v>#REF!</v>
      </c>
      <c r="R93" s="18"/>
      <c r="S93" s="7" t="e">
        <f>IF(Table24[[#This Row],[A Counter]]=1,"AI"&amp;#REF!+SUM($N$35:N93),IF(Table24[[#This Row],[B Counter]]=1,"BI"&amp;#REF!+SUM($O$35:O93),""))</f>
        <v>#REF!</v>
      </c>
      <c r="T93" s="18" t="s">
        <v>34</v>
      </c>
      <c r="U93" s="69"/>
    </row>
    <row r="94" spans="1:21" x14ac:dyDescent="0.25">
      <c r="A94">
        <f t="shared" si="5"/>
        <v>85</v>
      </c>
      <c r="B94" s="93" t="str">
        <f>IFERROR(RIGHT(Table24[[#This Row],[Controller Input '#]],3)*1,"")</f>
        <v/>
      </c>
      <c r="C94" s="99"/>
      <c r="D94" s="1"/>
      <c r="E94" s="1" t="s">
        <v>168</v>
      </c>
      <c r="F94" s="1" t="s">
        <v>169</v>
      </c>
      <c r="G94" s="1"/>
      <c r="H94" s="8"/>
      <c r="I94" s="1" t="s">
        <v>70</v>
      </c>
      <c r="J94" s="1" t="s">
        <v>125</v>
      </c>
      <c r="K94" s="1" t="s">
        <v>127</v>
      </c>
      <c r="L94" s="1"/>
      <c r="M94" s="1"/>
      <c r="N94" s="18">
        <f>IF(ISNUMBER(SEARCH("ANALOG",Table24[[#This Row],[Type]]))=TRUE,1,"")</f>
        <v>1</v>
      </c>
      <c r="O94" s="18" t="str">
        <f>IF(ISNUMBER(SEARCH("BINARY",Table24[[#This Row],[Type]]))=TRUE,1,"")</f>
        <v/>
      </c>
      <c r="P94" s="7" t="e">
        <f>IF(Table24[[#This Row],[Type]]="","",LEFT(Table24[[#This Row],[Type]],1)&amp;LEFT(#REF!,1))</f>
        <v>#REF!</v>
      </c>
      <c r="Q94" s="18" t="e">
        <f>IF(Table24[[#This Row],[Type]]="","",LEFT(Table24[[#This Row],[Type]],1)&amp;LEFT(#REF!,1))</f>
        <v>#REF!</v>
      </c>
      <c r="R94" s="18"/>
      <c r="S94" s="7" t="e">
        <f>IF(Table24[[#This Row],[A Counter]]=1,"AI"&amp;#REF!+SUM($N$35:N94),IF(Table24[[#This Row],[B Counter]]=1,"BI"&amp;#REF!+SUM($O$35:O94),""))</f>
        <v>#REF!</v>
      </c>
      <c r="T94" s="18" t="s">
        <v>34</v>
      </c>
      <c r="U94" s="68"/>
    </row>
    <row r="95" spans="1:21" x14ac:dyDescent="0.25">
      <c r="A95">
        <f t="shared" si="5"/>
        <v>86</v>
      </c>
      <c r="B95" s="93" t="str">
        <f>IFERROR(RIGHT(Table24[[#This Row],[Controller Input '#]],3)*1,"")</f>
        <v/>
      </c>
      <c r="C95" s="99"/>
      <c r="D95" s="1"/>
      <c r="E95" s="1" t="s">
        <v>170</v>
      </c>
      <c r="F95" s="1" t="s">
        <v>171</v>
      </c>
      <c r="G95" s="1"/>
      <c r="H95" s="8"/>
      <c r="I95" s="1" t="s">
        <v>70</v>
      </c>
      <c r="J95" s="1" t="s">
        <v>125</v>
      </c>
      <c r="K95" s="1" t="s">
        <v>119</v>
      </c>
      <c r="L95" s="1"/>
      <c r="M95" s="1"/>
      <c r="N95" s="18">
        <f>IF(ISNUMBER(SEARCH("ANALOG",Table24[[#This Row],[Type]]))=TRUE,1,"")</f>
        <v>1</v>
      </c>
      <c r="O95" s="18" t="str">
        <f>IF(ISNUMBER(SEARCH("BINARY",Table24[[#This Row],[Type]]))=TRUE,1,"")</f>
        <v/>
      </c>
      <c r="P95" s="7" t="e">
        <f>IF(Table24[[#This Row],[Type]]="","",LEFT(Table24[[#This Row],[Type]],1)&amp;LEFT(#REF!,1))</f>
        <v>#REF!</v>
      </c>
      <c r="Q95" s="18" t="e">
        <f>IF(Table24[[#This Row],[Type]]="","",LEFT(Table24[[#This Row],[Type]],1)&amp;LEFT(#REF!,1))</f>
        <v>#REF!</v>
      </c>
      <c r="R95" s="18"/>
      <c r="S95" s="7" t="e">
        <f>IF(Table24[[#This Row],[A Counter]]=1,"AI"&amp;#REF!+SUM($N$35:N95),IF(Table24[[#This Row],[B Counter]]=1,"BI"&amp;#REF!+SUM($O$35:O95),""))</f>
        <v>#REF!</v>
      </c>
      <c r="T95" s="18" t="s">
        <v>34</v>
      </c>
      <c r="U95" s="68"/>
    </row>
    <row r="96" spans="1:21" x14ac:dyDescent="0.25">
      <c r="A96">
        <f t="shared" si="5"/>
        <v>87</v>
      </c>
      <c r="B96" s="93" t="str">
        <f>IFERROR(RIGHT(Table24[[#This Row],[Controller Input '#]],3)*1,"")</f>
        <v/>
      </c>
      <c r="C96" s="99"/>
      <c r="D96" s="1"/>
      <c r="E96" s="1" t="s">
        <v>172</v>
      </c>
      <c r="F96" s="1" t="s">
        <v>173</v>
      </c>
      <c r="G96" s="1"/>
      <c r="H96" s="8"/>
      <c r="I96" s="1" t="s">
        <v>70</v>
      </c>
      <c r="J96" s="1" t="s">
        <v>125</v>
      </c>
      <c r="K96" s="1" t="s">
        <v>80</v>
      </c>
      <c r="L96" s="1" t="s">
        <v>81</v>
      </c>
      <c r="M96" s="1"/>
      <c r="N96" s="18">
        <f>IF(ISNUMBER(SEARCH("ANALOG",Table24[[#This Row],[Type]]))=TRUE,1,"")</f>
        <v>1</v>
      </c>
      <c r="O96" s="18" t="str">
        <f>IF(ISNUMBER(SEARCH("BINARY",Table24[[#This Row],[Type]]))=TRUE,1,"")</f>
        <v/>
      </c>
      <c r="P96" s="7" t="e">
        <f>IF(Table24[[#This Row],[Type]]="","",LEFT(Table24[[#This Row],[Type]],1)&amp;LEFT(#REF!,1))</f>
        <v>#REF!</v>
      </c>
      <c r="Q96" s="18" t="e">
        <f>IF(Table24[[#This Row],[Type]]="","",LEFT(Table24[[#This Row],[Type]],1)&amp;LEFT(#REF!,1))</f>
        <v>#REF!</v>
      </c>
      <c r="R96" s="18"/>
      <c r="S96" s="7" t="e">
        <f>IF(Table24[[#This Row],[A Counter]]=1,"AI"&amp;#REF!+SUM($N$35:N96),IF(Table24[[#This Row],[B Counter]]=1,"BI"&amp;#REF!+SUM($O$35:O96),""))</f>
        <v>#REF!</v>
      </c>
      <c r="T96" s="18" t="s">
        <v>34</v>
      </c>
      <c r="U96" s="68"/>
    </row>
    <row r="97" spans="1:21" x14ac:dyDescent="0.25">
      <c r="A97">
        <f t="shared" si="5"/>
        <v>88</v>
      </c>
      <c r="B97" s="93" t="str">
        <f>IFERROR(RIGHT(Table24[[#This Row],[Controller Input '#]],3)*1,"")</f>
        <v/>
      </c>
      <c r="C97" s="99"/>
      <c r="D97" s="1"/>
      <c r="E97" s="1" t="s">
        <v>174</v>
      </c>
      <c r="F97" s="1" t="s">
        <v>175</v>
      </c>
      <c r="G97" s="1"/>
      <c r="H97" s="8"/>
      <c r="I97" s="1" t="s">
        <v>103</v>
      </c>
      <c r="J97" s="1" t="s">
        <v>125</v>
      </c>
      <c r="K97" s="1" t="s">
        <v>112</v>
      </c>
      <c r="L97" s="1"/>
      <c r="M97" s="1"/>
      <c r="N97" s="18" t="str">
        <f>IF(ISNUMBER(SEARCH("ANALOG",Table24[[#This Row],[Type]]))=TRUE,1,"")</f>
        <v/>
      </c>
      <c r="O97" s="18">
        <f>IF(ISNUMBER(SEARCH("BINARY",Table24[[#This Row],[Type]]))=TRUE,1,"")</f>
        <v>1</v>
      </c>
      <c r="P97" s="7" t="e">
        <f>IF(Table24[[#This Row],[Type]]="","",LEFT(Table24[[#This Row],[Type]],1)&amp;LEFT(#REF!,1))</f>
        <v>#REF!</v>
      </c>
      <c r="Q97" s="18" t="e">
        <f>IF(Table24[[#This Row],[Type]]="","",LEFT(Table24[[#This Row],[Type]],1)&amp;LEFT(#REF!,1))</f>
        <v>#REF!</v>
      </c>
      <c r="R97" s="18"/>
      <c r="S97" s="7" t="e">
        <f>IF(Table24[[#This Row],[A Counter]]=1,"AI"&amp;#REF!+SUM($N$35:N97),IF(Table24[[#This Row],[B Counter]]=1,"BI"&amp;#REF!+SUM($O$35:O97),""))</f>
        <v>#REF!</v>
      </c>
      <c r="T97" s="18" t="s">
        <v>34</v>
      </c>
      <c r="U97" s="68"/>
    </row>
    <row r="98" spans="1:21" x14ac:dyDescent="0.25">
      <c r="A98">
        <f t="shared" si="5"/>
        <v>89</v>
      </c>
      <c r="B98" s="93" t="str">
        <f>IFERROR(RIGHT(Table24[[#This Row],[Controller Input '#]],3)*1,"")</f>
        <v/>
      </c>
      <c r="C98" s="98"/>
      <c r="D98" s="1"/>
      <c r="E98" s="1" t="s">
        <v>176</v>
      </c>
      <c r="F98" s="1" t="s">
        <v>177</v>
      </c>
      <c r="G98" s="1"/>
      <c r="H98" s="8"/>
      <c r="I98" s="1" t="s">
        <v>70</v>
      </c>
      <c r="J98" s="1" t="s">
        <v>125</v>
      </c>
      <c r="K98" s="1" t="s">
        <v>80</v>
      </c>
      <c r="L98" s="1" t="s">
        <v>81</v>
      </c>
      <c r="M98" s="11"/>
      <c r="N98" s="18">
        <f>IF(ISNUMBER(SEARCH("ANALOG",Table24[[#This Row],[Type]]))=TRUE,1,"")</f>
        <v>1</v>
      </c>
      <c r="O98" s="18" t="str">
        <f>IF(ISNUMBER(SEARCH("BINARY",Table24[[#This Row],[Type]]))=TRUE,1,"")</f>
        <v/>
      </c>
      <c r="P98" s="7" t="e">
        <f>IF(Table24[[#This Row],[Type]]="","",LEFT(Table24[[#This Row],[Type]],1)&amp;LEFT(#REF!,1))</f>
        <v>#REF!</v>
      </c>
      <c r="Q98" s="18" t="e">
        <f>IF(Table24[[#This Row],[Type]]="","",LEFT(Table24[[#This Row],[Type]],1)&amp;LEFT(#REF!,1))</f>
        <v>#REF!</v>
      </c>
      <c r="R98" s="18"/>
      <c r="S98" s="7" t="e">
        <f>IF(Table24[[#This Row],[A Counter]]=1,"AI"&amp;#REF!+SUM($N$35:N98),IF(Table24[[#This Row],[B Counter]]=1,"BI"&amp;#REF!+SUM($O$35:O98),""))</f>
        <v>#REF!</v>
      </c>
      <c r="T98" s="1"/>
      <c r="U98" s="69"/>
    </row>
    <row r="99" spans="1:21" x14ac:dyDescent="0.25">
      <c r="A99">
        <f t="shared" si="5"/>
        <v>90</v>
      </c>
      <c r="B99" s="93" t="str">
        <f>IFERROR(RIGHT(Table24[[#This Row],[Controller Input '#]],3)*1,"")</f>
        <v/>
      </c>
      <c r="C99" s="99"/>
      <c r="D99" s="1"/>
      <c r="E99" s="1" t="s">
        <v>178</v>
      </c>
      <c r="F99" s="1" t="s">
        <v>179</v>
      </c>
      <c r="G99" s="1"/>
      <c r="H99" s="8"/>
      <c r="I99" s="1" t="s">
        <v>103</v>
      </c>
      <c r="J99" s="1" t="s">
        <v>125</v>
      </c>
      <c r="K99" s="1" t="s">
        <v>112</v>
      </c>
      <c r="L99" s="1"/>
      <c r="M99" s="11"/>
      <c r="N99" s="18" t="str">
        <f>IF(ISNUMBER(SEARCH("ANALOG",Table24[[#This Row],[Type]]))=TRUE,1,"")</f>
        <v/>
      </c>
      <c r="O99" s="18">
        <f>IF(ISNUMBER(SEARCH("BINARY",Table24[[#This Row],[Type]]))=TRUE,1,"")</f>
        <v>1</v>
      </c>
      <c r="P99" s="7" t="e">
        <f>IF(Table24[[#This Row],[Type]]="","",LEFT(Table24[[#This Row],[Type]],1)&amp;LEFT(#REF!,1))</f>
        <v>#REF!</v>
      </c>
      <c r="Q99" s="18" t="e">
        <f>IF(Table24[[#This Row],[Type]]="","",LEFT(Table24[[#This Row],[Type]],1)&amp;LEFT(#REF!,1))</f>
        <v>#REF!</v>
      </c>
      <c r="R99" s="18"/>
      <c r="S99" s="7" t="e">
        <f>IF(Table24[[#This Row],[A Counter]]=1,"AI"&amp;#REF!+SUM($N$35:N99),IF(Table24[[#This Row],[B Counter]]=1,"BI"&amp;#REF!+SUM($O$35:O99),""))</f>
        <v>#REF!</v>
      </c>
      <c r="T99" s="1"/>
      <c r="U99" s="68"/>
    </row>
    <row r="100" spans="1:21" x14ac:dyDescent="0.25">
      <c r="A100">
        <f t="shared" si="5"/>
        <v>91</v>
      </c>
      <c r="B100" s="93" t="str">
        <f>IFERROR(RIGHT(Table24[[#This Row],[Controller Input '#]],3)*1,"")</f>
        <v/>
      </c>
      <c r="C100" s="99"/>
      <c r="D100" s="1"/>
      <c r="E100" s="1" t="s">
        <v>180</v>
      </c>
      <c r="F100" s="1" t="s">
        <v>181</v>
      </c>
      <c r="G100" s="1"/>
      <c r="H100" s="8"/>
      <c r="I100" s="1" t="s">
        <v>70</v>
      </c>
      <c r="J100" s="1" t="s">
        <v>125</v>
      </c>
      <c r="K100" s="1" t="s">
        <v>80</v>
      </c>
      <c r="L100" s="1" t="s">
        <v>81</v>
      </c>
      <c r="M100" s="11"/>
      <c r="N100" s="18">
        <f>IF(ISNUMBER(SEARCH("ANALOG",Table24[[#This Row],[Type]]))=TRUE,1,"")</f>
        <v>1</v>
      </c>
      <c r="O100" s="18" t="str">
        <f>IF(ISNUMBER(SEARCH("BINARY",Table24[[#This Row],[Type]]))=TRUE,1,"")</f>
        <v/>
      </c>
      <c r="P100" s="7" t="e">
        <f>IF(Table24[[#This Row],[Type]]="","",LEFT(Table24[[#This Row],[Type]],1)&amp;LEFT(#REF!,1))</f>
        <v>#REF!</v>
      </c>
      <c r="Q100" s="18" t="e">
        <f>IF(Table24[[#This Row],[Type]]="","",LEFT(Table24[[#This Row],[Type]],1)&amp;LEFT(#REF!,1))</f>
        <v>#REF!</v>
      </c>
      <c r="R100" s="18"/>
      <c r="S100" s="7" t="e">
        <f>IF(Table24[[#This Row],[A Counter]]=1,"AI"&amp;#REF!+SUM($N$35:N100),IF(Table24[[#This Row],[B Counter]]=1,"BI"&amp;#REF!+SUM($O$35:O100),""))</f>
        <v>#REF!</v>
      </c>
      <c r="T100" s="1"/>
      <c r="U100" s="68"/>
    </row>
    <row r="101" spans="1:21" x14ac:dyDescent="0.25">
      <c r="A101">
        <f t="shared" si="5"/>
        <v>92</v>
      </c>
      <c r="B101" s="93" t="str">
        <f>IFERROR(RIGHT(Table24[[#This Row],[Controller Input '#]],3)*1,"")</f>
        <v/>
      </c>
      <c r="C101" s="99"/>
      <c r="D101" s="1"/>
      <c r="E101" s="1" t="s">
        <v>182</v>
      </c>
      <c r="F101" s="1" t="s">
        <v>183</v>
      </c>
      <c r="G101" s="1"/>
      <c r="H101" s="8"/>
      <c r="I101" s="1" t="s">
        <v>103</v>
      </c>
      <c r="J101" s="1" t="s">
        <v>125</v>
      </c>
      <c r="K101" s="1" t="s">
        <v>112</v>
      </c>
      <c r="L101" s="1"/>
      <c r="M101" s="11"/>
      <c r="N101" s="18" t="str">
        <f>IF(ISNUMBER(SEARCH("ANALOG",Table24[[#This Row],[Type]]))=TRUE,1,"")</f>
        <v/>
      </c>
      <c r="O101" s="18">
        <f>IF(ISNUMBER(SEARCH("BINARY",Table24[[#This Row],[Type]]))=TRUE,1,"")</f>
        <v>1</v>
      </c>
      <c r="P101" s="7" t="e">
        <f>IF(Table24[[#This Row],[Type]]="","",LEFT(Table24[[#This Row],[Type]],1)&amp;LEFT(#REF!,1))</f>
        <v>#REF!</v>
      </c>
      <c r="Q101" s="18" t="e">
        <f>IF(Table24[[#This Row],[Type]]="","",LEFT(Table24[[#This Row],[Type]],1)&amp;LEFT(#REF!,1))</f>
        <v>#REF!</v>
      </c>
      <c r="R101" s="18"/>
      <c r="S101" s="7" t="e">
        <f>IF(Table24[[#This Row],[A Counter]]=1,"AI"&amp;#REF!+SUM($N$35:N101),IF(Table24[[#This Row],[B Counter]]=1,"BI"&amp;#REF!+SUM($O$35:O101),""))</f>
        <v>#REF!</v>
      </c>
      <c r="T101" s="1"/>
      <c r="U101" s="68"/>
    </row>
    <row r="102" spans="1:21" x14ac:dyDescent="0.25">
      <c r="A102">
        <f t="shared" si="5"/>
        <v>93</v>
      </c>
      <c r="B102" s="93" t="str">
        <f>IFERROR(RIGHT(Table24[[#This Row],[Controller Input '#]],3)*1,"")</f>
        <v/>
      </c>
      <c r="C102" s="99"/>
      <c r="D102" s="1"/>
      <c r="E102" s="1" t="s">
        <v>184</v>
      </c>
      <c r="F102" s="1" t="s">
        <v>185</v>
      </c>
      <c r="G102" s="1"/>
      <c r="H102" s="8"/>
      <c r="I102" s="1" t="s">
        <v>70</v>
      </c>
      <c r="J102" s="1" t="s">
        <v>125</v>
      </c>
      <c r="K102" s="1" t="s">
        <v>80</v>
      </c>
      <c r="L102" s="1" t="s">
        <v>81</v>
      </c>
      <c r="M102" s="11"/>
      <c r="N102" s="18">
        <f>IF(ISNUMBER(SEARCH("ANALOG",Table24[[#This Row],[Type]]))=TRUE,1,"")</f>
        <v>1</v>
      </c>
      <c r="O102" s="18" t="str">
        <f>IF(ISNUMBER(SEARCH("BINARY",Table24[[#This Row],[Type]]))=TRUE,1,"")</f>
        <v/>
      </c>
      <c r="P102" s="7" t="e">
        <f>IF(Table24[[#This Row],[Type]]="","",LEFT(Table24[[#This Row],[Type]],1)&amp;LEFT(#REF!,1))</f>
        <v>#REF!</v>
      </c>
      <c r="Q102" s="18" t="e">
        <f>IF(Table24[[#This Row],[Type]]="","",LEFT(Table24[[#This Row],[Type]],1)&amp;LEFT(#REF!,1))</f>
        <v>#REF!</v>
      </c>
      <c r="R102" s="18"/>
      <c r="S102" s="7" t="e">
        <f>IF(Table24[[#This Row],[A Counter]]=1,"AI"&amp;#REF!+SUM($N$35:N102),IF(Table24[[#This Row],[B Counter]]=1,"BI"&amp;#REF!+SUM($O$35:O102),""))</f>
        <v>#REF!</v>
      </c>
      <c r="T102" s="1"/>
      <c r="U102" s="68"/>
    </row>
    <row r="103" spans="1:21" x14ac:dyDescent="0.25">
      <c r="A103">
        <f t="shared" si="5"/>
        <v>94</v>
      </c>
      <c r="B103" s="93" t="str">
        <f>IFERROR(RIGHT(Table24[[#This Row],[Controller Input '#]],3)*1,"")</f>
        <v/>
      </c>
      <c r="C103" s="98"/>
      <c r="D103" s="1"/>
      <c r="E103" s="1" t="s">
        <v>186</v>
      </c>
      <c r="F103" s="1" t="s">
        <v>187</v>
      </c>
      <c r="G103" s="1"/>
      <c r="H103" s="8"/>
      <c r="I103" s="1" t="s">
        <v>103</v>
      </c>
      <c r="J103" s="1" t="s">
        <v>125</v>
      </c>
      <c r="K103" s="1" t="s">
        <v>112</v>
      </c>
      <c r="L103" s="1"/>
      <c r="M103" s="11"/>
      <c r="N103" s="18" t="str">
        <f>IF(ISNUMBER(SEARCH("ANALOG",Table24[[#This Row],[Type]]))=TRUE,1,"")</f>
        <v/>
      </c>
      <c r="O103" s="18">
        <f>IF(ISNUMBER(SEARCH("BINARY",Table24[[#This Row],[Type]]))=TRUE,1,"")</f>
        <v>1</v>
      </c>
      <c r="P103" s="7" t="e">
        <f>IF(Table24[[#This Row],[Type]]="","",LEFT(Table24[[#This Row],[Type]],1)&amp;LEFT(#REF!,1))</f>
        <v>#REF!</v>
      </c>
      <c r="Q103" s="18" t="e">
        <f>IF(Table24[[#This Row],[Type]]="","",LEFT(Table24[[#This Row],[Type]],1)&amp;LEFT(#REF!,1))</f>
        <v>#REF!</v>
      </c>
      <c r="R103" s="18"/>
      <c r="S103" s="7" t="e">
        <f>IF(Table24[[#This Row],[A Counter]]=1,"AI"&amp;#REF!+SUM($N$35:N103),IF(Table24[[#This Row],[B Counter]]=1,"BI"&amp;#REF!+SUM($O$35:O103),""))</f>
        <v>#REF!</v>
      </c>
      <c r="T103" s="1"/>
      <c r="U103" s="69"/>
    </row>
    <row r="104" spans="1:21" x14ac:dyDescent="0.25">
      <c r="A104">
        <f t="shared" si="5"/>
        <v>95</v>
      </c>
      <c r="B104" s="93" t="str">
        <f>IFERROR(RIGHT(Table24[[#This Row],[Controller Input '#]],3)*1,"")</f>
        <v/>
      </c>
      <c r="C104" s="99"/>
      <c r="D104" s="1"/>
      <c r="E104" s="1" t="s">
        <v>188</v>
      </c>
      <c r="F104" s="1" t="s">
        <v>189</v>
      </c>
      <c r="G104" s="1"/>
      <c r="H104" s="8"/>
      <c r="I104" s="1" t="s">
        <v>70</v>
      </c>
      <c r="J104" s="1" t="s">
        <v>125</v>
      </c>
      <c r="K104" s="1" t="s">
        <v>80</v>
      </c>
      <c r="L104" s="1" t="s">
        <v>81</v>
      </c>
      <c r="M104" s="1"/>
      <c r="N104" s="18">
        <f>IF(ISNUMBER(SEARCH("ANALOG",Table24[[#This Row],[Type]]))=TRUE,1,"")</f>
        <v>1</v>
      </c>
      <c r="O104" s="18" t="str">
        <f>IF(ISNUMBER(SEARCH("BINARY",Table24[[#This Row],[Type]]))=TRUE,1,"")</f>
        <v/>
      </c>
      <c r="P104" s="7" t="e">
        <f>IF(Table24[[#This Row],[Type]]="","",LEFT(Table24[[#This Row],[Type]],1)&amp;LEFT(#REF!,1))</f>
        <v>#REF!</v>
      </c>
      <c r="Q104" s="18" t="e">
        <f>IF(Table24[[#This Row],[Type]]="","",LEFT(Table24[[#This Row],[Type]],1)&amp;LEFT(#REF!,1))</f>
        <v>#REF!</v>
      </c>
      <c r="R104" s="18"/>
      <c r="S104" s="7" t="e">
        <f>IF(Table24[[#This Row],[A Counter]]=1,"AI"&amp;#REF!+SUM($N$35:N104),IF(Table24[[#This Row],[B Counter]]=1,"BI"&amp;#REF!+SUM($O$35:O104),""))</f>
        <v>#REF!</v>
      </c>
      <c r="T104" s="1"/>
      <c r="U104" s="68"/>
    </row>
    <row r="105" spans="1:21" x14ac:dyDescent="0.25">
      <c r="A105">
        <f t="shared" si="5"/>
        <v>96</v>
      </c>
      <c r="B105" s="93" t="str">
        <f>IFERROR(RIGHT(Table24[[#This Row],[Controller Input '#]],3)*1,"")</f>
        <v/>
      </c>
      <c r="C105" s="99"/>
      <c r="D105" s="1"/>
      <c r="E105" s="1" t="s">
        <v>190</v>
      </c>
      <c r="F105" s="1" t="s">
        <v>191</v>
      </c>
      <c r="G105" s="1"/>
      <c r="H105" s="8"/>
      <c r="I105" s="1" t="s">
        <v>103</v>
      </c>
      <c r="J105" s="1" t="s">
        <v>125</v>
      </c>
      <c r="K105" s="1" t="s">
        <v>112</v>
      </c>
      <c r="L105" s="1"/>
      <c r="M105" s="1"/>
      <c r="N105" s="18" t="str">
        <f>IF(ISNUMBER(SEARCH("ANALOG",Table24[[#This Row],[Type]]))=TRUE,1,"")</f>
        <v/>
      </c>
      <c r="O105" s="18">
        <f>IF(ISNUMBER(SEARCH("BINARY",Table24[[#This Row],[Type]]))=TRUE,1,"")</f>
        <v>1</v>
      </c>
      <c r="P105" s="7" t="e">
        <f>IF(Table24[[#This Row],[Type]]="","",LEFT(Table24[[#This Row],[Type]],1)&amp;LEFT(#REF!,1))</f>
        <v>#REF!</v>
      </c>
      <c r="Q105" s="18" t="e">
        <f>IF(Table24[[#This Row],[Type]]="","",LEFT(Table24[[#This Row],[Type]],1)&amp;LEFT(#REF!,1))</f>
        <v>#REF!</v>
      </c>
      <c r="R105" s="18"/>
      <c r="S105" s="7" t="e">
        <f>IF(Table24[[#This Row],[A Counter]]=1,"AI"&amp;#REF!+SUM($N$35:N105),IF(Table24[[#This Row],[B Counter]]=1,"BI"&amp;#REF!+SUM($O$35:O105),""))</f>
        <v>#REF!</v>
      </c>
      <c r="T105" s="1"/>
      <c r="U105" s="7"/>
    </row>
    <row r="106" spans="1:21" x14ac:dyDescent="0.25">
      <c r="A106">
        <f t="shared" si="5"/>
        <v>97</v>
      </c>
      <c r="B106" s="93" t="str">
        <f>IFERROR(RIGHT(Table24[[#This Row],[Controller Input '#]],3)*1,"")</f>
        <v/>
      </c>
      <c r="C106" s="99"/>
      <c r="D106" s="1"/>
      <c r="E106" s="1" t="s">
        <v>192</v>
      </c>
      <c r="F106" s="1" t="s">
        <v>193</v>
      </c>
      <c r="G106" s="1"/>
      <c r="H106" s="8"/>
      <c r="I106" s="1" t="s">
        <v>70</v>
      </c>
      <c r="J106" s="1" t="s">
        <v>125</v>
      </c>
      <c r="K106" s="1" t="s">
        <v>80</v>
      </c>
      <c r="L106" s="1" t="s">
        <v>81</v>
      </c>
      <c r="M106" s="1"/>
      <c r="N106" s="18">
        <f>IF(ISNUMBER(SEARCH("ANALOG",Table24[[#This Row],[Type]]))=TRUE,1,"")</f>
        <v>1</v>
      </c>
      <c r="O106" s="18" t="str">
        <f>IF(ISNUMBER(SEARCH("BINARY",Table24[[#This Row],[Type]]))=TRUE,1,"")</f>
        <v/>
      </c>
      <c r="P106" s="7" t="e">
        <f>IF(Table24[[#This Row],[Type]]="","",LEFT(Table24[[#This Row],[Type]],1)&amp;LEFT(#REF!,1))</f>
        <v>#REF!</v>
      </c>
      <c r="Q106" s="18" t="e">
        <f>IF(Table24[[#This Row],[Type]]="","",LEFT(Table24[[#This Row],[Type]],1)&amp;LEFT(#REF!,1))</f>
        <v>#REF!</v>
      </c>
      <c r="R106" s="18"/>
      <c r="S106" s="7" t="e">
        <f>IF(Table24[[#This Row],[A Counter]]=1,"AI"&amp;#REF!+SUM($N$35:N106),IF(Table24[[#This Row],[B Counter]]=1,"BI"&amp;#REF!+SUM($O$35:O106),""))</f>
        <v>#REF!</v>
      </c>
      <c r="T106" s="1"/>
      <c r="U106" s="7"/>
    </row>
    <row r="107" spans="1:21" x14ac:dyDescent="0.25">
      <c r="A107">
        <f t="shared" si="5"/>
        <v>98</v>
      </c>
      <c r="B107" s="93" t="str">
        <f>IFERROR(RIGHT(Table24[[#This Row],[Controller Input '#]],3)*1,"")</f>
        <v/>
      </c>
      <c r="C107" s="99"/>
      <c r="D107" s="1"/>
      <c r="E107" s="1" t="s">
        <v>194</v>
      </c>
      <c r="F107" s="1" t="s">
        <v>195</v>
      </c>
      <c r="G107" s="1"/>
      <c r="H107" s="8"/>
      <c r="I107" s="1" t="s">
        <v>103</v>
      </c>
      <c r="J107" s="1" t="s">
        <v>125</v>
      </c>
      <c r="K107" s="1" t="s">
        <v>112</v>
      </c>
      <c r="L107" s="1"/>
      <c r="M107" s="1"/>
      <c r="N107" s="18" t="str">
        <f>IF(ISNUMBER(SEARCH("ANALOG",Table24[[#This Row],[Type]]))=TRUE,1,"")</f>
        <v/>
      </c>
      <c r="O107" s="18">
        <f>IF(ISNUMBER(SEARCH("BINARY",Table24[[#This Row],[Type]]))=TRUE,1,"")</f>
        <v>1</v>
      </c>
      <c r="P107" s="7" t="e">
        <f>IF(Table24[[#This Row],[Type]]="","",LEFT(Table24[[#This Row],[Type]],1)&amp;LEFT(#REF!,1))</f>
        <v>#REF!</v>
      </c>
      <c r="Q107" s="18" t="e">
        <f>IF(Table24[[#This Row],[Type]]="","",LEFT(Table24[[#This Row],[Type]],1)&amp;LEFT(#REF!,1))</f>
        <v>#REF!</v>
      </c>
      <c r="R107" s="18"/>
      <c r="S107" s="7" t="e">
        <f>IF(Table24[[#This Row],[A Counter]]=1,"AI"&amp;#REF!+SUM($N$35:N107),IF(Table24[[#This Row],[B Counter]]=1,"BI"&amp;#REF!+SUM($O$35:O107),""))</f>
        <v>#REF!</v>
      </c>
      <c r="T107" s="1"/>
      <c r="U107" s="7"/>
    </row>
    <row r="108" spans="1:21" x14ac:dyDescent="0.25">
      <c r="A108">
        <f t="shared" si="5"/>
        <v>99</v>
      </c>
      <c r="B108" s="93" t="str">
        <f>IFERROR(RIGHT(Table24[[#This Row],[Controller Input '#]],3)*1,"")</f>
        <v/>
      </c>
      <c r="C108" s="99"/>
      <c r="D108" s="1"/>
      <c r="E108" s="1" t="s">
        <v>196</v>
      </c>
      <c r="F108" s="1" t="s">
        <v>197</v>
      </c>
      <c r="G108" s="1"/>
      <c r="H108" s="8"/>
      <c r="I108" s="1" t="s">
        <v>70</v>
      </c>
      <c r="J108" s="1" t="s">
        <v>125</v>
      </c>
      <c r="K108" s="1" t="s">
        <v>80</v>
      </c>
      <c r="L108" s="1" t="s">
        <v>81</v>
      </c>
      <c r="M108" s="1"/>
      <c r="N108" s="18">
        <f>IF(ISNUMBER(SEARCH("ANALOG",Table24[[#This Row],[Type]]))=TRUE,1,"")</f>
        <v>1</v>
      </c>
      <c r="O108" s="18" t="str">
        <f>IF(ISNUMBER(SEARCH("BINARY",Table24[[#This Row],[Type]]))=TRUE,1,"")</f>
        <v/>
      </c>
      <c r="P108" s="7" t="e">
        <f>IF(Table24[[#This Row],[Type]]="","",LEFT(Table24[[#This Row],[Type]],1)&amp;LEFT(#REF!,1))</f>
        <v>#REF!</v>
      </c>
      <c r="Q108" s="18" t="e">
        <f>IF(Table24[[#This Row],[Type]]="","",LEFT(Table24[[#This Row],[Type]],1)&amp;LEFT(#REF!,1))</f>
        <v>#REF!</v>
      </c>
      <c r="R108" s="18"/>
      <c r="S108" s="7" t="e">
        <f>IF(Table24[[#This Row],[A Counter]]=1,"AI"&amp;#REF!+SUM($N$35:N108),IF(Table24[[#This Row],[B Counter]]=1,"BI"&amp;#REF!+SUM($O$35:O108),""))</f>
        <v>#REF!</v>
      </c>
      <c r="T108" s="1"/>
      <c r="U108" s="7"/>
    </row>
    <row r="109" spans="1:21" x14ac:dyDescent="0.25">
      <c r="A109">
        <f t="shared" si="5"/>
        <v>100</v>
      </c>
      <c r="B109" s="93" t="str">
        <f>IFERROR(RIGHT(Table24[[#This Row],[Controller Input '#]],3)*1,"")</f>
        <v/>
      </c>
      <c r="C109" s="99"/>
      <c r="D109" s="1"/>
      <c r="E109" s="1" t="s">
        <v>198</v>
      </c>
      <c r="F109" s="1" t="s">
        <v>199</v>
      </c>
      <c r="G109" s="1"/>
      <c r="H109" s="8"/>
      <c r="I109" s="1" t="s">
        <v>103</v>
      </c>
      <c r="J109" s="1" t="s">
        <v>125</v>
      </c>
      <c r="K109" s="1" t="s">
        <v>112</v>
      </c>
      <c r="L109" s="1"/>
      <c r="M109" s="1"/>
      <c r="N109" s="18" t="str">
        <f>IF(ISNUMBER(SEARCH("ANALOG",Table24[[#This Row],[Type]]))=TRUE,1,"")</f>
        <v/>
      </c>
      <c r="O109" s="18">
        <f>IF(ISNUMBER(SEARCH("BINARY",Table24[[#This Row],[Type]]))=TRUE,1,"")</f>
        <v>1</v>
      </c>
      <c r="P109" s="7" t="e">
        <f>IF(Table24[[#This Row],[Type]]="","",LEFT(Table24[[#This Row],[Type]],1)&amp;LEFT(#REF!,1))</f>
        <v>#REF!</v>
      </c>
      <c r="Q109" s="18" t="e">
        <f>IF(Table24[[#This Row],[Type]]="","",LEFT(Table24[[#This Row],[Type]],1)&amp;LEFT(#REF!,1))</f>
        <v>#REF!</v>
      </c>
      <c r="R109" s="18"/>
      <c r="S109" s="7" t="e">
        <f>IF(Table24[[#This Row],[A Counter]]=1,"AI"&amp;#REF!+SUM($N$35:N109),IF(Table24[[#This Row],[B Counter]]=1,"BI"&amp;#REF!+SUM($O$35:O109),""))</f>
        <v>#REF!</v>
      </c>
      <c r="T109" s="1"/>
      <c r="U109" s="7"/>
    </row>
    <row r="110" spans="1:21" x14ac:dyDescent="0.25">
      <c r="A110">
        <f t="shared" si="5"/>
        <v>101</v>
      </c>
      <c r="B110" s="93" t="str">
        <f>IFERROR(RIGHT(Table24[[#This Row],[Controller Input '#]],3)*1,"")</f>
        <v/>
      </c>
      <c r="C110" s="99"/>
      <c r="D110" s="1"/>
      <c r="E110" s="1" t="s">
        <v>200</v>
      </c>
      <c r="F110" s="1" t="s">
        <v>201</v>
      </c>
      <c r="G110" s="1"/>
      <c r="H110" s="8"/>
      <c r="I110" s="1" t="s">
        <v>70</v>
      </c>
      <c r="J110" s="1" t="s">
        <v>125</v>
      </c>
      <c r="K110" s="1" t="s">
        <v>80</v>
      </c>
      <c r="L110" s="1" t="s">
        <v>81</v>
      </c>
      <c r="M110" s="1"/>
      <c r="N110" s="18">
        <f>IF(ISNUMBER(SEARCH("ANALOG",Table24[[#This Row],[Type]]))=TRUE,1,"")</f>
        <v>1</v>
      </c>
      <c r="O110" s="18" t="str">
        <f>IF(ISNUMBER(SEARCH("BINARY",Table24[[#This Row],[Type]]))=TRUE,1,"")</f>
        <v/>
      </c>
      <c r="P110" s="7" t="e">
        <f>IF(Table24[[#This Row],[Type]]="","",LEFT(Table24[[#This Row],[Type]],1)&amp;LEFT(#REF!,1))</f>
        <v>#REF!</v>
      </c>
      <c r="Q110" s="18" t="e">
        <f>IF(Table24[[#This Row],[Type]]="","",LEFT(Table24[[#This Row],[Type]],1)&amp;LEFT(#REF!,1))</f>
        <v>#REF!</v>
      </c>
      <c r="R110" s="18"/>
      <c r="S110" s="7" t="e">
        <f>IF(Table24[[#This Row],[A Counter]]=1,"AI"&amp;#REF!+SUM($N$35:N110),IF(Table24[[#This Row],[B Counter]]=1,"BI"&amp;#REF!+SUM($O$35:O110),""))</f>
        <v>#REF!</v>
      </c>
      <c r="T110" s="1"/>
      <c r="U110" s="7"/>
    </row>
    <row r="111" spans="1:21" x14ac:dyDescent="0.25">
      <c r="A111">
        <f t="shared" si="5"/>
        <v>102</v>
      </c>
      <c r="B111" s="93" t="str">
        <f>IFERROR(RIGHT(Table24[[#This Row],[Controller Input '#]],3)*1,"")</f>
        <v/>
      </c>
      <c r="C111" s="99"/>
      <c r="D111" s="1"/>
      <c r="E111" s="1" t="s">
        <v>202</v>
      </c>
      <c r="F111" s="1" t="s">
        <v>203</v>
      </c>
      <c r="G111" s="1"/>
      <c r="H111" s="8"/>
      <c r="I111" s="1" t="s">
        <v>103</v>
      </c>
      <c r="J111" s="1" t="s">
        <v>125</v>
      </c>
      <c r="K111" s="1" t="s">
        <v>112</v>
      </c>
      <c r="L111" s="1"/>
      <c r="M111" s="1"/>
      <c r="N111" s="18" t="str">
        <f>IF(ISNUMBER(SEARCH("ANALOG",Table24[[#This Row],[Type]]))=TRUE,1,"")</f>
        <v/>
      </c>
      <c r="O111" s="18">
        <f>IF(ISNUMBER(SEARCH("BINARY",Table24[[#This Row],[Type]]))=TRUE,1,"")</f>
        <v>1</v>
      </c>
      <c r="P111" s="7" t="e">
        <f>IF(Table24[[#This Row],[Type]]="","",LEFT(Table24[[#This Row],[Type]],1)&amp;LEFT(#REF!,1))</f>
        <v>#REF!</v>
      </c>
      <c r="Q111" s="18" t="e">
        <f>IF(Table24[[#This Row],[Type]]="","",LEFT(Table24[[#This Row],[Type]],1)&amp;LEFT(#REF!,1))</f>
        <v>#REF!</v>
      </c>
      <c r="R111" s="18"/>
      <c r="S111" s="7" t="e">
        <f>IF(Table24[[#This Row],[A Counter]]=1,"AI"&amp;#REF!+SUM($N$35:N111),IF(Table24[[#This Row],[B Counter]]=1,"BI"&amp;#REF!+SUM($O$35:O111),""))</f>
        <v>#REF!</v>
      </c>
      <c r="T111" s="1"/>
      <c r="U111" s="7"/>
    </row>
    <row r="112" spans="1:21" x14ac:dyDescent="0.25">
      <c r="A112">
        <f t="shared" si="5"/>
        <v>103</v>
      </c>
      <c r="B112" s="93" t="str">
        <f>IFERROR(RIGHT(Table24[[#This Row],[Controller Input '#]],3)*1,"")</f>
        <v/>
      </c>
      <c r="C112" s="99"/>
      <c r="D112" s="1"/>
      <c r="E112" s="1"/>
      <c r="F112" s="1"/>
      <c r="G112" s="1"/>
      <c r="H112" s="8"/>
      <c r="I112" s="1"/>
      <c r="J112" s="1"/>
      <c r="K112" s="1"/>
      <c r="L112" s="1"/>
      <c r="M112" s="1"/>
      <c r="N112" s="1"/>
      <c r="O112" s="1"/>
      <c r="Q112" s="1"/>
      <c r="R112" s="1"/>
      <c r="S112" s="7"/>
      <c r="T112" s="1"/>
    </row>
    <row r="113" spans="1:21" x14ac:dyDescent="0.25">
      <c r="A113">
        <f t="shared" si="5"/>
        <v>104</v>
      </c>
      <c r="B113" s="93" t="str">
        <f>IFERROR(RIGHT(Table24[[#This Row],[Controller Input '#]],3)*1,"")</f>
        <v/>
      </c>
      <c r="C113" s="99"/>
      <c r="D113" s="1"/>
      <c r="E113" s="1"/>
      <c r="F113" s="1"/>
      <c r="G113" s="1"/>
      <c r="H113" s="8"/>
      <c r="I113" s="1"/>
      <c r="J113" s="1"/>
      <c r="K113" s="1"/>
      <c r="L113" s="1"/>
      <c r="M113" s="1"/>
      <c r="N113" s="1"/>
      <c r="O113" s="1"/>
      <c r="Q113" s="1"/>
      <c r="R113" s="1"/>
      <c r="S113" s="7"/>
      <c r="T113" s="1"/>
    </row>
    <row r="114" spans="1:21" x14ac:dyDescent="0.25">
      <c r="A114">
        <f t="shared" si="5"/>
        <v>105</v>
      </c>
      <c r="B114" s="93" t="str">
        <f>IFERROR(RIGHT(Table24[[#This Row],[Controller Input '#]],3)*1,"")</f>
        <v/>
      </c>
      <c r="C114" s="99"/>
      <c r="D114" s="1"/>
      <c r="E114" s="1" t="s">
        <v>229</v>
      </c>
      <c r="F114" s="1" t="s">
        <v>230</v>
      </c>
      <c r="G114" s="1"/>
      <c r="H114" s="8"/>
      <c r="I114" s="1" t="s">
        <v>70</v>
      </c>
      <c r="J114" s="1" t="s">
        <v>125</v>
      </c>
      <c r="K114" s="1" t="s">
        <v>80</v>
      </c>
      <c r="L114" s="11"/>
      <c r="M114" s="11"/>
      <c r="N114" s="18">
        <f>IF(ISNUMBER(SEARCH("ANALOG",Table24[[#This Row],[Type]]))=TRUE,1,"")</f>
        <v>1</v>
      </c>
      <c r="O114" s="18" t="str">
        <f>IF(ISNUMBER(SEARCH("BINARY",Table24[[#This Row],[Type]]))=TRUE,1,"")</f>
        <v/>
      </c>
      <c r="P114" s="7" t="e">
        <f>IF(Table24[[#This Row],[Type]]="","",LEFT(Table24[[#This Row],[Type]],1)&amp;LEFT(#REF!,1))</f>
        <v>#REF!</v>
      </c>
      <c r="Q114" s="18" t="e">
        <f>IF(Table24[[#This Row],[Type]]="","",LEFT(Table24[[#This Row],[Type]],1)&amp;LEFT(#REF!,1))</f>
        <v>#REF!</v>
      </c>
      <c r="R114" s="18"/>
      <c r="S114" s="7" t="e">
        <f>IF(Table24[[#This Row],[A Counter]]=1,"AI"&amp;#REF!+SUM($N$35:N114),IF(Table24[[#This Row],[B Counter]]=1,"BI"&amp;#REF!+SUM($O$35:O114),""))</f>
        <v>#REF!</v>
      </c>
      <c r="T114" s="18" t="s">
        <v>34</v>
      </c>
      <c r="U114" s="7"/>
    </row>
    <row r="115" spans="1:21" x14ac:dyDescent="0.25">
      <c r="A115">
        <f t="shared" si="5"/>
        <v>106</v>
      </c>
      <c r="B115" s="93" t="str">
        <f>IFERROR(RIGHT(Table24[[#This Row],[Controller Input '#]],3)*1,"")</f>
        <v/>
      </c>
      <c r="C115" s="99"/>
      <c r="D115" s="1"/>
      <c r="E115" s="1" t="s">
        <v>231</v>
      </c>
      <c r="F115" s="1" t="s">
        <v>232</v>
      </c>
      <c r="G115" s="11"/>
      <c r="H115" s="21"/>
      <c r="I115" s="1" t="s">
        <v>70</v>
      </c>
      <c r="J115" s="1" t="s">
        <v>125</v>
      </c>
      <c r="K115" s="1" t="s">
        <v>127</v>
      </c>
      <c r="L115" s="11"/>
      <c r="M115" s="11"/>
      <c r="N115" s="18">
        <f>IF(ISNUMBER(SEARCH("ANALOG",Table24[[#This Row],[Type]]))=TRUE,1,"")</f>
        <v>1</v>
      </c>
      <c r="O115" s="18" t="str">
        <f>IF(ISNUMBER(SEARCH("BINARY",Table24[[#This Row],[Type]]))=TRUE,1,"")</f>
        <v/>
      </c>
      <c r="P115" s="7" t="e">
        <f>IF(Table24[[#This Row],[Type]]="","",LEFT(Table24[[#This Row],[Type]],1)&amp;LEFT(#REF!,1))</f>
        <v>#REF!</v>
      </c>
      <c r="Q115" s="18" t="e">
        <f>IF(Table24[[#This Row],[Type]]="","",LEFT(Table24[[#This Row],[Type]],1)&amp;LEFT(#REF!,1))</f>
        <v>#REF!</v>
      </c>
      <c r="R115" s="18"/>
      <c r="S115" s="7" t="e">
        <f>IF(Table24[[#This Row],[A Counter]]=1,"AI"&amp;#REF!+SUM($N$35:N115),IF(Table24[[#This Row],[B Counter]]=1,"BI"&amp;#REF!+SUM($O$35:O115),""))</f>
        <v>#REF!</v>
      </c>
      <c r="T115" s="18" t="s">
        <v>34</v>
      </c>
      <c r="U115" s="7"/>
    </row>
    <row r="116" spans="1:21" x14ac:dyDescent="0.25">
      <c r="A116">
        <f t="shared" si="5"/>
        <v>107</v>
      </c>
      <c r="B116" s="93" t="str">
        <f>IFERROR(RIGHT(Table24[[#This Row],[Controller Input '#]],3)*1,"")</f>
        <v/>
      </c>
      <c r="C116" s="99"/>
      <c r="D116" s="1"/>
      <c r="E116" s="1" t="s">
        <v>233</v>
      </c>
      <c r="F116" s="1" t="s">
        <v>234</v>
      </c>
      <c r="G116" s="1"/>
      <c r="H116" s="8"/>
      <c r="I116" s="1" t="s">
        <v>70</v>
      </c>
      <c r="J116" s="1" t="s">
        <v>125</v>
      </c>
      <c r="K116" s="1" t="s">
        <v>119</v>
      </c>
      <c r="L116" s="1"/>
      <c r="M116" s="1"/>
      <c r="N116" s="18">
        <f>IF(ISNUMBER(SEARCH("ANALOG",Table24[[#This Row],[Type]]))=TRUE,1,"")</f>
        <v>1</v>
      </c>
      <c r="O116" s="18" t="str">
        <f>IF(ISNUMBER(SEARCH("BINARY",Table24[[#This Row],[Type]]))=TRUE,1,"")</f>
        <v/>
      </c>
      <c r="P116" s="7" t="e">
        <f>IF(Table24[[#This Row],[Type]]="","",LEFT(Table24[[#This Row],[Type]],1)&amp;LEFT(#REF!,1))</f>
        <v>#REF!</v>
      </c>
      <c r="Q116" s="18" t="e">
        <f>IF(Table24[[#This Row],[Type]]="","",LEFT(Table24[[#This Row],[Type]],1)&amp;LEFT(#REF!,1))</f>
        <v>#REF!</v>
      </c>
      <c r="R116" s="18"/>
      <c r="S116" s="7" t="e">
        <f>IF(Table24[[#This Row],[A Counter]]=1,"AI"&amp;#REF!+SUM($N$35:N116),IF(Table24[[#This Row],[B Counter]]=1,"BI"&amp;#REF!+SUM($O$35:O116),""))</f>
        <v>#REF!</v>
      </c>
      <c r="T116" s="18" t="s">
        <v>34</v>
      </c>
      <c r="U116" s="7"/>
    </row>
    <row r="117" spans="1:21" x14ac:dyDescent="0.25">
      <c r="A117">
        <f t="shared" si="5"/>
        <v>108</v>
      </c>
      <c r="B117" s="93" t="str">
        <f>IFERROR(RIGHT(Table24[[#This Row],[Controller Input '#]],3)*1,"")</f>
        <v/>
      </c>
      <c r="C117" s="99"/>
      <c r="D117" s="1"/>
      <c r="E117" s="1" t="s">
        <v>235</v>
      </c>
      <c r="F117" s="1" t="s">
        <v>236</v>
      </c>
      <c r="G117" s="1"/>
      <c r="H117" s="8"/>
      <c r="I117" s="1" t="s">
        <v>103</v>
      </c>
      <c r="J117" s="1" t="s">
        <v>125</v>
      </c>
      <c r="K117" s="1" t="s">
        <v>112</v>
      </c>
      <c r="L117" s="1"/>
      <c r="M117" s="1"/>
      <c r="N117" s="18" t="str">
        <f>IF(ISNUMBER(SEARCH("ANALOG",Table24[[#This Row],[Type]]))=TRUE,1,"")</f>
        <v/>
      </c>
      <c r="O117" s="18">
        <f>IF(ISNUMBER(SEARCH("BINARY",Table24[[#This Row],[Type]]))=TRUE,1,"")</f>
        <v>1</v>
      </c>
      <c r="P117" s="7" t="e">
        <f>IF(Table24[[#This Row],[Type]]="","",LEFT(Table24[[#This Row],[Type]],1)&amp;LEFT(#REF!,1))</f>
        <v>#REF!</v>
      </c>
      <c r="Q117" s="18" t="e">
        <f>IF(Table24[[#This Row],[Type]]="","",LEFT(Table24[[#This Row],[Type]],1)&amp;LEFT(#REF!,1))</f>
        <v>#REF!</v>
      </c>
      <c r="R117" s="18"/>
      <c r="S117" s="7" t="e">
        <f>IF(Table24[[#This Row],[A Counter]]=1,"AI"&amp;#REF!+SUM($N$35:N117),IF(Table24[[#This Row],[B Counter]]=1,"BI"&amp;#REF!+SUM($O$35:O117),""))</f>
        <v>#REF!</v>
      </c>
      <c r="T117" s="18" t="s">
        <v>34</v>
      </c>
      <c r="U117" s="7"/>
    </row>
    <row r="118" spans="1:21" x14ac:dyDescent="0.25">
      <c r="A118">
        <f t="shared" si="5"/>
        <v>109</v>
      </c>
      <c r="B118" s="93" t="str">
        <f>IFERROR(RIGHT(Table24[[#This Row],[Controller Input '#]],3)*1,"")</f>
        <v/>
      </c>
      <c r="C118" s="99"/>
      <c r="D118" s="1"/>
      <c r="E118" s="1"/>
      <c r="F118" s="1"/>
      <c r="G118" s="1"/>
      <c r="H118" s="8"/>
      <c r="I118" s="1"/>
      <c r="J118" s="1"/>
      <c r="K118" s="1"/>
      <c r="L118" s="1"/>
      <c r="M118" s="1"/>
      <c r="N118" s="1"/>
      <c r="O118" s="1"/>
      <c r="Q118" s="1"/>
      <c r="R118" s="1"/>
      <c r="S118" s="7"/>
      <c r="T118" s="1"/>
    </row>
    <row r="119" spans="1:21" x14ac:dyDescent="0.25">
      <c r="A119">
        <f t="shared" si="5"/>
        <v>110</v>
      </c>
      <c r="B119" s="93" t="str">
        <f>IFERROR(RIGHT(Table24[[#This Row],[Controller Input '#]],3)*1,"")</f>
        <v/>
      </c>
      <c r="C119" s="99"/>
      <c r="D119" s="1"/>
      <c r="E119" s="11" t="s">
        <v>239</v>
      </c>
      <c r="F119" s="11" t="s">
        <v>240</v>
      </c>
      <c r="G119" s="11"/>
      <c r="H119" s="21"/>
      <c r="I119" s="11" t="s">
        <v>70</v>
      </c>
      <c r="J119" s="11" t="s">
        <v>125</v>
      </c>
      <c r="K119" s="11" t="s">
        <v>80</v>
      </c>
      <c r="L119" s="11"/>
      <c r="M119" s="11"/>
      <c r="N119" s="18">
        <f>IF(ISNUMBER(SEARCH("ANALOG",Table24[[#This Row],[Type]]))=TRUE,1,"")</f>
        <v>1</v>
      </c>
      <c r="O119" s="18" t="str">
        <f>IF(ISNUMBER(SEARCH("BINARY",Table24[[#This Row],[Type]]))=TRUE,1,"")</f>
        <v/>
      </c>
      <c r="P119" s="7" t="e">
        <f>IF(Table24[[#This Row],[Type]]="","",LEFT(Table24[[#This Row],[Type]],1)&amp;LEFT(#REF!,1))</f>
        <v>#REF!</v>
      </c>
      <c r="Q119" s="18" t="e">
        <f>IF(Table24[[#This Row],[Type]]="","",LEFT(Table24[[#This Row],[Type]],1)&amp;LEFT(#REF!,1))</f>
        <v>#REF!</v>
      </c>
      <c r="R119" s="18"/>
      <c r="S119" s="7" t="e">
        <f>IF(Table24[[#This Row],[A Counter]]=1,"AI"&amp;#REF!+SUM($N$35:N119),IF(Table24[[#This Row],[B Counter]]=1,"BI"&amp;#REF!+SUM($O$35:O119),""))</f>
        <v>#REF!</v>
      </c>
      <c r="T119" s="26" t="s">
        <v>34</v>
      </c>
      <c r="U119" s="7"/>
    </row>
    <row r="120" spans="1:21" x14ac:dyDescent="0.25">
      <c r="A120">
        <f t="shared" si="5"/>
        <v>111</v>
      </c>
      <c r="B120" s="93" t="str">
        <f>IFERROR(RIGHT(Table24[[#This Row],[Controller Input '#]],3)*1,"")</f>
        <v/>
      </c>
      <c r="C120" s="99"/>
      <c r="D120" s="1"/>
      <c r="E120" s="11" t="s">
        <v>241</v>
      </c>
      <c r="F120" s="11" t="s">
        <v>242</v>
      </c>
      <c r="G120" s="11"/>
      <c r="H120" s="21"/>
      <c r="I120" s="11" t="s">
        <v>70</v>
      </c>
      <c r="J120" s="11" t="s">
        <v>125</v>
      </c>
      <c r="K120" s="11" t="s">
        <v>127</v>
      </c>
      <c r="L120" s="11"/>
      <c r="M120" s="11"/>
      <c r="N120" s="18">
        <f>IF(ISNUMBER(SEARCH("ANALOG",Table24[[#This Row],[Type]]))=TRUE,1,"")</f>
        <v>1</v>
      </c>
      <c r="O120" s="18" t="str">
        <f>IF(ISNUMBER(SEARCH("BINARY",Table24[[#This Row],[Type]]))=TRUE,1,"")</f>
        <v/>
      </c>
      <c r="P120" s="7" t="e">
        <f>IF(Table24[[#This Row],[Type]]="","",LEFT(Table24[[#This Row],[Type]],1)&amp;LEFT(#REF!,1))</f>
        <v>#REF!</v>
      </c>
      <c r="Q120" s="18" t="e">
        <f>IF(Table24[[#This Row],[Type]]="","",LEFT(Table24[[#This Row],[Type]],1)&amp;LEFT(#REF!,1))</f>
        <v>#REF!</v>
      </c>
      <c r="R120" s="18"/>
      <c r="S120" s="7" t="e">
        <f>IF(Table24[[#This Row],[A Counter]]=1,"AI"&amp;#REF!+SUM($N$35:N120),IF(Table24[[#This Row],[B Counter]]=1,"BI"&amp;#REF!+SUM($O$35:O120),""))</f>
        <v>#REF!</v>
      </c>
      <c r="T120" s="26" t="s">
        <v>34</v>
      </c>
      <c r="U120" s="7"/>
    </row>
    <row r="121" spans="1:21" x14ac:dyDescent="0.25">
      <c r="A121">
        <f t="shared" si="5"/>
        <v>112</v>
      </c>
      <c r="B121" s="93" t="str">
        <f>IFERROR(RIGHT(Table24[[#This Row],[Controller Input '#]],3)*1,"")</f>
        <v/>
      </c>
      <c r="C121" s="99"/>
      <c r="D121" s="1"/>
      <c r="E121" s="23" t="s">
        <v>243</v>
      </c>
      <c r="F121" s="23" t="s">
        <v>244</v>
      </c>
      <c r="G121" s="23"/>
      <c r="H121" s="27"/>
      <c r="I121" s="23" t="s">
        <v>70</v>
      </c>
      <c r="J121" s="23" t="s">
        <v>125</v>
      </c>
      <c r="K121" s="23" t="s">
        <v>119</v>
      </c>
      <c r="L121" s="23"/>
      <c r="M121" s="23"/>
      <c r="N121" s="18">
        <f>IF(ISNUMBER(SEARCH("ANALOG",Table24[[#This Row],[Type]]))=TRUE,1,"")</f>
        <v>1</v>
      </c>
      <c r="O121" s="18" t="str">
        <f>IF(ISNUMBER(SEARCH("BINARY",Table24[[#This Row],[Type]]))=TRUE,1,"")</f>
        <v/>
      </c>
      <c r="P121" s="7" t="e">
        <f>IF(Table24[[#This Row],[Type]]="","",LEFT(Table24[[#This Row],[Type]],1)&amp;LEFT(#REF!,1))</f>
        <v>#REF!</v>
      </c>
      <c r="Q121" s="18" t="e">
        <f>IF(Table24[[#This Row],[Type]]="","",LEFT(Table24[[#This Row],[Type]],1)&amp;LEFT(#REF!,1))</f>
        <v>#REF!</v>
      </c>
      <c r="R121" s="18"/>
      <c r="S121" s="7" t="e">
        <f>IF(Table24[[#This Row],[A Counter]]=1,"AI"&amp;#REF!+SUM($N$35:N121),IF(Table24[[#This Row],[B Counter]]=1,"BI"&amp;#REF!+SUM($O$35:O121),""))</f>
        <v>#REF!</v>
      </c>
      <c r="T121" s="28" t="s">
        <v>34</v>
      </c>
      <c r="U121" s="7"/>
    </row>
    <row r="122" spans="1:21" x14ac:dyDescent="0.25">
      <c r="A122">
        <f t="shared" si="5"/>
        <v>113</v>
      </c>
      <c r="B122" s="93" t="str">
        <f>IFERROR(RIGHT(Table24[[#This Row],[Controller Input '#]],3)*1,"")</f>
        <v/>
      </c>
      <c r="C122" s="99"/>
      <c r="D122" s="1"/>
      <c r="E122" s="11" t="s">
        <v>245</v>
      </c>
      <c r="F122" s="11" t="s">
        <v>246</v>
      </c>
      <c r="G122" s="11"/>
      <c r="H122" s="21"/>
      <c r="I122" s="11" t="s">
        <v>103</v>
      </c>
      <c r="J122" s="11" t="s">
        <v>125</v>
      </c>
      <c r="K122" s="11" t="s">
        <v>112</v>
      </c>
      <c r="L122" s="11"/>
      <c r="M122" s="11"/>
      <c r="N122" s="18" t="str">
        <f>IF(ISNUMBER(SEARCH("ANALOG",Table24[[#This Row],[Type]]))=TRUE,1,"")</f>
        <v/>
      </c>
      <c r="O122" s="18">
        <f>IF(ISNUMBER(SEARCH("BINARY",Table24[[#This Row],[Type]]))=TRUE,1,"")</f>
        <v>1</v>
      </c>
      <c r="P122" s="7" t="e">
        <f>IF(Table24[[#This Row],[Type]]="","",LEFT(Table24[[#This Row],[Type]],1)&amp;LEFT(#REF!,1))</f>
        <v>#REF!</v>
      </c>
      <c r="Q122" s="18" t="e">
        <f>IF(Table24[[#This Row],[Type]]="","",LEFT(Table24[[#This Row],[Type]],1)&amp;LEFT(#REF!,1))</f>
        <v>#REF!</v>
      </c>
      <c r="R122" s="18"/>
      <c r="S122" s="7" t="e">
        <f>IF(Table24[[#This Row],[A Counter]]=1,"AI"&amp;#REF!+SUM($N$35:N122),IF(Table24[[#This Row],[B Counter]]=1,"BI"&amp;#REF!+SUM($O$35:O122),""))</f>
        <v>#REF!</v>
      </c>
      <c r="T122" s="26" t="s">
        <v>34</v>
      </c>
      <c r="U122" s="7"/>
    </row>
    <row r="123" spans="1:21" x14ac:dyDescent="0.25">
      <c r="A123">
        <f t="shared" si="5"/>
        <v>114</v>
      </c>
      <c r="B123" s="93" t="str">
        <f>IFERROR(RIGHT(Table24[[#This Row],[Controller Input '#]],3)*1,"")</f>
        <v/>
      </c>
      <c r="C123" s="99"/>
      <c r="D123" s="1"/>
      <c r="E123" s="1"/>
      <c r="F123" s="1"/>
      <c r="G123" s="1"/>
      <c r="H123" s="8"/>
      <c r="I123" s="1"/>
      <c r="J123" s="1"/>
      <c r="K123" s="1"/>
      <c r="L123" s="1"/>
      <c r="M123" s="1"/>
      <c r="N123" s="1"/>
      <c r="O123" s="1"/>
      <c r="Q123" s="1"/>
      <c r="R123" s="1"/>
      <c r="S123" s="7"/>
      <c r="T123" s="1"/>
    </row>
    <row r="124" spans="1:21" x14ac:dyDescent="0.25">
      <c r="A124">
        <f t="shared" si="5"/>
        <v>115</v>
      </c>
      <c r="B124" s="93" t="str">
        <f>IFERROR(RIGHT(Table24[[#This Row],[Controller Input '#]],3)*1,"")</f>
        <v/>
      </c>
      <c r="C124" s="99"/>
      <c r="D124" s="1"/>
      <c r="E124" s="11" t="s">
        <v>249</v>
      </c>
      <c r="F124" s="11" t="s">
        <v>250</v>
      </c>
      <c r="G124" s="11"/>
      <c r="H124" s="21"/>
      <c r="I124" s="11" t="s">
        <v>70</v>
      </c>
      <c r="J124" s="11" t="s">
        <v>125</v>
      </c>
      <c r="K124" s="11" t="s">
        <v>80</v>
      </c>
      <c r="L124" s="11"/>
      <c r="M124" s="11"/>
      <c r="N124" s="18">
        <f>IF(ISNUMBER(SEARCH("ANALOG",Table24[[#This Row],[Type]]))=TRUE,1,"")</f>
        <v>1</v>
      </c>
      <c r="O124" s="18" t="str">
        <f>IF(ISNUMBER(SEARCH("BINARY",Table24[[#This Row],[Type]]))=TRUE,1,"")</f>
        <v/>
      </c>
      <c r="P124" s="7" t="e">
        <f>IF(Table24[[#This Row],[Type]]="","",LEFT(Table24[[#This Row],[Type]],1)&amp;LEFT(#REF!,1))</f>
        <v>#REF!</v>
      </c>
      <c r="Q124" s="18" t="e">
        <f>IF(Table24[[#This Row],[Type]]="","",LEFT(Table24[[#This Row],[Type]],1)&amp;LEFT(#REF!,1))</f>
        <v>#REF!</v>
      </c>
      <c r="R124" s="18"/>
      <c r="S124" s="7" t="e">
        <f>IF(Table24[[#This Row],[A Counter]]=1,"AI"&amp;#REF!+SUM($N$35:N124),IF(Table24[[#This Row],[B Counter]]=1,"BI"&amp;#REF!+SUM($O$35:O124),""))</f>
        <v>#REF!</v>
      </c>
      <c r="T124" s="26" t="s">
        <v>34</v>
      </c>
      <c r="U124" s="7"/>
    </row>
    <row r="125" spans="1:21" x14ac:dyDescent="0.25">
      <c r="A125">
        <f t="shared" si="5"/>
        <v>116</v>
      </c>
      <c r="B125" s="93" t="str">
        <f>IFERROR(RIGHT(Table24[[#This Row],[Controller Input '#]],3)*1,"")</f>
        <v/>
      </c>
      <c r="C125" s="99"/>
      <c r="D125" s="1"/>
      <c r="E125" s="11" t="s">
        <v>251</v>
      </c>
      <c r="F125" s="11" t="s">
        <v>252</v>
      </c>
      <c r="G125" s="11"/>
      <c r="H125" s="21"/>
      <c r="I125" s="11" t="s">
        <v>70</v>
      </c>
      <c r="J125" s="11" t="s">
        <v>125</v>
      </c>
      <c r="K125" s="11" t="s">
        <v>127</v>
      </c>
      <c r="L125" s="11"/>
      <c r="M125" s="11"/>
      <c r="N125" s="18">
        <f>IF(ISNUMBER(SEARCH("ANALOG",Table24[[#This Row],[Type]]))=TRUE,1,"")</f>
        <v>1</v>
      </c>
      <c r="O125" s="18" t="str">
        <f>IF(ISNUMBER(SEARCH("BINARY",Table24[[#This Row],[Type]]))=TRUE,1,"")</f>
        <v/>
      </c>
      <c r="P125" s="7" t="e">
        <f>IF(Table24[[#This Row],[Type]]="","",LEFT(Table24[[#This Row],[Type]],1)&amp;LEFT(#REF!,1))</f>
        <v>#REF!</v>
      </c>
      <c r="Q125" s="18" t="e">
        <f>IF(Table24[[#This Row],[Type]]="","",LEFT(Table24[[#This Row],[Type]],1)&amp;LEFT(#REF!,1))</f>
        <v>#REF!</v>
      </c>
      <c r="R125" s="18"/>
      <c r="S125" s="7" t="e">
        <f>IF(Table24[[#This Row],[A Counter]]=1,"AI"&amp;#REF!+SUM($N$35:N125),IF(Table24[[#This Row],[B Counter]]=1,"BI"&amp;#REF!+SUM($O$35:O125),""))</f>
        <v>#REF!</v>
      </c>
      <c r="T125" s="26" t="s">
        <v>34</v>
      </c>
      <c r="U125" s="7"/>
    </row>
    <row r="126" spans="1:21" x14ac:dyDescent="0.25">
      <c r="A126">
        <f t="shared" si="5"/>
        <v>117</v>
      </c>
      <c r="B126" s="93" t="str">
        <f>IFERROR(RIGHT(Table24[[#This Row],[Controller Input '#]],3)*1,"")</f>
        <v/>
      </c>
      <c r="C126" s="99"/>
      <c r="D126" s="1"/>
      <c r="E126" s="23" t="s">
        <v>253</v>
      </c>
      <c r="F126" s="23" t="s">
        <v>254</v>
      </c>
      <c r="G126" s="23"/>
      <c r="H126" s="27"/>
      <c r="I126" s="23" t="s">
        <v>70</v>
      </c>
      <c r="J126" s="23" t="s">
        <v>125</v>
      </c>
      <c r="K126" s="23" t="s">
        <v>119</v>
      </c>
      <c r="L126" s="23"/>
      <c r="M126" s="23"/>
      <c r="N126" s="18">
        <f>IF(ISNUMBER(SEARCH("ANALOG",Table24[[#This Row],[Type]]))=TRUE,1,"")</f>
        <v>1</v>
      </c>
      <c r="O126" s="18" t="str">
        <f>IF(ISNUMBER(SEARCH("BINARY",Table24[[#This Row],[Type]]))=TRUE,1,"")</f>
        <v/>
      </c>
      <c r="P126" s="7" t="e">
        <f>IF(Table24[[#This Row],[Type]]="","",LEFT(Table24[[#This Row],[Type]],1)&amp;LEFT(#REF!,1))</f>
        <v>#REF!</v>
      </c>
      <c r="Q126" s="18" t="e">
        <f>IF(Table24[[#This Row],[Type]]="","",LEFT(Table24[[#This Row],[Type]],1)&amp;LEFT(#REF!,1))</f>
        <v>#REF!</v>
      </c>
      <c r="R126" s="18"/>
      <c r="S126" s="7" t="e">
        <f>IF(Table24[[#This Row],[A Counter]]=1,"AI"&amp;#REF!+SUM($N$35:N126),IF(Table24[[#This Row],[B Counter]]=1,"BI"&amp;#REF!+SUM($O$35:O126),""))</f>
        <v>#REF!</v>
      </c>
      <c r="T126" s="28" t="s">
        <v>34</v>
      </c>
      <c r="U126" s="7"/>
    </row>
    <row r="127" spans="1:21" x14ac:dyDescent="0.25">
      <c r="A127">
        <f t="shared" si="5"/>
        <v>118</v>
      </c>
      <c r="B127" s="93" t="str">
        <f>IFERROR(RIGHT(Table24[[#This Row],[Controller Input '#]],3)*1,"")</f>
        <v/>
      </c>
      <c r="C127" s="99"/>
      <c r="D127" s="1"/>
      <c r="E127" s="11" t="s">
        <v>255</v>
      </c>
      <c r="F127" s="11" t="s">
        <v>256</v>
      </c>
      <c r="G127" s="11"/>
      <c r="H127" s="21"/>
      <c r="I127" s="11" t="s">
        <v>103</v>
      </c>
      <c r="J127" s="11" t="s">
        <v>125</v>
      </c>
      <c r="K127" s="11" t="s">
        <v>112</v>
      </c>
      <c r="L127" s="11"/>
      <c r="M127" s="11"/>
      <c r="N127" s="18" t="str">
        <f>IF(ISNUMBER(SEARCH("ANALOG",Table24[[#This Row],[Type]]))=TRUE,1,"")</f>
        <v/>
      </c>
      <c r="O127" s="18">
        <f>IF(ISNUMBER(SEARCH("BINARY",Table24[[#This Row],[Type]]))=TRUE,1,"")</f>
        <v>1</v>
      </c>
      <c r="P127" s="7" t="e">
        <f>IF(Table24[[#This Row],[Type]]="","",LEFT(Table24[[#This Row],[Type]],1)&amp;LEFT(#REF!,1))</f>
        <v>#REF!</v>
      </c>
      <c r="Q127" s="18" t="e">
        <f>IF(Table24[[#This Row],[Type]]="","",LEFT(Table24[[#This Row],[Type]],1)&amp;LEFT(#REF!,1))</f>
        <v>#REF!</v>
      </c>
      <c r="R127" s="18"/>
      <c r="S127" s="7" t="e">
        <f>IF(Table24[[#This Row],[A Counter]]=1,"AI"&amp;#REF!+SUM($N$35:N127),IF(Table24[[#This Row],[B Counter]]=1,"BI"&amp;#REF!+SUM($O$35:O127),""))</f>
        <v>#REF!</v>
      </c>
      <c r="T127" s="26" t="s">
        <v>34</v>
      </c>
      <c r="U127" s="7"/>
    </row>
    <row r="128" spans="1:21" x14ac:dyDescent="0.25">
      <c r="A128">
        <f t="shared" si="5"/>
        <v>119</v>
      </c>
      <c r="B128" s="93" t="str">
        <f>IFERROR(RIGHT(Table24[[#This Row],[Controller Input '#]],3)*1,"")</f>
        <v/>
      </c>
      <c r="C128" s="99"/>
      <c r="D128" s="1"/>
      <c r="E128" s="1"/>
      <c r="F128" s="1"/>
      <c r="G128" s="1"/>
      <c r="H128" s="8"/>
      <c r="I128" s="1"/>
      <c r="J128" s="1"/>
      <c r="K128" s="1"/>
      <c r="L128" s="1"/>
      <c r="M128" s="1"/>
      <c r="N128" s="1"/>
      <c r="O128" s="1"/>
      <c r="Q128" s="1"/>
      <c r="R128" s="1"/>
      <c r="S128" s="7"/>
      <c r="T128" s="1"/>
    </row>
    <row r="129" spans="1:21" x14ac:dyDescent="0.25">
      <c r="A129">
        <f t="shared" si="5"/>
        <v>120</v>
      </c>
      <c r="B129" s="93" t="str">
        <f>IFERROR(RIGHT(Table24[[#This Row],[Controller Input '#]],3)*1,"")</f>
        <v/>
      </c>
      <c r="C129" s="99"/>
      <c r="D129" s="1"/>
      <c r="E129" s="11" t="s">
        <v>259</v>
      </c>
      <c r="F129" s="11" t="s">
        <v>260</v>
      </c>
      <c r="G129" s="11"/>
      <c r="H129" s="21"/>
      <c r="I129" s="11" t="s">
        <v>103</v>
      </c>
      <c r="J129" s="11" t="s">
        <v>125</v>
      </c>
      <c r="K129" s="11" t="s">
        <v>112</v>
      </c>
      <c r="L129" s="11"/>
      <c r="M129" s="11"/>
      <c r="N129" s="18" t="str">
        <f>IF(ISNUMBER(SEARCH("ANALOG",Table24[[#This Row],[Type]]))=TRUE,1,"")</f>
        <v/>
      </c>
      <c r="O129" s="18">
        <f>IF(ISNUMBER(SEARCH("BINARY",Table24[[#This Row],[Type]]))=TRUE,1,"")</f>
        <v>1</v>
      </c>
      <c r="P129" s="7" t="e">
        <f>IF(Table24[[#This Row],[Type]]="","",LEFT(Table24[[#This Row],[Type]],1)&amp;LEFT(#REF!,1))</f>
        <v>#REF!</v>
      </c>
      <c r="Q129" s="18" t="e">
        <f>IF(Table24[[#This Row],[Type]]="","",LEFT(Table24[[#This Row],[Type]],1)&amp;LEFT(#REF!,1))</f>
        <v>#REF!</v>
      </c>
      <c r="R129" s="18"/>
      <c r="S129" s="7" t="e">
        <f>IF(Table24[[#This Row],[A Counter]]=1,"AI"&amp;#REF!+SUM($N$35:N129),IF(Table24[[#This Row],[B Counter]]=1,"BI"&amp;#REF!+SUM($O$35:O129),""))</f>
        <v>#REF!</v>
      </c>
      <c r="T129" s="26" t="s">
        <v>34</v>
      </c>
      <c r="U129" s="7"/>
    </row>
    <row r="130" spans="1:21" x14ac:dyDescent="0.25">
      <c r="A130">
        <f t="shared" si="5"/>
        <v>121</v>
      </c>
      <c r="B130" s="93" t="str">
        <f>IFERROR(RIGHT(Table24[[#This Row],[Controller Input '#]],3)*1,"")</f>
        <v/>
      </c>
      <c r="C130" s="99"/>
      <c r="D130" s="1"/>
      <c r="E130" s="11" t="s">
        <v>261</v>
      </c>
      <c r="F130" s="11" t="s">
        <v>262</v>
      </c>
      <c r="G130" s="11"/>
      <c r="H130" s="21"/>
      <c r="I130" s="11" t="s">
        <v>70</v>
      </c>
      <c r="J130" s="11" t="s">
        <v>125</v>
      </c>
      <c r="K130" s="11" t="s">
        <v>80</v>
      </c>
      <c r="L130" s="11"/>
      <c r="M130" s="11"/>
      <c r="N130" s="18">
        <f>IF(ISNUMBER(SEARCH("ANALOG",Table24[[#This Row],[Type]]))=TRUE,1,"")</f>
        <v>1</v>
      </c>
      <c r="O130" s="18" t="str">
        <f>IF(ISNUMBER(SEARCH("BINARY",Table24[[#This Row],[Type]]))=TRUE,1,"")</f>
        <v/>
      </c>
      <c r="P130" s="7" t="e">
        <f>IF(Table24[[#This Row],[Type]]="","",LEFT(Table24[[#This Row],[Type]],1)&amp;LEFT(#REF!,1))</f>
        <v>#REF!</v>
      </c>
      <c r="Q130" s="18" t="e">
        <f>IF(Table24[[#This Row],[Type]]="","",LEFT(Table24[[#This Row],[Type]],1)&amp;LEFT(#REF!,1))</f>
        <v>#REF!</v>
      </c>
      <c r="R130" s="18"/>
      <c r="S130" s="7" t="e">
        <f>IF(Table24[[#This Row],[A Counter]]=1,"AI"&amp;#REF!+SUM($N$35:N130),IF(Table24[[#This Row],[B Counter]]=1,"BI"&amp;#REF!+SUM($O$35:O130),""))</f>
        <v>#REF!</v>
      </c>
      <c r="T130" s="26" t="s">
        <v>34</v>
      </c>
      <c r="U130" s="7"/>
    </row>
    <row r="131" spans="1:21" x14ac:dyDescent="0.25">
      <c r="A131">
        <f t="shared" si="5"/>
        <v>122</v>
      </c>
      <c r="B131" s="93" t="str">
        <f>IFERROR(RIGHT(Table24[[#This Row],[Controller Input '#]],3)*1,"")</f>
        <v/>
      </c>
      <c r="C131" s="99"/>
      <c r="D131" s="1"/>
      <c r="E131" s="23" t="s">
        <v>263</v>
      </c>
      <c r="F131" s="23" t="s">
        <v>264</v>
      </c>
      <c r="G131" s="23"/>
      <c r="H131" s="27"/>
      <c r="I131" s="23" t="s">
        <v>70</v>
      </c>
      <c r="J131" s="23" t="s">
        <v>125</v>
      </c>
      <c r="K131" s="23" t="s">
        <v>127</v>
      </c>
      <c r="L131" s="23"/>
      <c r="M131" s="23"/>
      <c r="N131" s="18">
        <f>IF(ISNUMBER(SEARCH("ANALOG",Table24[[#This Row],[Type]]))=TRUE,1,"")</f>
        <v>1</v>
      </c>
      <c r="O131" s="18" t="str">
        <f>IF(ISNUMBER(SEARCH("BINARY",Table24[[#This Row],[Type]]))=TRUE,1,"")</f>
        <v/>
      </c>
      <c r="P131" s="7" t="e">
        <f>IF(Table24[[#This Row],[Type]]="","",LEFT(Table24[[#This Row],[Type]],1)&amp;LEFT(#REF!,1))</f>
        <v>#REF!</v>
      </c>
      <c r="Q131" s="18" t="e">
        <f>IF(Table24[[#This Row],[Type]]="","",LEFT(Table24[[#This Row],[Type]],1)&amp;LEFT(#REF!,1))</f>
        <v>#REF!</v>
      </c>
      <c r="R131" s="18"/>
      <c r="S131" s="7" t="e">
        <f>IF(Table24[[#This Row],[A Counter]]=1,"AI"&amp;#REF!+SUM($N$35:N131),IF(Table24[[#This Row],[B Counter]]=1,"BI"&amp;#REF!+SUM($O$35:O131),""))</f>
        <v>#REF!</v>
      </c>
      <c r="T131" s="28" t="s">
        <v>34</v>
      </c>
      <c r="U131" s="7"/>
    </row>
    <row r="132" spans="1:21" x14ac:dyDescent="0.25">
      <c r="A132">
        <f t="shared" si="5"/>
        <v>123</v>
      </c>
      <c r="B132" s="93" t="str">
        <f>IFERROR(RIGHT(Table24[[#This Row],[Controller Input '#]],3)*1,"")</f>
        <v/>
      </c>
      <c r="C132" s="99"/>
      <c r="D132" s="1"/>
      <c r="E132" s="11" t="s">
        <v>265</v>
      </c>
      <c r="F132" s="11" t="s">
        <v>266</v>
      </c>
      <c r="G132" s="11"/>
      <c r="H132" s="21"/>
      <c r="I132" s="11" t="s">
        <v>70</v>
      </c>
      <c r="J132" s="11" t="s">
        <v>125</v>
      </c>
      <c r="K132" s="11" t="s">
        <v>119</v>
      </c>
      <c r="L132" s="11"/>
      <c r="M132" s="11"/>
      <c r="N132" s="18">
        <f>IF(ISNUMBER(SEARCH("ANALOG",Table24[[#This Row],[Type]]))=TRUE,1,"")</f>
        <v>1</v>
      </c>
      <c r="O132" s="18" t="str">
        <f>IF(ISNUMBER(SEARCH("BINARY",Table24[[#This Row],[Type]]))=TRUE,1,"")</f>
        <v/>
      </c>
      <c r="P132" s="7" t="e">
        <f>IF(Table24[[#This Row],[Type]]="","",LEFT(Table24[[#This Row],[Type]],1)&amp;LEFT(#REF!,1))</f>
        <v>#REF!</v>
      </c>
      <c r="Q132" s="18" t="e">
        <f>IF(Table24[[#This Row],[Type]]="","",LEFT(Table24[[#This Row],[Type]],1)&amp;LEFT(#REF!,1))</f>
        <v>#REF!</v>
      </c>
      <c r="R132" s="18"/>
      <c r="S132" s="7" t="e">
        <f>IF(Table24[[#This Row],[A Counter]]=1,"AI"&amp;#REF!+SUM($N$35:N132),IF(Table24[[#This Row],[B Counter]]=1,"BI"&amp;#REF!+SUM($O$35:O132),""))</f>
        <v>#REF!</v>
      </c>
      <c r="T132" s="26" t="s">
        <v>34</v>
      </c>
      <c r="U132" s="7"/>
    </row>
    <row r="133" spans="1:21" x14ac:dyDescent="0.25">
      <c r="A133">
        <f t="shared" si="5"/>
        <v>124</v>
      </c>
      <c r="B133" s="93" t="str">
        <f>IFERROR(RIGHT(Table24[[#This Row],[Controller Input '#]],3)*1,"")</f>
        <v/>
      </c>
      <c r="C133" s="99"/>
      <c r="D133" s="1"/>
      <c r="E133" s="1"/>
      <c r="F133" s="1"/>
      <c r="G133" s="1"/>
      <c r="H133" s="8"/>
      <c r="I133" s="1"/>
      <c r="J133" s="1"/>
      <c r="K133" s="1"/>
      <c r="L133" s="1"/>
      <c r="M133" s="1"/>
      <c r="N133" s="1"/>
      <c r="O133" s="1"/>
      <c r="Q133" s="1"/>
      <c r="R133" s="1"/>
      <c r="S133" s="7"/>
      <c r="T133" s="1"/>
    </row>
    <row r="134" spans="1:21" x14ac:dyDescent="0.25">
      <c r="A134">
        <f t="shared" si="5"/>
        <v>125</v>
      </c>
      <c r="B134" s="93" t="str">
        <f>IFERROR(RIGHT(Table24[[#This Row],[Controller Input '#]],3)*1,"")</f>
        <v/>
      </c>
      <c r="C134" s="98"/>
      <c r="D134" s="1"/>
      <c r="E134" s="1" t="s">
        <v>269</v>
      </c>
      <c r="F134" s="1" t="s">
        <v>270</v>
      </c>
      <c r="G134" s="1"/>
      <c r="H134" s="8"/>
      <c r="I134" s="1" t="s">
        <v>103</v>
      </c>
      <c r="J134" s="1" t="s">
        <v>125</v>
      </c>
      <c r="K134" s="1" t="s">
        <v>112</v>
      </c>
      <c r="L134" s="1"/>
      <c r="M134" s="1"/>
      <c r="N134" s="18" t="str">
        <f>IF(ISNUMBER(SEARCH("ANALOG",Table24[[#This Row],[Type]]))=TRUE,1,"")</f>
        <v/>
      </c>
      <c r="O134" s="18">
        <f>IF(ISNUMBER(SEARCH("BINARY",Table24[[#This Row],[Type]]))=TRUE,1,"")</f>
        <v>1</v>
      </c>
      <c r="P134" s="7" t="e">
        <f>IF(Table24[[#This Row],[Type]]="","",LEFT(Table24[[#This Row],[Type]],1)&amp;LEFT(#REF!,1))</f>
        <v>#REF!</v>
      </c>
      <c r="Q134" s="18" t="e">
        <f>IF(Table24[[#This Row],[Type]]="","",LEFT(Table24[[#This Row],[Type]],1)&amp;LEFT(#REF!,1))</f>
        <v>#REF!</v>
      </c>
      <c r="R134" s="18"/>
      <c r="S134" s="7" t="e">
        <f>IF(Table24[[#This Row],[A Counter]]=1,"AI"&amp;#REF!+SUM($N$35:N134),IF(Table24[[#This Row],[B Counter]]=1,"BI"&amp;#REF!+SUM($O$35:O134),""))</f>
        <v>#REF!</v>
      </c>
      <c r="T134" s="18" t="s">
        <v>34</v>
      </c>
      <c r="U134" s="7"/>
    </row>
    <row r="135" spans="1:21" x14ac:dyDescent="0.25">
      <c r="A135">
        <f t="shared" si="5"/>
        <v>126</v>
      </c>
      <c r="B135" s="93" t="str">
        <f>IFERROR(RIGHT(Table24[[#This Row],[Controller Input '#]],3)*1,"")</f>
        <v/>
      </c>
      <c r="C135" s="98"/>
      <c r="D135" s="1"/>
      <c r="E135" s="1" t="s">
        <v>271</v>
      </c>
      <c r="F135" s="1" t="s">
        <v>272</v>
      </c>
      <c r="G135" s="1"/>
      <c r="H135" s="8"/>
      <c r="I135" s="1" t="s">
        <v>70</v>
      </c>
      <c r="J135" s="1" t="s">
        <v>125</v>
      </c>
      <c r="K135" s="1" t="s">
        <v>80</v>
      </c>
      <c r="L135" s="1"/>
      <c r="M135" s="1"/>
      <c r="N135" s="18">
        <f>IF(ISNUMBER(SEARCH("ANALOG",Table24[[#This Row],[Type]]))=TRUE,1,"")</f>
        <v>1</v>
      </c>
      <c r="O135" s="18" t="str">
        <f>IF(ISNUMBER(SEARCH("BINARY",Table24[[#This Row],[Type]]))=TRUE,1,"")</f>
        <v/>
      </c>
      <c r="P135" s="7" t="e">
        <f>IF(Table24[[#This Row],[Type]]="","",LEFT(Table24[[#This Row],[Type]],1)&amp;LEFT(#REF!,1))</f>
        <v>#REF!</v>
      </c>
      <c r="Q135" s="18" t="e">
        <f>IF(Table24[[#This Row],[Type]]="","",LEFT(Table24[[#This Row],[Type]],1)&amp;LEFT(#REF!,1))</f>
        <v>#REF!</v>
      </c>
      <c r="R135" s="18"/>
      <c r="S135" s="7" t="e">
        <f>IF(Table24[[#This Row],[A Counter]]=1,"AI"&amp;#REF!+SUM($N$35:N135),IF(Table24[[#This Row],[B Counter]]=1,"BI"&amp;#REF!+SUM($O$35:O135),""))</f>
        <v>#REF!</v>
      </c>
      <c r="T135" s="18" t="s">
        <v>34</v>
      </c>
      <c r="U135" s="7"/>
    </row>
    <row r="136" spans="1:21" x14ac:dyDescent="0.25">
      <c r="A136">
        <f t="shared" si="5"/>
        <v>127</v>
      </c>
      <c r="B136" s="93">
        <f>IFERROR(RIGHT(Table24[[#This Row],[Controller Input '#]],3)*1,"")</f>
        <v>506</v>
      </c>
      <c r="C136" s="100" t="s">
        <v>329</v>
      </c>
      <c r="D136" s="1"/>
      <c r="E136" s="1" t="s">
        <v>273</v>
      </c>
      <c r="F136" s="1" t="s">
        <v>274</v>
      </c>
      <c r="G136" s="11"/>
      <c r="H136" s="21"/>
      <c r="I136" s="1" t="s">
        <v>70</v>
      </c>
      <c r="J136" s="1" t="s">
        <v>125</v>
      </c>
      <c r="K136" s="1" t="s">
        <v>127</v>
      </c>
      <c r="L136" s="1"/>
      <c r="M136" s="1"/>
      <c r="N136" s="18">
        <f>IF(ISNUMBER(SEARCH("ANALOG",Table24[[#This Row],[Type]]))=TRUE,1,"")</f>
        <v>1</v>
      </c>
      <c r="O136" s="18" t="str">
        <f>IF(ISNUMBER(SEARCH("BINARY",Table24[[#This Row],[Type]]))=TRUE,1,"")</f>
        <v/>
      </c>
      <c r="P136" s="7" t="e">
        <f>IF(Table24[[#This Row],[Type]]="","",LEFT(Table24[[#This Row],[Type]],1)&amp;LEFT(#REF!,1))</f>
        <v>#REF!</v>
      </c>
      <c r="Q136" s="18" t="e">
        <f>IF(Table24[[#This Row],[Type]]="","",LEFT(Table24[[#This Row],[Type]],1)&amp;LEFT(#REF!,1))</f>
        <v>#REF!</v>
      </c>
      <c r="R136" s="18"/>
      <c r="S136" s="7" t="e">
        <f>IF(Table24[[#This Row],[A Counter]]=1,"AI"&amp;#REF!+SUM($N$35:N136),IF(Table24[[#This Row],[B Counter]]=1,"BI"&amp;#REF!+SUM($O$35:O136),""))</f>
        <v>#REF!</v>
      </c>
      <c r="T136" s="18" t="s">
        <v>34</v>
      </c>
      <c r="U136" s="7"/>
    </row>
    <row r="137" spans="1:21" x14ac:dyDescent="0.25">
      <c r="A137">
        <f t="shared" si="5"/>
        <v>128</v>
      </c>
      <c r="B137" s="93" t="str">
        <f>IFERROR(RIGHT(Table24[[#This Row],[Controller Input '#]],3)*1,"")</f>
        <v/>
      </c>
      <c r="C137" s="98"/>
      <c r="D137" s="1"/>
      <c r="E137" s="1" t="s">
        <v>275</v>
      </c>
      <c r="F137" s="1" t="s">
        <v>276</v>
      </c>
      <c r="G137" s="11"/>
      <c r="H137" s="21"/>
      <c r="I137" s="1" t="s">
        <v>70</v>
      </c>
      <c r="J137" s="1" t="s">
        <v>125</v>
      </c>
      <c r="K137" s="1" t="s">
        <v>119</v>
      </c>
      <c r="L137" s="1"/>
      <c r="M137" s="1"/>
      <c r="N137" s="18">
        <f>IF(ISNUMBER(SEARCH("ANALOG",Table24[[#This Row],[Type]]))=TRUE,1,"")</f>
        <v>1</v>
      </c>
      <c r="O137" s="18" t="str">
        <f>IF(ISNUMBER(SEARCH("BINARY",Table24[[#This Row],[Type]]))=TRUE,1,"")</f>
        <v/>
      </c>
      <c r="P137" s="7" t="e">
        <f>IF(Table24[[#This Row],[Type]]="","",LEFT(Table24[[#This Row],[Type]],1)&amp;LEFT(#REF!,1))</f>
        <v>#REF!</v>
      </c>
      <c r="Q137" s="18" t="e">
        <f>IF(Table24[[#This Row],[Type]]="","",LEFT(Table24[[#This Row],[Type]],1)&amp;LEFT(#REF!,1))</f>
        <v>#REF!</v>
      </c>
      <c r="R137" s="18"/>
      <c r="S137" s="7" t="e">
        <f>IF(Table24[[#This Row],[A Counter]]=1,"AI"&amp;#REF!+SUM($N$35:N137),IF(Table24[[#This Row],[B Counter]]=1,"BI"&amp;#REF!+SUM($O$35:O137),""))</f>
        <v>#REF!</v>
      </c>
      <c r="T137" s="18" t="s">
        <v>34</v>
      </c>
      <c r="U137" s="7"/>
    </row>
    <row r="138" spans="1:21" x14ac:dyDescent="0.25">
      <c r="A138">
        <f t="shared" si="5"/>
        <v>129</v>
      </c>
      <c r="B138" s="93" t="str">
        <f>IFERROR(RIGHT(Table24[[#This Row],[Controller Input '#]],3)*1,"")</f>
        <v/>
      </c>
      <c r="C138" s="99"/>
      <c r="D138" s="1"/>
      <c r="E138" s="1"/>
      <c r="F138" s="1"/>
      <c r="G138" s="1"/>
      <c r="H138" s="8"/>
      <c r="I138" s="1"/>
      <c r="J138" s="1"/>
      <c r="K138" s="1"/>
      <c r="L138" s="1"/>
      <c r="M138" s="1"/>
      <c r="N138" s="1"/>
      <c r="O138" s="1"/>
      <c r="Q138" s="1"/>
      <c r="R138" s="1"/>
      <c r="S138" s="7"/>
      <c r="T138" s="1"/>
    </row>
    <row r="139" spans="1:21" x14ac:dyDescent="0.25">
      <c r="A139">
        <f t="shared" si="5"/>
        <v>130</v>
      </c>
      <c r="B139" s="93" t="str">
        <f>IFERROR(RIGHT(Table24[[#This Row],[Controller Input '#]],3)*1,"")</f>
        <v/>
      </c>
      <c r="C139" s="98"/>
      <c r="D139" s="1"/>
      <c r="E139" s="1" t="s">
        <v>279</v>
      </c>
      <c r="F139" s="1" t="s">
        <v>280</v>
      </c>
      <c r="G139" s="11"/>
      <c r="H139" s="21"/>
      <c r="I139" s="1" t="s">
        <v>103</v>
      </c>
      <c r="J139" s="1" t="s">
        <v>125</v>
      </c>
      <c r="K139" s="1" t="s">
        <v>112</v>
      </c>
      <c r="L139" s="1"/>
      <c r="M139" s="1"/>
      <c r="N139" s="18" t="str">
        <f>IF(ISNUMBER(SEARCH("ANALOG",Table24[[#This Row],[Type]]))=TRUE,1,"")</f>
        <v/>
      </c>
      <c r="O139" s="18">
        <f>IF(ISNUMBER(SEARCH("BINARY",Table24[[#This Row],[Type]]))=TRUE,1,"")</f>
        <v>1</v>
      </c>
      <c r="P139" s="7" t="e">
        <f>IF(Table24[[#This Row],[Type]]="","",LEFT(Table24[[#This Row],[Type]],1)&amp;LEFT(#REF!,1))</f>
        <v>#REF!</v>
      </c>
      <c r="Q139" s="18" t="e">
        <f>IF(Table24[[#This Row],[Type]]="","",LEFT(Table24[[#This Row],[Type]],1)&amp;LEFT(#REF!,1))</f>
        <v>#REF!</v>
      </c>
      <c r="R139" s="18"/>
      <c r="S139" s="7" t="e">
        <f>IF(Table24[[#This Row],[A Counter]]=1,"AI"&amp;#REF!+SUM($N$35:N139),IF(Table24[[#This Row],[B Counter]]=1,"BI"&amp;#REF!+SUM($O$35:O139),""))</f>
        <v>#REF!</v>
      </c>
      <c r="T139" s="18" t="s">
        <v>34</v>
      </c>
      <c r="U139" s="7"/>
    </row>
    <row r="140" spans="1:21" x14ac:dyDescent="0.25">
      <c r="A140">
        <f t="shared" si="5"/>
        <v>131</v>
      </c>
      <c r="B140" s="93">
        <f>IFERROR(RIGHT(Table24[[#This Row],[Controller Input '#]],3)*1,"")</f>
        <v>602</v>
      </c>
      <c r="C140" s="100" t="s">
        <v>336</v>
      </c>
      <c r="D140" s="1"/>
      <c r="E140" s="1" t="s">
        <v>281</v>
      </c>
      <c r="F140" s="1" t="s">
        <v>282</v>
      </c>
      <c r="G140" s="1"/>
      <c r="H140" s="8"/>
      <c r="I140" s="1" t="s">
        <v>70</v>
      </c>
      <c r="J140" s="1" t="s">
        <v>125</v>
      </c>
      <c r="K140" s="1" t="s">
        <v>80</v>
      </c>
      <c r="L140" s="1"/>
      <c r="M140" s="1"/>
      <c r="N140" s="18">
        <f>IF(ISNUMBER(SEARCH("ANALOG",Table24[[#This Row],[Type]]))=TRUE,1,"")</f>
        <v>1</v>
      </c>
      <c r="O140" s="18" t="str">
        <f>IF(ISNUMBER(SEARCH("BINARY",Table24[[#This Row],[Type]]))=TRUE,1,"")</f>
        <v/>
      </c>
      <c r="P140" s="7" t="e">
        <f>IF(Table24[[#This Row],[Type]]="","",LEFT(Table24[[#This Row],[Type]],1)&amp;LEFT(#REF!,1))</f>
        <v>#REF!</v>
      </c>
      <c r="Q140" s="18" t="e">
        <f>IF(Table24[[#This Row],[Type]]="","",LEFT(Table24[[#This Row],[Type]],1)&amp;LEFT(#REF!,1))</f>
        <v>#REF!</v>
      </c>
      <c r="R140" s="18"/>
      <c r="S140" s="7" t="e">
        <f>IF(Table24[[#This Row],[A Counter]]=1,"AI"&amp;#REF!+SUM($N$35:N140),IF(Table24[[#This Row],[B Counter]]=1,"BI"&amp;#REF!+SUM($O$35:O140),""))</f>
        <v>#REF!</v>
      </c>
      <c r="T140" s="18" t="s">
        <v>34</v>
      </c>
      <c r="U140" s="7"/>
    </row>
    <row r="141" spans="1:21" x14ac:dyDescent="0.25">
      <c r="A141">
        <f t="shared" si="5"/>
        <v>132</v>
      </c>
      <c r="B141" s="93" t="str">
        <f>IFERROR(RIGHT(Table24[[#This Row],[Controller Input '#]],3)*1,"")</f>
        <v/>
      </c>
      <c r="C141" s="98"/>
      <c r="D141" s="1"/>
      <c r="E141" s="1" t="s">
        <v>283</v>
      </c>
      <c r="F141" s="1" t="s">
        <v>284</v>
      </c>
      <c r="G141" s="1"/>
      <c r="H141" s="8"/>
      <c r="I141" s="1" t="s">
        <v>70</v>
      </c>
      <c r="J141" s="1" t="s">
        <v>125</v>
      </c>
      <c r="K141" s="1" t="s">
        <v>127</v>
      </c>
      <c r="L141" s="1"/>
      <c r="M141" s="1"/>
      <c r="N141" s="18">
        <f>IF(ISNUMBER(SEARCH("ANALOG",Table24[[#This Row],[Type]]))=TRUE,1,"")</f>
        <v>1</v>
      </c>
      <c r="O141" s="18" t="str">
        <f>IF(ISNUMBER(SEARCH("BINARY",Table24[[#This Row],[Type]]))=TRUE,1,"")</f>
        <v/>
      </c>
      <c r="P141" s="7" t="e">
        <f>IF(Table24[[#This Row],[Type]]="","",LEFT(Table24[[#This Row],[Type]],1)&amp;LEFT(#REF!,1))</f>
        <v>#REF!</v>
      </c>
      <c r="Q141" s="18" t="e">
        <f>IF(Table24[[#This Row],[Type]]="","",LEFT(Table24[[#This Row],[Type]],1)&amp;LEFT(#REF!,1))</f>
        <v>#REF!</v>
      </c>
      <c r="R141" s="18"/>
      <c r="S141" s="7" t="e">
        <f>IF(Table24[[#This Row],[A Counter]]=1,"AI"&amp;#REF!+SUM($N$35:N141),IF(Table24[[#This Row],[B Counter]]=1,"BI"&amp;#REF!+SUM($O$35:O141),""))</f>
        <v>#REF!</v>
      </c>
      <c r="T141" s="18" t="s">
        <v>34</v>
      </c>
      <c r="U141" s="7"/>
    </row>
    <row r="142" spans="1:21" x14ac:dyDescent="0.25">
      <c r="A142">
        <f t="shared" ref="A142:A205" si="6">A141+1</f>
        <v>133</v>
      </c>
      <c r="B142" s="93" t="str">
        <f>IFERROR(RIGHT(Table24[[#This Row],[Controller Input '#]],3)*1,"")</f>
        <v/>
      </c>
      <c r="C142" s="98"/>
      <c r="D142" s="1"/>
      <c r="E142" s="1" t="s">
        <v>285</v>
      </c>
      <c r="F142" s="1" t="s">
        <v>286</v>
      </c>
      <c r="G142" s="1"/>
      <c r="H142" s="8"/>
      <c r="I142" s="1" t="s">
        <v>70</v>
      </c>
      <c r="J142" s="1" t="s">
        <v>125</v>
      </c>
      <c r="K142" s="1" t="s">
        <v>119</v>
      </c>
      <c r="L142" s="1"/>
      <c r="M142" s="1"/>
      <c r="N142" s="18">
        <f>IF(ISNUMBER(SEARCH("ANALOG",Table24[[#This Row],[Type]]))=TRUE,1,"")</f>
        <v>1</v>
      </c>
      <c r="O142" s="18" t="str">
        <f>IF(ISNUMBER(SEARCH("BINARY",Table24[[#This Row],[Type]]))=TRUE,1,"")</f>
        <v/>
      </c>
      <c r="P142" s="7" t="e">
        <f>IF(Table24[[#This Row],[Type]]="","",LEFT(Table24[[#This Row],[Type]],1)&amp;LEFT(#REF!,1))</f>
        <v>#REF!</v>
      </c>
      <c r="Q142" s="18" t="e">
        <f>IF(Table24[[#This Row],[Type]]="","",LEFT(Table24[[#This Row],[Type]],1)&amp;LEFT(#REF!,1))</f>
        <v>#REF!</v>
      </c>
      <c r="R142" s="18"/>
      <c r="S142" s="7" t="e">
        <f>IF(Table24[[#This Row],[A Counter]]=1,"AI"&amp;#REF!+SUM($N$35:N142),IF(Table24[[#This Row],[B Counter]]=1,"BI"&amp;#REF!+SUM($O$35:O142),""))</f>
        <v>#REF!</v>
      </c>
      <c r="T142" s="18" t="s">
        <v>34</v>
      </c>
      <c r="U142" s="7"/>
    </row>
    <row r="143" spans="1:21" x14ac:dyDescent="0.25">
      <c r="A143">
        <f t="shared" si="6"/>
        <v>134</v>
      </c>
      <c r="B143" s="93" t="str">
        <f>IFERROR(RIGHT(Table24[[#This Row],[Controller Input '#]],3)*1,"")</f>
        <v/>
      </c>
      <c r="C143" s="99"/>
      <c r="D143" s="1"/>
      <c r="E143" s="11" t="s">
        <v>287</v>
      </c>
      <c r="F143" s="11" t="s">
        <v>288</v>
      </c>
      <c r="G143" s="11"/>
      <c r="H143" s="21"/>
      <c r="I143" s="11" t="s">
        <v>70</v>
      </c>
      <c r="J143" s="11" t="s">
        <v>125</v>
      </c>
      <c r="K143" s="11" t="s">
        <v>80</v>
      </c>
      <c r="L143" s="11" t="s">
        <v>81</v>
      </c>
      <c r="M143" s="1"/>
      <c r="N143" s="18">
        <f>IF(ISNUMBER(SEARCH("ANALOG",Table24[[#This Row],[Type]]))=TRUE,1,"")</f>
        <v>1</v>
      </c>
      <c r="O143" s="18" t="str">
        <f>IF(ISNUMBER(SEARCH("BINARY",Table24[[#This Row],[Type]]))=TRUE,1,"")</f>
        <v/>
      </c>
      <c r="P143" s="7" t="e">
        <f>IF(Table24[[#This Row],[Type]]="","",LEFT(Table24[[#This Row],[Type]],1)&amp;LEFT(#REF!,1))</f>
        <v>#REF!</v>
      </c>
      <c r="Q143" s="18" t="e">
        <f>IF(Table24[[#This Row],[Type]]="","",LEFT(Table24[[#This Row],[Type]],1)&amp;LEFT(#REF!,1))</f>
        <v>#REF!</v>
      </c>
      <c r="R143" s="18"/>
      <c r="S143" s="7" t="e">
        <f>IF(Table24[[#This Row],[A Counter]]=1,"AI"&amp;#REF!+SUM($N$35:N143),IF(Table24[[#This Row],[B Counter]]=1,"BI"&amp;#REF!+SUM($O$35:O143),""))</f>
        <v>#REF!</v>
      </c>
      <c r="T143" s="18" t="s">
        <v>34</v>
      </c>
      <c r="U143" s="7"/>
    </row>
    <row r="144" spans="1:21" x14ac:dyDescent="0.25">
      <c r="A144">
        <f t="shared" si="6"/>
        <v>135</v>
      </c>
      <c r="B144" s="93" t="str">
        <f>IFERROR(RIGHT(Table24[[#This Row],[Controller Input '#]],3)*1,"")</f>
        <v/>
      </c>
      <c r="C144" s="99"/>
      <c r="D144" s="1"/>
      <c r="E144" s="11" t="s">
        <v>289</v>
      </c>
      <c r="F144" s="11" t="s">
        <v>290</v>
      </c>
      <c r="G144" s="11"/>
      <c r="H144" s="21"/>
      <c r="I144" s="11" t="s">
        <v>103</v>
      </c>
      <c r="J144" s="11" t="s">
        <v>125</v>
      </c>
      <c r="K144" s="11" t="s">
        <v>112</v>
      </c>
      <c r="L144" s="11"/>
      <c r="M144" s="1"/>
      <c r="N144" s="18" t="str">
        <f>IF(ISNUMBER(SEARCH("ANALOG",Table24[[#This Row],[Type]]))=TRUE,1,"")</f>
        <v/>
      </c>
      <c r="O144" s="18">
        <f>IF(ISNUMBER(SEARCH("BINARY",Table24[[#This Row],[Type]]))=TRUE,1,"")</f>
        <v>1</v>
      </c>
      <c r="P144" s="7" t="e">
        <f>IF(Table24[[#This Row],[Type]]="","",LEFT(Table24[[#This Row],[Type]],1)&amp;LEFT(#REF!,1))</f>
        <v>#REF!</v>
      </c>
      <c r="Q144" s="18" t="e">
        <f>IF(Table24[[#This Row],[Type]]="","",LEFT(Table24[[#This Row],[Type]],1)&amp;LEFT(#REF!,1))</f>
        <v>#REF!</v>
      </c>
      <c r="R144" s="18"/>
      <c r="S144" s="7" t="e">
        <f>IF(Table24[[#This Row],[A Counter]]=1,"AI"&amp;#REF!+SUM($N$35:N144),IF(Table24[[#This Row],[B Counter]]=1,"BI"&amp;#REF!+SUM($O$35:O144),""))</f>
        <v>#REF!</v>
      </c>
      <c r="T144" s="18" t="s">
        <v>34</v>
      </c>
      <c r="U144" s="7"/>
    </row>
    <row r="145" spans="1:21" x14ac:dyDescent="0.25">
      <c r="A145">
        <f t="shared" si="6"/>
        <v>136</v>
      </c>
      <c r="B145" s="93" t="str">
        <f>IFERROR(RIGHT(Table24[[#This Row],[Controller Input '#]],3)*1,"")</f>
        <v/>
      </c>
      <c r="C145" s="99"/>
      <c r="D145" s="1"/>
      <c r="E145" s="11" t="s">
        <v>291</v>
      </c>
      <c r="F145" s="11" t="s">
        <v>292</v>
      </c>
      <c r="G145" s="11"/>
      <c r="H145" s="21"/>
      <c r="I145" s="11" t="s">
        <v>70</v>
      </c>
      <c r="J145" s="11" t="s">
        <v>125</v>
      </c>
      <c r="K145" s="11" t="s">
        <v>80</v>
      </c>
      <c r="L145" s="11" t="s">
        <v>81</v>
      </c>
      <c r="M145" s="1"/>
      <c r="N145" s="18">
        <f>IF(ISNUMBER(SEARCH("ANALOG",Table24[[#This Row],[Type]]))=TRUE,1,"")</f>
        <v>1</v>
      </c>
      <c r="O145" s="18" t="str">
        <f>IF(ISNUMBER(SEARCH("BINARY",Table24[[#This Row],[Type]]))=TRUE,1,"")</f>
        <v/>
      </c>
      <c r="P145" s="7" t="e">
        <f>IF(Table24[[#This Row],[Type]]="","",LEFT(Table24[[#This Row],[Type]],1)&amp;LEFT(#REF!,1))</f>
        <v>#REF!</v>
      </c>
      <c r="Q145" s="18" t="e">
        <f>IF(Table24[[#This Row],[Type]]="","",LEFT(Table24[[#This Row],[Type]],1)&amp;LEFT(#REF!,1))</f>
        <v>#REF!</v>
      </c>
      <c r="R145" s="18"/>
      <c r="S145" s="7" t="e">
        <f>IF(Table24[[#This Row],[A Counter]]=1,"AI"&amp;#REF!+SUM($N$35:N145),IF(Table24[[#This Row],[B Counter]]=1,"BI"&amp;#REF!+SUM($O$35:O145),""))</f>
        <v>#REF!</v>
      </c>
      <c r="T145" s="18" t="s">
        <v>34</v>
      </c>
      <c r="U145" s="7"/>
    </row>
    <row r="146" spans="1:21" x14ac:dyDescent="0.25">
      <c r="A146">
        <f t="shared" si="6"/>
        <v>137</v>
      </c>
      <c r="B146" s="93" t="str">
        <f>IFERROR(RIGHT(Table24[[#This Row],[Controller Input '#]],3)*1,"")</f>
        <v/>
      </c>
      <c r="C146" s="99"/>
      <c r="D146" s="1"/>
      <c r="E146" s="11" t="s">
        <v>293</v>
      </c>
      <c r="F146" s="11" t="s">
        <v>294</v>
      </c>
      <c r="G146" s="11"/>
      <c r="H146" s="21"/>
      <c r="I146" s="11" t="s">
        <v>103</v>
      </c>
      <c r="J146" s="11" t="s">
        <v>125</v>
      </c>
      <c r="K146" s="11" t="s">
        <v>112</v>
      </c>
      <c r="L146" s="11"/>
      <c r="M146" s="1"/>
      <c r="N146" s="18" t="str">
        <f>IF(ISNUMBER(SEARCH("ANALOG",Table24[[#This Row],[Type]]))=TRUE,1,"")</f>
        <v/>
      </c>
      <c r="O146" s="18">
        <f>IF(ISNUMBER(SEARCH("BINARY",Table24[[#This Row],[Type]]))=TRUE,1,"")</f>
        <v>1</v>
      </c>
      <c r="P146" s="7" t="e">
        <f>IF(Table24[[#This Row],[Type]]="","",LEFT(Table24[[#This Row],[Type]],1)&amp;LEFT(#REF!,1))</f>
        <v>#REF!</v>
      </c>
      <c r="Q146" s="18" t="e">
        <f>IF(Table24[[#This Row],[Type]]="","",LEFT(Table24[[#This Row],[Type]],1)&amp;LEFT(#REF!,1))</f>
        <v>#REF!</v>
      </c>
      <c r="R146" s="18"/>
      <c r="S146" s="7" t="e">
        <f>IF(Table24[[#This Row],[A Counter]]=1,"AI"&amp;#REF!+SUM($N$35:N146),IF(Table24[[#This Row],[B Counter]]=1,"BI"&amp;#REF!+SUM($O$35:O146),""))</f>
        <v>#REF!</v>
      </c>
      <c r="T146" s="18" t="s">
        <v>34</v>
      </c>
      <c r="U146" s="7"/>
    </row>
    <row r="147" spans="1:21" x14ac:dyDescent="0.25">
      <c r="A147">
        <f t="shared" si="6"/>
        <v>138</v>
      </c>
      <c r="B147" s="93" t="str">
        <f>IFERROR(RIGHT(Table24[[#This Row],[Controller Input '#]],3)*1,"")</f>
        <v/>
      </c>
      <c r="C147" s="99"/>
      <c r="D147" s="1"/>
      <c r="E147" s="11" t="s">
        <v>295</v>
      </c>
      <c r="F147" s="11" t="s">
        <v>296</v>
      </c>
      <c r="G147" s="11"/>
      <c r="H147" s="21"/>
      <c r="I147" s="11" t="s">
        <v>70</v>
      </c>
      <c r="J147" s="11" t="s">
        <v>125</v>
      </c>
      <c r="K147" s="11" t="s">
        <v>80</v>
      </c>
      <c r="L147" s="11" t="s">
        <v>81</v>
      </c>
      <c r="M147" s="1"/>
      <c r="N147" s="18">
        <f>IF(ISNUMBER(SEARCH("ANALOG",Table24[[#This Row],[Type]]))=TRUE,1,"")</f>
        <v>1</v>
      </c>
      <c r="O147" s="18" t="str">
        <f>IF(ISNUMBER(SEARCH("BINARY",Table24[[#This Row],[Type]]))=TRUE,1,"")</f>
        <v/>
      </c>
      <c r="P147" s="7" t="e">
        <f>IF(Table24[[#This Row],[Type]]="","",LEFT(Table24[[#This Row],[Type]],1)&amp;LEFT(#REF!,1))</f>
        <v>#REF!</v>
      </c>
      <c r="Q147" s="18" t="e">
        <f>IF(Table24[[#This Row],[Type]]="","",LEFT(Table24[[#This Row],[Type]],1)&amp;LEFT(#REF!,1))</f>
        <v>#REF!</v>
      </c>
      <c r="R147" s="18"/>
      <c r="S147" s="7" t="e">
        <f>IF(Table24[[#This Row],[A Counter]]=1,"AI"&amp;#REF!+SUM($N$35:N147),IF(Table24[[#This Row],[B Counter]]=1,"BI"&amp;#REF!+SUM($O$35:O147),""))</f>
        <v>#REF!</v>
      </c>
      <c r="T147" s="18" t="s">
        <v>34</v>
      </c>
      <c r="U147" s="7"/>
    </row>
    <row r="148" spans="1:21" x14ac:dyDescent="0.25">
      <c r="A148">
        <f t="shared" si="6"/>
        <v>139</v>
      </c>
      <c r="B148" s="93" t="str">
        <f>IFERROR(RIGHT(Table24[[#This Row],[Controller Input '#]],3)*1,"")</f>
        <v/>
      </c>
      <c r="C148" s="99"/>
      <c r="D148" s="1"/>
      <c r="E148" s="11" t="s">
        <v>297</v>
      </c>
      <c r="F148" s="11" t="s">
        <v>298</v>
      </c>
      <c r="G148" s="11"/>
      <c r="H148" s="21"/>
      <c r="I148" s="11" t="s">
        <v>103</v>
      </c>
      <c r="J148" s="11" t="s">
        <v>125</v>
      </c>
      <c r="K148" s="11" t="s">
        <v>112</v>
      </c>
      <c r="L148" s="11"/>
      <c r="M148" s="1"/>
      <c r="N148" s="18" t="str">
        <f>IF(ISNUMBER(SEARCH("ANALOG",Table24[[#This Row],[Type]]))=TRUE,1,"")</f>
        <v/>
      </c>
      <c r="O148" s="18">
        <f>IF(ISNUMBER(SEARCH("BINARY",Table24[[#This Row],[Type]]))=TRUE,1,"")</f>
        <v>1</v>
      </c>
      <c r="P148" s="7" t="e">
        <f>IF(Table24[[#This Row],[Type]]="","",LEFT(Table24[[#This Row],[Type]],1)&amp;LEFT(#REF!,1))</f>
        <v>#REF!</v>
      </c>
      <c r="Q148" s="18" t="e">
        <f>IF(Table24[[#This Row],[Type]]="","",LEFT(Table24[[#This Row],[Type]],1)&amp;LEFT(#REF!,1))</f>
        <v>#REF!</v>
      </c>
      <c r="R148" s="18"/>
      <c r="S148" s="7" t="e">
        <f>IF(Table24[[#This Row],[A Counter]]=1,"AI"&amp;#REF!+SUM($N$35:N148),IF(Table24[[#This Row],[B Counter]]=1,"BI"&amp;#REF!+SUM($O$35:O148),""))</f>
        <v>#REF!</v>
      </c>
      <c r="T148" s="18"/>
      <c r="U148" s="7"/>
    </row>
    <row r="149" spans="1:21" x14ac:dyDescent="0.25">
      <c r="A149">
        <f t="shared" si="6"/>
        <v>140</v>
      </c>
      <c r="B149" s="93" t="str">
        <f>IFERROR(RIGHT(Table24[[#This Row],[Controller Input '#]],3)*1,"")</f>
        <v/>
      </c>
      <c r="C149" s="99"/>
      <c r="D149" s="1"/>
      <c r="E149" s="11" t="s">
        <v>299</v>
      </c>
      <c r="F149" s="11" t="s">
        <v>300</v>
      </c>
      <c r="G149" s="11"/>
      <c r="H149" s="21"/>
      <c r="I149" s="11" t="s">
        <v>70</v>
      </c>
      <c r="J149" s="11" t="s">
        <v>125</v>
      </c>
      <c r="K149" s="11" t="s">
        <v>80</v>
      </c>
      <c r="L149" s="11" t="s">
        <v>81</v>
      </c>
      <c r="M149" s="1"/>
      <c r="N149" s="18">
        <f>IF(ISNUMBER(SEARCH("ANALOG",Table24[[#This Row],[Type]]))=TRUE,1,"")</f>
        <v>1</v>
      </c>
      <c r="O149" s="18" t="str">
        <f>IF(ISNUMBER(SEARCH("BINARY",Table24[[#This Row],[Type]]))=TRUE,1,"")</f>
        <v/>
      </c>
      <c r="P149" s="7" t="e">
        <f>IF(Table24[[#This Row],[Type]]="","",LEFT(Table24[[#This Row],[Type]],1)&amp;LEFT(#REF!,1))</f>
        <v>#REF!</v>
      </c>
      <c r="Q149" s="18" t="e">
        <f>IF(Table24[[#This Row],[Type]]="","",LEFT(Table24[[#This Row],[Type]],1)&amp;LEFT(#REF!,1))</f>
        <v>#REF!</v>
      </c>
      <c r="R149" s="18"/>
      <c r="S149" s="7" t="e">
        <f>IF(Table24[[#This Row],[A Counter]]=1,"AI"&amp;#REF!+SUM($N$35:N149),IF(Table24[[#This Row],[B Counter]]=1,"BI"&amp;#REF!+SUM($O$35:O149),""))</f>
        <v>#REF!</v>
      </c>
      <c r="T149" s="18"/>
      <c r="U149" s="7"/>
    </row>
    <row r="150" spans="1:21" x14ac:dyDescent="0.25">
      <c r="A150">
        <f t="shared" si="6"/>
        <v>141</v>
      </c>
      <c r="B150" s="93" t="str">
        <f>IFERROR(RIGHT(Table24[[#This Row],[Controller Input '#]],3)*1,"")</f>
        <v/>
      </c>
      <c r="C150" s="99"/>
      <c r="D150" s="1"/>
      <c r="E150" s="11" t="s">
        <v>301</v>
      </c>
      <c r="F150" s="11" t="s">
        <v>302</v>
      </c>
      <c r="G150" s="11"/>
      <c r="H150" s="21"/>
      <c r="I150" s="11" t="s">
        <v>103</v>
      </c>
      <c r="J150" s="11" t="s">
        <v>125</v>
      </c>
      <c r="K150" s="11" t="s">
        <v>112</v>
      </c>
      <c r="L150" s="11"/>
      <c r="M150" s="1"/>
      <c r="N150" s="18" t="str">
        <f>IF(ISNUMBER(SEARCH("ANALOG",Table24[[#This Row],[Type]]))=TRUE,1,"")</f>
        <v/>
      </c>
      <c r="O150" s="18">
        <f>IF(ISNUMBER(SEARCH("BINARY",Table24[[#This Row],[Type]]))=TRUE,1,"")</f>
        <v>1</v>
      </c>
      <c r="P150" s="7" t="e">
        <f>IF(Table24[[#This Row],[Type]]="","",LEFT(Table24[[#This Row],[Type]],1)&amp;LEFT(#REF!,1))</f>
        <v>#REF!</v>
      </c>
      <c r="Q150" s="18" t="e">
        <f>IF(Table24[[#This Row],[Type]]="","",LEFT(Table24[[#This Row],[Type]],1)&amp;LEFT(#REF!,1))</f>
        <v>#REF!</v>
      </c>
      <c r="R150" s="18"/>
      <c r="S150" s="7" t="e">
        <f>IF(Table24[[#This Row],[A Counter]]=1,"AI"&amp;#REF!+SUM($N$35:N150),IF(Table24[[#This Row],[B Counter]]=1,"BI"&amp;#REF!+SUM($O$35:O150),""))</f>
        <v>#REF!</v>
      </c>
      <c r="T150" s="18"/>
      <c r="U150" s="7"/>
    </row>
    <row r="151" spans="1:21" x14ac:dyDescent="0.25">
      <c r="A151">
        <f t="shared" si="6"/>
        <v>142</v>
      </c>
      <c r="B151" s="93" t="str">
        <f>IFERROR(RIGHT(Table24[[#This Row],[Controller Input '#]],3)*1,"")</f>
        <v/>
      </c>
      <c r="C151" s="98"/>
      <c r="D151" s="1"/>
      <c r="E151" s="11" t="s">
        <v>303</v>
      </c>
      <c r="F151" s="11" t="s">
        <v>304</v>
      </c>
      <c r="G151" s="11"/>
      <c r="H151" s="21"/>
      <c r="I151" s="11" t="s">
        <v>70</v>
      </c>
      <c r="J151" s="11" t="s">
        <v>125</v>
      </c>
      <c r="K151" s="11" t="s">
        <v>80</v>
      </c>
      <c r="L151" s="11" t="s">
        <v>81</v>
      </c>
      <c r="M151" s="1"/>
      <c r="N151" s="18">
        <f>IF(ISNUMBER(SEARCH("ANALOG",Table24[[#This Row],[Type]]))=TRUE,1,"")</f>
        <v>1</v>
      </c>
      <c r="O151" s="18" t="str">
        <f>IF(ISNUMBER(SEARCH("BINARY",Table24[[#This Row],[Type]]))=TRUE,1,"")</f>
        <v/>
      </c>
      <c r="P151" s="7" t="e">
        <f>IF(Table24[[#This Row],[Type]]="","",LEFT(Table24[[#This Row],[Type]],1)&amp;LEFT(#REF!,1))</f>
        <v>#REF!</v>
      </c>
      <c r="Q151" s="18" t="e">
        <f>IF(Table24[[#This Row],[Type]]="","",LEFT(Table24[[#This Row],[Type]],1)&amp;LEFT(#REF!,1))</f>
        <v>#REF!</v>
      </c>
      <c r="R151" s="18"/>
      <c r="S151" s="7" t="e">
        <f>IF(Table24[[#This Row],[A Counter]]=1,"AI"&amp;#REF!+SUM($N$35:N151),IF(Table24[[#This Row],[B Counter]]=1,"BI"&amp;#REF!+SUM($O$35:O151),""))</f>
        <v>#REF!</v>
      </c>
      <c r="T151" s="18"/>
      <c r="U151" s="7"/>
    </row>
    <row r="152" spans="1:21" x14ac:dyDescent="0.25">
      <c r="A152">
        <f t="shared" si="6"/>
        <v>143</v>
      </c>
      <c r="B152" s="93" t="str">
        <f>IFERROR(RIGHT(Table24[[#This Row],[Controller Input '#]],3)*1,"")</f>
        <v/>
      </c>
      <c r="C152" s="99"/>
      <c r="D152" s="1"/>
      <c r="E152" s="11" t="s">
        <v>305</v>
      </c>
      <c r="F152" s="11" t="s">
        <v>306</v>
      </c>
      <c r="G152" s="11"/>
      <c r="H152" s="21"/>
      <c r="I152" s="11" t="s">
        <v>103</v>
      </c>
      <c r="J152" s="11" t="s">
        <v>125</v>
      </c>
      <c r="K152" s="11" t="s">
        <v>112</v>
      </c>
      <c r="L152" s="11"/>
      <c r="M152" s="1"/>
      <c r="N152" s="18" t="str">
        <f>IF(ISNUMBER(SEARCH("ANALOG",Table24[[#This Row],[Type]]))=TRUE,1,"")</f>
        <v/>
      </c>
      <c r="O152" s="18">
        <f>IF(ISNUMBER(SEARCH("BINARY",Table24[[#This Row],[Type]]))=TRUE,1,"")</f>
        <v>1</v>
      </c>
      <c r="P152" s="7" t="e">
        <f>IF(Table24[[#This Row],[Type]]="","",LEFT(Table24[[#This Row],[Type]],1)&amp;LEFT(#REF!,1))</f>
        <v>#REF!</v>
      </c>
      <c r="Q152" s="18" t="e">
        <f>IF(Table24[[#This Row],[Type]]="","",LEFT(Table24[[#This Row],[Type]],1)&amp;LEFT(#REF!,1))</f>
        <v>#REF!</v>
      </c>
      <c r="R152" s="18"/>
      <c r="S152" s="7" t="e">
        <f>IF(Table24[[#This Row],[A Counter]]=1,"AI"&amp;#REF!+SUM($N$35:N152),IF(Table24[[#This Row],[B Counter]]=1,"BI"&amp;#REF!+SUM($O$35:O152),""))</f>
        <v>#REF!</v>
      </c>
      <c r="T152" s="18"/>
      <c r="U152" s="68"/>
    </row>
    <row r="153" spans="1:21" x14ac:dyDescent="0.25">
      <c r="A153">
        <f t="shared" si="6"/>
        <v>144</v>
      </c>
      <c r="B153" s="93" t="str">
        <f>IFERROR(RIGHT(Table24[[#This Row],[Controller Input '#]],3)*1,"")</f>
        <v/>
      </c>
      <c r="C153" s="99"/>
      <c r="D153" s="1"/>
      <c r="E153" s="11" t="s">
        <v>307</v>
      </c>
      <c r="F153" s="11" t="s">
        <v>308</v>
      </c>
      <c r="G153" s="11"/>
      <c r="H153" s="21"/>
      <c r="I153" s="11" t="s">
        <v>70</v>
      </c>
      <c r="J153" s="11" t="s">
        <v>125</v>
      </c>
      <c r="K153" s="11" t="s">
        <v>80</v>
      </c>
      <c r="L153" s="11" t="s">
        <v>81</v>
      </c>
      <c r="M153" s="1"/>
      <c r="N153" s="18">
        <f>IF(ISNUMBER(SEARCH("ANALOG",Table24[[#This Row],[Type]]))=TRUE,1,"")</f>
        <v>1</v>
      </c>
      <c r="O153" s="18" t="str">
        <f>IF(ISNUMBER(SEARCH("BINARY",Table24[[#This Row],[Type]]))=TRUE,1,"")</f>
        <v/>
      </c>
      <c r="P153" s="7" t="e">
        <f>IF(Table24[[#This Row],[Type]]="","",LEFT(Table24[[#This Row],[Type]],1)&amp;LEFT(#REF!,1))</f>
        <v>#REF!</v>
      </c>
      <c r="Q153" s="18" t="e">
        <f>IF(Table24[[#This Row],[Type]]="","",LEFT(Table24[[#This Row],[Type]],1)&amp;LEFT(#REF!,1))</f>
        <v>#REF!</v>
      </c>
      <c r="R153" s="18"/>
      <c r="S153" s="7" t="e">
        <f>IF(Table24[[#This Row],[A Counter]]=1,"AI"&amp;#REF!+SUM($N$35:N153),IF(Table24[[#This Row],[B Counter]]=1,"BI"&amp;#REF!+SUM($O$35:O153),""))</f>
        <v>#REF!</v>
      </c>
      <c r="T153" s="18"/>
      <c r="U153" s="68"/>
    </row>
    <row r="154" spans="1:21" x14ac:dyDescent="0.25">
      <c r="A154">
        <f t="shared" si="6"/>
        <v>145</v>
      </c>
      <c r="B154" s="93" t="str">
        <f>IFERROR(RIGHT(Table24[[#This Row],[Controller Input '#]],3)*1,"")</f>
        <v/>
      </c>
      <c r="C154" s="99"/>
      <c r="D154" s="1"/>
      <c r="E154" s="11" t="s">
        <v>309</v>
      </c>
      <c r="F154" s="11" t="s">
        <v>310</v>
      </c>
      <c r="G154" s="11"/>
      <c r="H154" s="21"/>
      <c r="I154" s="11" t="s">
        <v>103</v>
      </c>
      <c r="J154" s="11" t="s">
        <v>125</v>
      </c>
      <c r="K154" s="11" t="s">
        <v>112</v>
      </c>
      <c r="L154" s="11"/>
      <c r="M154" s="1"/>
      <c r="N154" s="18" t="str">
        <f>IF(ISNUMBER(SEARCH("ANALOG",Table24[[#This Row],[Type]]))=TRUE,1,"")</f>
        <v/>
      </c>
      <c r="O154" s="18">
        <f>IF(ISNUMBER(SEARCH("BINARY",Table24[[#This Row],[Type]]))=TRUE,1,"")</f>
        <v>1</v>
      </c>
      <c r="P154" s="7" t="e">
        <f>IF(Table24[[#This Row],[Type]]="","",LEFT(Table24[[#This Row],[Type]],1)&amp;LEFT(#REF!,1))</f>
        <v>#REF!</v>
      </c>
      <c r="Q154" s="18" t="e">
        <f>IF(Table24[[#This Row],[Type]]="","",LEFT(Table24[[#This Row],[Type]],1)&amp;LEFT(#REF!,1))</f>
        <v>#REF!</v>
      </c>
      <c r="R154" s="18"/>
      <c r="S154" s="7" t="e">
        <f>IF(Table24[[#This Row],[A Counter]]=1,"AI"&amp;#REF!+SUM($N$35:N154),IF(Table24[[#This Row],[B Counter]]=1,"BI"&amp;#REF!+SUM($O$35:O154),""))</f>
        <v>#REF!</v>
      </c>
      <c r="T154" s="18"/>
      <c r="U154" s="68"/>
    </row>
    <row r="155" spans="1:21" x14ac:dyDescent="0.25">
      <c r="A155">
        <f t="shared" si="6"/>
        <v>146</v>
      </c>
      <c r="B155" s="93" t="str">
        <f>IFERROR(RIGHT(Table24[[#This Row],[Controller Input '#]],3)*1,"")</f>
        <v/>
      </c>
      <c r="C155" s="99"/>
      <c r="D155" s="1"/>
      <c r="E155" s="11" t="s">
        <v>311</v>
      </c>
      <c r="F155" s="11" t="s">
        <v>312</v>
      </c>
      <c r="G155" s="11"/>
      <c r="H155" s="21"/>
      <c r="I155" s="11" t="s">
        <v>70</v>
      </c>
      <c r="J155" s="11" t="s">
        <v>125</v>
      </c>
      <c r="K155" s="11" t="s">
        <v>80</v>
      </c>
      <c r="L155" s="11" t="s">
        <v>81</v>
      </c>
      <c r="M155" s="1"/>
      <c r="N155" s="18">
        <f>IF(ISNUMBER(SEARCH("ANALOG",Table24[[#This Row],[Type]]))=TRUE,1,"")</f>
        <v>1</v>
      </c>
      <c r="O155" s="18" t="str">
        <f>IF(ISNUMBER(SEARCH("BINARY",Table24[[#This Row],[Type]]))=TRUE,1,"")</f>
        <v/>
      </c>
      <c r="P155" s="7" t="e">
        <f>IF(Table24[[#This Row],[Type]]="","",LEFT(Table24[[#This Row],[Type]],1)&amp;LEFT(#REF!,1))</f>
        <v>#REF!</v>
      </c>
      <c r="Q155" s="18" t="e">
        <f>IF(Table24[[#This Row],[Type]]="","",LEFT(Table24[[#This Row],[Type]],1)&amp;LEFT(#REF!,1))</f>
        <v>#REF!</v>
      </c>
      <c r="R155" s="18"/>
      <c r="S155" s="7" t="e">
        <f>IF(Table24[[#This Row],[A Counter]]=1,"AI"&amp;#REF!+SUM($N$35:N155),IF(Table24[[#This Row],[B Counter]]=1,"BI"&amp;#REF!+SUM($O$35:O155),""))</f>
        <v>#REF!</v>
      </c>
      <c r="T155" s="18"/>
      <c r="U155" s="69"/>
    </row>
    <row r="156" spans="1:21" x14ac:dyDescent="0.25">
      <c r="A156">
        <f t="shared" si="6"/>
        <v>147</v>
      </c>
      <c r="B156" s="93" t="str">
        <f>IFERROR(RIGHT(Table24[[#This Row],[Controller Input '#]],3)*1,"")</f>
        <v/>
      </c>
      <c r="C156" s="98"/>
      <c r="D156" s="1"/>
      <c r="E156" s="11" t="s">
        <v>313</v>
      </c>
      <c r="F156" s="11" t="s">
        <v>314</v>
      </c>
      <c r="G156" s="11"/>
      <c r="H156" s="21"/>
      <c r="I156" s="11" t="s">
        <v>103</v>
      </c>
      <c r="J156" s="11" t="s">
        <v>125</v>
      </c>
      <c r="K156" s="11" t="s">
        <v>112</v>
      </c>
      <c r="L156" s="11"/>
      <c r="M156" s="1"/>
      <c r="N156" s="18" t="str">
        <f>IF(ISNUMBER(SEARCH("ANALOG",Table24[[#This Row],[Type]]))=TRUE,1,"")</f>
        <v/>
      </c>
      <c r="O156" s="18">
        <f>IF(ISNUMBER(SEARCH("BINARY",Table24[[#This Row],[Type]]))=TRUE,1,"")</f>
        <v>1</v>
      </c>
      <c r="P156" s="7" t="e">
        <f>IF(Table24[[#This Row],[Type]]="","",LEFT(Table24[[#This Row],[Type]],1)&amp;LEFT(#REF!,1))</f>
        <v>#REF!</v>
      </c>
      <c r="Q156" s="18" t="e">
        <f>IF(Table24[[#This Row],[Type]]="","",LEFT(Table24[[#This Row],[Type]],1)&amp;LEFT(#REF!,1))</f>
        <v>#REF!</v>
      </c>
      <c r="R156" s="18"/>
      <c r="S156" s="7" t="e">
        <f>IF(Table24[[#This Row],[A Counter]]=1,"AI"&amp;#REF!+SUM($N$35:N156),IF(Table24[[#This Row],[B Counter]]=1,"BI"&amp;#REF!+SUM($O$35:O156),""))</f>
        <v>#REF!</v>
      </c>
      <c r="T156" s="18"/>
      <c r="U156" s="68"/>
    </row>
    <row r="157" spans="1:21" x14ac:dyDescent="0.25">
      <c r="A157">
        <f t="shared" si="6"/>
        <v>148</v>
      </c>
      <c r="B157" s="93" t="str">
        <f>IFERROR(RIGHT(Table24[[#This Row],[Controller Input '#]],3)*1,"")</f>
        <v/>
      </c>
      <c r="C157" s="99"/>
      <c r="D157" s="1"/>
      <c r="E157" s="11" t="s">
        <v>315</v>
      </c>
      <c r="F157" s="11" t="s">
        <v>316</v>
      </c>
      <c r="G157" s="11"/>
      <c r="H157" s="21"/>
      <c r="I157" s="11" t="s">
        <v>70</v>
      </c>
      <c r="J157" s="11" t="s">
        <v>125</v>
      </c>
      <c r="K157" s="11" t="s">
        <v>80</v>
      </c>
      <c r="L157" s="11" t="s">
        <v>81</v>
      </c>
      <c r="M157" s="1"/>
      <c r="N157" s="18">
        <f>IF(ISNUMBER(SEARCH("ANALOG",Table24[[#This Row],[Type]]))=TRUE,1,"")</f>
        <v>1</v>
      </c>
      <c r="O157" s="18" t="str">
        <f>IF(ISNUMBER(SEARCH("BINARY",Table24[[#This Row],[Type]]))=TRUE,1,"")</f>
        <v/>
      </c>
      <c r="P157" s="7" t="e">
        <f>IF(Table24[[#This Row],[Type]]="","",LEFT(Table24[[#This Row],[Type]],1)&amp;LEFT(#REF!,1))</f>
        <v>#REF!</v>
      </c>
      <c r="Q157" s="18" t="e">
        <f>IF(Table24[[#This Row],[Type]]="","",LEFT(Table24[[#This Row],[Type]],1)&amp;LEFT(#REF!,1))</f>
        <v>#REF!</v>
      </c>
      <c r="R157" s="18"/>
      <c r="S157" s="7" t="e">
        <f>IF(Table24[[#This Row],[A Counter]]=1,"AI"&amp;#REF!+SUM($N$35:N157),IF(Table24[[#This Row],[B Counter]]=1,"BI"&amp;#REF!+SUM($O$35:O157),""))</f>
        <v>#REF!</v>
      </c>
      <c r="T157" s="18"/>
      <c r="U157" s="68"/>
    </row>
    <row r="158" spans="1:21" x14ac:dyDescent="0.25">
      <c r="A158">
        <f t="shared" si="6"/>
        <v>149</v>
      </c>
      <c r="B158" s="93" t="str">
        <f>IFERROR(RIGHT(Table24[[#This Row],[Controller Input '#]],3)*1,"")</f>
        <v/>
      </c>
      <c r="C158" s="99"/>
      <c r="D158" s="1"/>
      <c r="E158" s="11" t="s">
        <v>317</v>
      </c>
      <c r="F158" s="11" t="s">
        <v>318</v>
      </c>
      <c r="G158" s="11"/>
      <c r="H158" s="21"/>
      <c r="I158" s="11" t="s">
        <v>103</v>
      </c>
      <c r="J158" s="11" t="s">
        <v>125</v>
      </c>
      <c r="K158" s="11" t="s">
        <v>112</v>
      </c>
      <c r="L158" s="11"/>
      <c r="M158" s="1"/>
      <c r="N158" s="18" t="str">
        <f>IF(ISNUMBER(SEARCH("ANALOG",Table24[[#This Row],[Type]]))=TRUE,1,"")</f>
        <v/>
      </c>
      <c r="O158" s="18">
        <f>IF(ISNUMBER(SEARCH("BINARY",Table24[[#This Row],[Type]]))=TRUE,1,"")</f>
        <v>1</v>
      </c>
      <c r="P158" s="7" t="e">
        <f>IF(Table24[[#This Row],[Type]]="","",LEFT(Table24[[#This Row],[Type]],1)&amp;LEFT(#REF!,1))</f>
        <v>#REF!</v>
      </c>
      <c r="Q158" s="18" t="e">
        <f>IF(Table24[[#This Row],[Type]]="","",LEFT(Table24[[#This Row],[Type]],1)&amp;LEFT(#REF!,1))</f>
        <v>#REF!</v>
      </c>
      <c r="R158" s="18"/>
      <c r="S158" s="7" t="e">
        <f>IF(Table24[[#This Row],[A Counter]]=1,"AI"&amp;#REF!+SUM($N$35:N158),IF(Table24[[#This Row],[B Counter]]=1,"BI"&amp;#REF!+SUM($O$35:O158),""))</f>
        <v>#REF!</v>
      </c>
      <c r="T158" s="18"/>
      <c r="U158" s="68"/>
    </row>
    <row r="159" spans="1:21" x14ac:dyDescent="0.25">
      <c r="A159">
        <f t="shared" si="6"/>
        <v>150</v>
      </c>
      <c r="B159" s="93" t="str">
        <f>IFERROR(RIGHT(Table24[[#This Row],[Controller Input '#]],3)*1,"")</f>
        <v/>
      </c>
      <c r="C159" s="99"/>
      <c r="D159" s="1"/>
      <c r="E159" s="11" t="s">
        <v>319</v>
      </c>
      <c r="F159" s="11" t="s">
        <v>320</v>
      </c>
      <c r="G159" s="11"/>
      <c r="H159" s="21"/>
      <c r="I159" s="11" t="s">
        <v>70</v>
      </c>
      <c r="J159" s="11" t="s">
        <v>125</v>
      </c>
      <c r="K159" s="11" t="s">
        <v>80</v>
      </c>
      <c r="L159" s="11" t="s">
        <v>81</v>
      </c>
      <c r="M159" s="1"/>
      <c r="N159" s="18">
        <f>IF(ISNUMBER(SEARCH("ANALOG",Table24[[#This Row],[Type]]))=TRUE,1,"")</f>
        <v>1</v>
      </c>
      <c r="O159" s="18" t="str">
        <f>IF(ISNUMBER(SEARCH("BINARY",Table24[[#This Row],[Type]]))=TRUE,1,"")</f>
        <v/>
      </c>
      <c r="P159" s="7" t="e">
        <f>IF(Table24[[#This Row],[Type]]="","",LEFT(Table24[[#This Row],[Type]],1)&amp;LEFT(#REF!,1))</f>
        <v>#REF!</v>
      </c>
      <c r="Q159" s="18" t="e">
        <f>IF(Table24[[#This Row],[Type]]="","",LEFT(Table24[[#This Row],[Type]],1)&amp;LEFT(#REF!,1))</f>
        <v>#REF!</v>
      </c>
      <c r="R159" s="18"/>
      <c r="S159" s="7" t="e">
        <f>IF(Table24[[#This Row],[A Counter]]=1,"AI"&amp;#REF!+SUM($N$35:N159),IF(Table24[[#This Row],[B Counter]]=1,"BI"&amp;#REF!+SUM($O$35:O159),""))</f>
        <v>#REF!</v>
      </c>
      <c r="T159" s="18"/>
      <c r="U159" s="68"/>
    </row>
    <row r="160" spans="1:21" x14ac:dyDescent="0.25">
      <c r="A160">
        <f t="shared" si="6"/>
        <v>151</v>
      </c>
      <c r="B160" s="93" t="str">
        <f>IFERROR(RIGHT(Table24[[#This Row],[Controller Input '#]],3)*1,"")</f>
        <v/>
      </c>
      <c r="C160" s="99"/>
      <c r="D160" s="1"/>
      <c r="E160" s="11" t="s">
        <v>321</v>
      </c>
      <c r="F160" s="11" t="s">
        <v>322</v>
      </c>
      <c r="G160" s="11"/>
      <c r="H160" s="21"/>
      <c r="I160" s="11" t="s">
        <v>103</v>
      </c>
      <c r="J160" s="11" t="s">
        <v>125</v>
      </c>
      <c r="K160" s="11" t="s">
        <v>112</v>
      </c>
      <c r="L160" s="11"/>
      <c r="M160" s="1"/>
      <c r="N160" s="18" t="str">
        <f>IF(ISNUMBER(SEARCH("ANALOG",Table24[[#This Row],[Type]]))=TRUE,1,"")</f>
        <v/>
      </c>
      <c r="O160" s="18">
        <f>IF(ISNUMBER(SEARCH("BINARY",Table24[[#This Row],[Type]]))=TRUE,1,"")</f>
        <v>1</v>
      </c>
      <c r="P160" s="7" t="e">
        <f>IF(Table24[[#This Row],[Type]]="","",LEFT(Table24[[#This Row],[Type]],1)&amp;LEFT(#REF!,1))</f>
        <v>#REF!</v>
      </c>
      <c r="Q160" s="18" t="e">
        <f>IF(Table24[[#This Row],[Type]]="","",LEFT(Table24[[#This Row],[Type]],1)&amp;LEFT(#REF!,1))</f>
        <v>#REF!</v>
      </c>
      <c r="R160" s="18"/>
      <c r="S160" s="7" t="e">
        <f>IF(Table24[[#This Row],[A Counter]]=1,"AI"&amp;#REF!+SUM($N$35:N160),IF(Table24[[#This Row],[B Counter]]=1,"BI"&amp;#REF!+SUM($O$35:O160),""))</f>
        <v>#REF!</v>
      </c>
      <c r="T160" s="18"/>
      <c r="U160" s="69"/>
    </row>
    <row r="161" spans="1:21" x14ac:dyDescent="0.25">
      <c r="A161">
        <f t="shared" si="6"/>
        <v>152</v>
      </c>
      <c r="B161" s="93" t="str">
        <f>IFERROR(RIGHT(Table24[[#This Row],[Controller Input '#]],3)*1,"")</f>
        <v/>
      </c>
      <c r="C161" s="99"/>
      <c r="D161" s="1"/>
      <c r="E161" s="1"/>
      <c r="F161" s="1"/>
      <c r="G161" s="1"/>
      <c r="H161" s="8"/>
      <c r="I161" s="1"/>
      <c r="J161" s="1"/>
      <c r="K161" s="1"/>
      <c r="L161" s="1"/>
      <c r="M161" s="1"/>
      <c r="N161" s="1"/>
      <c r="O161" s="1"/>
      <c r="Q161" s="1"/>
      <c r="R161" s="1"/>
      <c r="S161" s="7"/>
      <c r="T161" s="1"/>
    </row>
    <row r="162" spans="1:21" x14ac:dyDescent="0.25">
      <c r="A162">
        <f t="shared" si="6"/>
        <v>153</v>
      </c>
      <c r="B162" s="93" t="str">
        <f>IFERROR(RIGHT(Table24[[#This Row],[Controller Input '#]],3)*1,"")</f>
        <v/>
      </c>
      <c r="C162" s="99"/>
      <c r="D162" s="1"/>
      <c r="E162" s="1"/>
      <c r="F162" s="1"/>
      <c r="G162" s="1"/>
      <c r="H162" s="8"/>
      <c r="I162" s="1"/>
      <c r="J162" s="1"/>
      <c r="K162" s="1"/>
      <c r="L162" s="1"/>
      <c r="M162" s="1"/>
      <c r="N162" s="1"/>
      <c r="O162" s="1"/>
      <c r="Q162" s="1"/>
      <c r="R162" s="1"/>
      <c r="S162" s="7"/>
      <c r="T162" s="1"/>
    </row>
    <row r="163" spans="1:21" x14ac:dyDescent="0.25">
      <c r="A163">
        <f t="shared" si="6"/>
        <v>154</v>
      </c>
      <c r="B163" s="93" t="str">
        <f>IFERROR(RIGHT(Table24[[#This Row],[Controller Input '#]],3)*1,"")</f>
        <v/>
      </c>
      <c r="C163" s="99"/>
      <c r="D163" s="1"/>
      <c r="E163" s="1"/>
      <c r="F163" s="1"/>
      <c r="G163" s="1"/>
      <c r="H163" s="8"/>
      <c r="I163" s="1"/>
      <c r="J163" s="1"/>
      <c r="K163" s="1"/>
      <c r="L163" s="1"/>
      <c r="M163" s="1"/>
      <c r="N163" s="1"/>
      <c r="O163" s="1"/>
      <c r="Q163" s="1"/>
      <c r="R163" s="1"/>
      <c r="S163" s="7"/>
      <c r="T163" s="1"/>
    </row>
    <row r="164" spans="1:21" x14ac:dyDescent="0.25">
      <c r="A164">
        <f t="shared" si="6"/>
        <v>155</v>
      </c>
      <c r="B164" s="93" t="str">
        <f>IFERROR(RIGHT(Table24[[#This Row],[Controller Input '#]],3)*1,"")</f>
        <v/>
      </c>
      <c r="C164" s="99"/>
      <c r="D164" s="1"/>
      <c r="E164" s="1"/>
      <c r="F164" s="1"/>
      <c r="G164" s="1"/>
      <c r="H164" s="8"/>
      <c r="I164" s="1"/>
      <c r="J164" s="1"/>
      <c r="K164" s="1"/>
      <c r="L164" s="1"/>
      <c r="M164" s="1"/>
      <c r="N164" s="1"/>
      <c r="O164" s="1"/>
      <c r="Q164" s="1"/>
      <c r="R164" s="1"/>
      <c r="S164" s="7"/>
      <c r="T164" s="1"/>
    </row>
    <row r="165" spans="1:21" x14ac:dyDescent="0.25">
      <c r="A165">
        <f t="shared" si="6"/>
        <v>156</v>
      </c>
      <c r="B165" s="93" t="str">
        <f>IFERROR(RIGHT(Table24[[#This Row],[Controller Input '#]],3)*1,"")</f>
        <v/>
      </c>
      <c r="C165" s="99"/>
      <c r="D165" s="1"/>
      <c r="E165" s="1"/>
      <c r="F165" s="1"/>
      <c r="G165" s="1"/>
      <c r="H165" s="8"/>
      <c r="I165" s="1"/>
      <c r="J165" s="1"/>
      <c r="K165" s="1"/>
      <c r="L165" s="1"/>
      <c r="M165" s="1"/>
      <c r="N165" s="1"/>
      <c r="O165" s="1"/>
      <c r="Q165" s="1"/>
      <c r="R165" s="1"/>
      <c r="S165" s="7"/>
      <c r="T165" s="1"/>
    </row>
    <row r="166" spans="1:21" x14ac:dyDescent="0.25">
      <c r="A166">
        <f t="shared" si="6"/>
        <v>157</v>
      </c>
      <c r="B166" s="93" t="str">
        <f>IFERROR(RIGHT(Table24[[#This Row],[Controller Input '#]],3)*1,"")</f>
        <v/>
      </c>
      <c r="C166" s="99"/>
      <c r="D166" s="1"/>
      <c r="E166" s="1"/>
      <c r="F166" s="1"/>
      <c r="G166" s="1"/>
      <c r="H166" s="8"/>
      <c r="I166" s="1"/>
      <c r="J166" s="1"/>
      <c r="K166" s="1"/>
      <c r="L166" s="1"/>
      <c r="M166" s="1"/>
      <c r="N166" s="1"/>
      <c r="O166" s="1"/>
      <c r="Q166" s="1"/>
      <c r="R166" s="1"/>
      <c r="S166" s="7"/>
      <c r="T166" s="1"/>
    </row>
    <row r="167" spans="1:21" x14ac:dyDescent="0.25">
      <c r="A167">
        <f t="shared" si="6"/>
        <v>158</v>
      </c>
      <c r="B167" s="93" t="str">
        <f>IFERROR(RIGHT(Table24[[#This Row],[Controller Input '#]],3)*1,"")</f>
        <v/>
      </c>
      <c r="C167" s="99"/>
      <c r="D167" s="1"/>
      <c r="E167" s="1"/>
      <c r="F167" s="1"/>
      <c r="G167" s="1"/>
      <c r="H167" s="8"/>
      <c r="I167" s="1"/>
      <c r="J167" s="1"/>
      <c r="K167" s="1"/>
      <c r="L167" s="1"/>
      <c r="M167" s="1"/>
      <c r="N167" s="1"/>
      <c r="O167" s="1"/>
      <c r="Q167" s="1"/>
      <c r="R167" s="1"/>
      <c r="S167" s="7"/>
      <c r="T167" s="1"/>
    </row>
    <row r="168" spans="1:21" x14ac:dyDescent="0.25">
      <c r="A168">
        <f t="shared" si="6"/>
        <v>159</v>
      </c>
      <c r="B168" s="93" t="str">
        <f>IFERROR(RIGHT(Table24[[#This Row],[Controller Input '#]],3)*1,"")</f>
        <v/>
      </c>
      <c r="C168" s="99"/>
      <c r="D168" s="1"/>
      <c r="E168" s="1"/>
      <c r="F168" s="1"/>
      <c r="G168" s="1"/>
      <c r="H168" s="8"/>
      <c r="I168" s="1"/>
      <c r="J168" s="1"/>
      <c r="K168" s="1"/>
      <c r="L168" s="18"/>
      <c r="M168" s="1"/>
      <c r="N168" s="18" t="str">
        <f>IF(ISNUMBER(SEARCH("ANALOG",Table24[[#This Row],[Type]]))=TRUE,1,"")</f>
        <v/>
      </c>
      <c r="O168" s="18" t="str">
        <f>IF(ISNUMBER(SEARCH("BINARY",Table24[[#This Row],[Type]]))=TRUE,1,"")</f>
        <v/>
      </c>
      <c r="P168" s="7" t="str">
        <f>IF(Table24[[#This Row],[Type]]="","",LEFT(Table24[[#This Row],[Type]],1)&amp;LEFT(#REF!,1))</f>
        <v/>
      </c>
      <c r="Q168" s="18" t="str">
        <f>IF(Table24[[#This Row],[Type]]="","",LEFT(Table24[[#This Row],[Type]],1)&amp;LEFT(#REF!,1))</f>
        <v/>
      </c>
      <c r="R168" s="18"/>
      <c r="S168" s="7" t="str">
        <f>IF(Table24[[#This Row],[A Counter]]=1,"AI"&amp;#REF!+SUM($N$35:N168),IF(Table24[[#This Row],[B Counter]]=1,"BI"&amp;#REF!+SUM($O$35:O168),""))</f>
        <v/>
      </c>
      <c r="T168" s="18"/>
      <c r="U168" s="7"/>
    </row>
    <row r="169" spans="1:21" x14ac:dyDescent="0.25">
      <c r="A169">
        <f t="shared" si="6"/>
        <v>160</v>
      </c>
      <c r="B169" s="93" t="str">
        <f>IFERROR(RIGHT(Table24[[#This Row],[Controller Input '#]],3)*1,"")</f>
        <v/>
      </c>
      <c r="C169" s="99"/>
      <c r="D169" s="1"/>
      <c r="E169" s="1"/>
      <c r="F169" s="1"/>
      <c r="G169" s="1"/>
      <c r="H169" s="8"/>
      <c r="I169" s="1"/>
      <c r="J169" s="1"/>
      <c r="K169" s="1"/>
      <c r="L169" s="1"/>
      <c r="M169" s="1"/>
      <c r="N169" s="1"/>
      <c r="O169" s="1"/>
      <c r="Q169" s="1"/>
      <c r="R169" s="1"/>
      <c r="S169" s="7"/>
      <c r="T169" s="1"/>
    </row>
    <row r="170" spans="1:21" x14ac:dyDescent="0.25">
      <c r="A170">
        <f t="shared" si="6"/>
        <v>161</v>
      </c>
      <c r="B170" s="93" t="str">
        <f>IFERROR(RIGHT(Table24[[#This Row],[Controller Input '#]],3)*1,"")</f>
        <v/>
      </c>
      <c r="C170" s="99"/>
      <c r="D170" s="1"/>
      <c r="E170" s="1"/>
      <c r="F170" s="1"/>
      <c r="G170" s="1"/>
      <c r="H170" s="8"/>
      <c r="I170" s="1"/>
      <c r="J170" s="1"/>
      <c r="K170" s="1"/>
      <c r="L170" s="1"/>
      <c r="M170" s="1"/>
      <c r="N170" s="1"/>
      <c r="O170" s="1"/>
      <c r="Q170" s="1"/>
      <c r="R170" s="1"/>
      <c r="S170" s="7"/>
      <c r="T170" s="1"/>
    </row>
    <row r="171" spans="1:21" x14ac:dyDescent="0.25">
      <c r="A171">
        <f t="shared" si="6"/>
        <v>162</v>
      </c>
      <c r="B171" s="93" t="str">
        <f>IFERROR(RIGHT(Table24[[#This Row],[Controller Input '#]],3)*1,"")</f>
        <v/>
      </c>
      <c r="C171" s="99"/>
      <c r="D171" s="1"/>
      <c r="E171" s="1"/>
      <c r="F171" s="1"/>
      <c r="G171" s="1"/>
      <c r="H171" s="8"/>
      <c r="I171" s="1"/>
      <c r="J171" s="1"/>
      <c r="K171" s="1"/>
      <c r="L171" s="1"/>
      <c r="M171" s="1"/>
      <c r="N171" s="1"/>
      <c r="O171" s="1"/>
      <c r="Q171" s="1"/>
      <c r="R171" s="1"/>
      <c r="S171" s="7"/>
      <c r="T171" s="1"/>
    </row>
    <row r="172" spans="1:21" x14ac:dyDescent="0.25">
      <c r="A172">
        <f t="shared" si="6"/>
        <v>163</v>
      </c>
      <c r="B172" s="93" t="str">
        <f>IFERROR(RIGHT(Table24[[#This Row],[Controller Input '#]],3)*1,"")</f>
        <v/>
      </c>
      <c r="C172" s="99"/>
      <c r="D172" s="1"/>
      <c r="E172" s="1" t="s">
        <v>343</v>
      </c>
      <c r="F172" s="1" t="s">
        <v>344</v>
      </c>
      <c r="G172" s="1"/>
      <c r="H172" s="8"/>
      <c r="I172" s="1" t="s">
        <v>70</v>
      </c>
      <c r="J172" s="1" t="s">
        <v>125</v>
      </c>
      <c r="K172" s="1" t="s">
        <v>80</v>
      </c>
      <c r="L172" s="11"/>
      <c r="M172" s="1"/>
      <c r="N172" s="18">
        <f>IF(ISNUMBER(SEARCH("ANALOG",Table24[[#This Row],[Type]]))=TRUE,1,"")</f>
        <v>1</v>
      </c>
      <c r="O172" s="18" t="str">
        <f>IF(ISNUMBER(SEARCH("BINARY",Table24[[#This Row],[Type]]))=TRUE,1,"")</f>
        <v/>
      </c>
      <c r="P172" s="7" t="e">
        <f>IF(Table24[[#This Row],[Type]]="","",LEFT(Table24[[#This Row],[Type]],1)&amp;LEFT(#REF!,1))</f>
        <v>#REF!</v>
      </c>
      <c r="Q172" s="18" t="e">
        <f>IF(Table24[[#This Row],[Type]]="","",LEFT(Table24[[#This Row],[Type]],1)&amp;LEFT(#REF!,1))</f>
        <v>#REF!</v>
      </c>
      <c r="R172" s="18"/>
      <c r="S172" s="7" t="e">
        <f>IF(Table24[[#This Row],[A Counter]]=1,"AI"&amp;#REF!+SUM($N$35:N172),IF(Table24[[#This Row],[B Counter]]=1,"BI"&amp;#REF!+SUM($O$35:O172),""))</f>
        <v>#REF!</v>
      </c>
      <c r="T172" s="18" t="s">
        <v>34</v>
      </c>
      <c r="U172" s="7"/>
    </row>
    <row r="173" spans="1:21" x14ac:dyDescent="0.25">
      <c r="A173">
        <f t="shared" si="6"/>
        <v>164</v>
      </c>
      <c r="B173" s="93" t="str">
        <f>IFERROR(RIGHT(Table24[[#This Row],[Controller Input '#]],3)*1,"")</f>
        <v/>
      </c>
      <c r="C173" s="99"/>
      <c r="D173" s="1"/>
      <c r="E173" s="1" t="s">
        <v>345</v>
      </c>
      <c r="F173" s="1" t="s">
        <v>346</v>
      </c>
      <c r="G173" s="11"/>
      <c r="H173" s="21"/>
      <c r="I173" s="1" t="s">
        <v>70</v>
      </c>
      <c r="J173" s="1" t="s">
        <v>125</v>
      </c>
      <c r="K173" s="1" t="s">
        <v>127</v>
      </c>
      <c r="L173" s="11"/>
      <c r="M173" s="1"/>
      <c r="N173" s="18">
        <f>IF(ISNUMBER(SEARCH("ANALOG",Table24[[#This Row],[Type]]))=TRUE,1,"")</f>
        <v>1</v>
      </c>
      <c r="O173" s="18" t="str">
        <f>IF(ISNUMBER(SEARCH("BINARY",Table24[[#This Row],[Type]]))=TRUE,1,"")</f>
        <v/>
      </c>
      <c r="P173" s="7" t="e">
        <f>IF(Table24[[#This Row],[Type]]="","",LEFT(Table24[[#This Row],[Type]],1)&amp;LEFT(#REF!,1))</f>
        <v>#REF!</v>
      </c>
      <c r="Q173" s="18" t="e">
        <f>IF(Table24[[#This Row],[Type]]="","",LEFT(Table24[[#This Row],[Type]],1)&amp;LEFT(#REF!,1))</f>
        <v>#REF!</v>
      </c>
      <c r="R173" s="18"/>
      <c r="S173" s="7" t="e">
        <f>IF(Table24[[#This Row],[A Counter]]=1,"AI"&amp;#REF!+SUM($N$35:N173),IF(Table24[[#This Row],[B Counter]]=1,"BI"&amp;#REF!+SUM($O$35:O173),""))</f>
        <v>#REF!</v>
      </c>
      <c r="T173" s="18" t="s">
        <v>34</v>
      </c>
      <c r="U173" s="7"/>
    </row>
    <row r="174" spans="1:21" x14ac:dyDescent="0.25">
      <c r="A174">
        <f t="shared" si="6"/>
        <v>165</v>
      </c>
      <c r="B174" s="93" t="str">
        <f>IFERROR(RIGHT(Table24[[#This Row],[Controller Input '#]],3)*1,"")</f>
        <v/>
      </c>
      <c r="C174" s="99"/>
      <c r="D174" s="1"/>
      <c r="E174" s="1" t="s">
        <v>347</v>
      </c>
      <c r="F174" s="1" t="s">
        <v>348</v>
      </c>
      <c r="G174" s="1"/>
      <c r="H174" s="8"/>
      <c r="I174" s="1" t="s">
        <v>70</v>
      </c>
      <c r="J174" s="1" t="s">
        <v>125</v>
      </c>
      <c r="K174" s="1" t="s">
        <v>119</v>
      </c>
      <c r="L174" s="1"/>
      <c r="M174" s="1"/>
      <c r="N174" s="18">
        <f>IF(ISNUMBER(SEARCH("ANALOG",Table24[[#This Row],[Type]]))=TRUE,1,"")</f>
        <v>1</v>
      </c>
      <c r="O174" s="18" t="str">
        <f>IF(ISNUMBER(SEARCH("BINARY",Table24[[#This Row],[Type]]))=TRUE,1,"")</f>
        <v/>
      </c>
      <c r="P174" s="7" t="e">
        <f>IF(Table24[[#This Row],[Type]]="","",LEFT(Table24[[#This Row],[Type]],1)&amp;LEFT(#REF!,1))</f>
        <v>#REF!</v>
      </c>
      <c r="Q174" s="18" t="e">
        <f>IF(Table24[[#This Row],[Type]]="","",LEFT(Table24[[#This Row],[Type]],1)&amp;LEFT(#REF!,1))</f>
        <v>#REF!</v>
      </c>
      <c r="R174" s="18"/>
      <c r="S174" s="7" t="e">
        <f>IF(Table24[[#This Row],[A Counter]]=1,"AI"&amp;#REF!+SUM($N$35:N174),IF(Table24[[#This Row],[B Counter]]=1,"BI"&amp;#REF!+SUM($O$35:O174),""))</f>
        <v>#REF!</v>
      </c>
      <c r="T174" s="18" t="s">
        <v>34</v>
      </c>
      <c r="U174" s="7"/>
    </row>
    <row r="175" spans="1:21" x14ac:dyDescent="0.25">
      <c r="A175">
        <f t="shared" si="6"/>
        <v>166</v>
      </c>
      <c r="B175" s="93" t="str">
        <f>IFERROR(RIGHT(Table24[[#This Row],[Controller Input '#]],3)*1,"")</f>
        <v/>
      </c>
      <c r="C175" s="99"/>
      <c r="D175" s="1"/>
      <c r="E175" s="1" t="s">
        <v>349</v>
      </c>
      <c r="F175" s="1" t="s">
        <v>350</v>
      </c>
      <c r="G175" s="1"/>
      <c r="H175" s="8"/>
      <c r="I175" s="1" t="s">
        <v>103</v>
      </c>
      <c r="J175" s="1" t="s">
        <v>125</v>
      </c>
      <c r="K175" s="1" t="s">
        <v>112</v>
      </c>
      <c r="L175" s="1"/>
      <c r="M175" s="11"/>
      <c r="N175" s="18" t="str">
        <f>IF(ISNUMBER(SEARCH("ANALOG",Table24[[#This Row],[Type]]))=TRUE,1,"")</f>
        <v/>
      </c>
      <c r="O175" s="18">
        <f>IF(ISNUMBER(SEARCH("BINARY",Table24[[#This Row],[Type]]))=TRUE,1,"")</f>
        <v>1</v>
      </c>
      <c r="P175" s="7" t="e">
        <f>IF(Table24[[#This Row],[Type]]="","",LEFT(Table24[[#This Row],[Type]],1)&amp;LEFT(#REF!,1))</f>
        <v>#REF!</v>
      </c>
      <c r="Q175" s="18" t="e">
        <f>IF(Table24[[#This Row],[Type]]="","",LEFT(Table24[[#This Row],[Type]],1)&amp;LEFT(#REF!,1))</f>
        <v>#REF!</v>
      </c>
      <c r="R175" s="18"/>
      <c r="S175" s="7" t="e">
        <f>IF(Table24[[#This Row],[A Counter]]=1,"AI"&amp;#REF!+SUM($N$35:N175),IF(Table24[[#This Row],[B Counter]]=1,"BI"&amp;#REF!+SUM($O$35:O175),""))</f>
        <v>#REF!</v>
      </c>
      <c r="T175" s="18" t="s">
        <v>34</v>
      </c>
      <c r="U175" s="7"/>
    </row>
    <row r="176" spans="1:21" x14ac:dyDescent="0.25">
      <c r="A176">
        <f t="shared" si="6"/>
        <v>167</v>
      </c>
      <c r="B176" s="93" t="str">
        <f>IFERROR(RIGHT(Table24[[#This Row],[Controller Input '#]],3)*1,"")</f>
        <v/>
      </c>
      <c r="C176" s="99"/>
      <c r="D176" s="1"/>
      <c r="E176" s="11"/>
      <c r="F176" s="11"/>
      <c r="G176" s="1"/>
      <c r="H176" s="21"/>
      <c r="I176" s="11"/>
      <c r="J176" s="11"/>
      <c r="K176" s="11"/>
      <c r="L176" s="11"/>
      <c r="M176" s="11"/>
      <c r="N176" s="18" t="str">
        <f>IF(ISNUMBER(SEARCH("ANALOG",Table24[[#This Row],[Type]]))=TRUE,1,"")</f>
        <v/>
      </c>
      <c r="O176" s="18" t="str">
        <f>IF(ISNUMBER(SEARCH("BINARY",Table24[[#This Row],[Type]]))=TRUE,1,"")</f>
        <v/>
      </c>
      <c r="P176" s="7" t="str">
        <f>IF(Table24[[#This Row],[Type]]="","",LEFT(Table24[[#This Row],[Type]],1)&amp;LEFT(#REF!,1))</f>
        <v/>
      </c>
      <c r="Q176" s="18" t="str">
        <f>IF(Table24[[#This Row],[Type]]="","",LEFT(Table24[[#This Row],[Type]],1)&amp;LEFT(#REF!,1))</f>
        <v/>
      </c>
      <c r="R176" s="18"/>
      <c r="S176" s="7" t="str">
        <f>IF(Table24[[#This Row],[A Counter]]=1,"AI"&amp;#REF!+SUM($N$35:N176),IF(Table24[[#This Row],[B Counter]]=1,"BI"&amp;#REF!+SUM($O$35:O176),""))</f>
        <v/>
      </c>
      <c r="T176" s="18" t="s">
        <v>34</v>
      </c>
      <c r="U176" s="7"/>
    </row>
    <row r="177" spans="1:21" x14ac:dyDescent="0.25">
      <c r="A177">
        <f t="shared" si="6"/>
        <v>168</v>
      </c>
      <c r="B177" s="93" t="str">
        <f>IFERROR(RIGHT(Table24[[#This Row],[Controller Input '#]],3)*1,"")</f>
        <v/>
      </c>
      <c r="C177" s="99"/>
      <c r="D177" s="1"/>
      <c r="E177" s="11" t="s">
        <v>353</v>
      </c>
      <c r="F177" s="11" t="s">
        <v>354</v>
      </c>
      <c r="G177" s="11"/>
      <c r="H177" s="21"/>
      <c r="I177" s="11" t="s">
        <v>70</v>
      </c>
      <c r="J177" s="11" t="s">
        <v>125</v>
      </c>
      <c r="K177" s="11" t="s">
        <v>80</v>
      </c>
      <c r="L177" s="11"/>
      <c r="M177" s="11"/>
      <c r="N177" s="18">
        <f>IF(ISNUMBER(SEARCH("ANALOG",Table24[[#This Row],[Type]]))=TRUE,1,"")</f>
        <v>1</v>
      </c>
      <c r="O177" s="18" t="str">
        <f>IF(ISNUMBER(SEARCH("BINARY",Table24[[#This Row],[Type]]))=TRUE,1,"")</f>
        <v/>
      </c>
      <c r="P177" s="7" t="e">
        <f>IF(Table24[[#This Row],[Type]]="","",LEFT(Table24[[#This Row],[Type]],1)&amp;LEFT(#REF!,1))</f>
        <v>#REF!</v>
      </c>
      <c r="Q177" s="18" t="e">
        <f>IF(Table24[[#This Row],[Type]]="","",LEFT(Table24[[#This Row],[Type]],1)&amp;LEFT(#REF!,1))</f>
        <v>#REF!</v>
      </c>
      <c r="R177" s="18"/>
      <c r="S177" s="7" t="e">
        <f>IF(Table24[[#This Row],[A Counter]]=1,"AI"&amp;#REF!+SUM($N$35:N177),IF(Table24[[#This Row],[B Counter]]=1,"BI"&amp;#REF!+SUM($O$35:O177),""))</f>
        <v>#REF!</v>
      </c>
      <c r="T177" s="18" t="s">
        <v>34</v>
      </c>
      <c r="U177" s="7"/>
    </row>
    <row r="178" spans="1:21" x14ac:dyDescent="0.25">
      <c r="A178">
        <f t="shared" si="6"/>
        <v>169</v>
      </c>
      <c r="B178" s="93" t="str">
        <f>IFERROR(RIGHT(Table24[[#This Row],[Controller Input '#]],3)*1,"")</f>
        <v/>
      </c>
      <c r="C178" s="99"/>
      <c r="D178" s="1"/>
      <c r="E178" s="11" t="s">
        <v>355</v>
      </c>
      <c r="F178" s="11" t="s">
        <v>356</v>
      </c>
      <c r="G178" s="11"/>
      <c r="H178" s="21"/>
      <c r="I178" s="11" t="s">
        <v>70</v>
      </c>
      <c r="J178" s="11" t="s">
        <v>125</v>
      </c>
      <c r="K178" s="11" t="s">
        <v>127</v>
      </c>
      <c r="L178" s="11"/>
      <c r="M178" s="1"/>
      <c r="N178" s="18">
        <f>IF(ISNUMBER(SEARCH("ANALOG",Table24[[#This Row],[Type]]))=TRUE,1,"")</f>
        <v>1</v>
      </c>
      <c r="O178" s="18" t="str">
        <f>IF(ISNUMBER(SEARCH("BINARY",Table24[[#This Row],[Type]]))=TRUE,1,"")</f>
        <v/>
      </c>
      <c r="P178" s="7" t="e">
        <f>IF(Table24[[#This Row],[Type]]="","",LEFT(Table24[[#This Row],[Type]],1)&amp;LEFT(#REF!,1))</f>
        <v>#REF!</v>
      </c>
      <c r="Q178" s="18" t="e">
        <f>IF(Table24[[#This Row],[Type]]="","",LEFT(Table24[[#This Row],[Type]],1)&amp;LEFT(#REF!,1))</f>
        <v>#REF!</v>
      </c>
      <c r="R178" s="18"/>
      <c r="S178" s="7" t="e">
        <f>IF(Table24[[#This Row],[A Counter]]=1,"AI"&amp;#REF!+SUM($N$35:N178),IF(Table24[[#This Row],[B Counter]]=1,"BI"&amp;#REF!+SUM($O$35:O178),""))</f>
        <v>#REF!</v>
      </c>
      <c r="T178" s="18" t="s">
        <v>34</v>
      </c>
      <c r="U178" s="7"/>
    </row>
    <row r="179" spans="1:21" x14ac:dyDescent="0.25">
      <c r="A179">
        <f t="shared" si="6"/>
        <v>170</v>
      </c>
      <c r="B179" s="93" t="str">
        <f>IFERROR(RIGHT(Table24[[#This Row],[Controller Input '#]],3)*1,"")</f>
        <v/>
      </c>
      <c r="C179" s="99"/>
      <c r="D179" s="1"/>
      <c r="E179" s="23" t="s">
        <v>357</v>
      </c>
      <c r="F179" s="23" t="s">
        <v>358</v>
      </c>
      <c r="G179" s="23"/>
      <c r="H179" s="27"/>
      <c r="I179" s="23" t="s">
        <v>70</v>
      </c>
      <c r="J179" s="23" t="s">
        <v>125</v>
      </c>
      <c r="K179" s="23" t="s">
        <v>119</v>
      </c>
      <c r="L179" s="23"/>
      <c r="M179" s="1"/>
      <c r="N179" s="18">
        <f>IF(ISNUMBER(SEARCH("ANALOG",Table24[[#This Row],[Type]]))=TRUE,1,"")</f>
        <v>1</v>
      </c>
      <c r="O179" s="18" t="str">
        <f>IF(ISNUMBER(SEARCH("BINARY",Table24[[#This Row],[Type]]))=TRUE,1,"")</f>
        <v/>
      </c>
      <c r="P179" s="7" t="e">
        <f>IF(Table24[[#This Row],[Type]]="","",LEFT(Table24[[#This Row],[Type]],1)&amp;LEFT(#REF!,1))</f>
        <v>#REF!</v>
      </c>
      <c r="Q179" s="18" t="e">
        <f>IF(Table24[[#This Row],[Type]]="","",LEFT(Table24[[#This Row],[Type]],1)&amp;LEFT(#REF!,1))</f>
        <v>#REF!</v>
      </c>
      <c r="R179" s="18"/>
      <c r="S179" s="7" t="e">
        <f>IF(Table24[[#This Row],[A Counter]]=1,"AI"&amp;#REF!+SUM($N$35:N179),IF(Table24[[#This Row],[B Counter]]=1,"BI"&amp;#REF!+SUM($O$35:O179),""))</f>
        <v>#REF!</v>
      </c>
      <c r="T179" s="18" t="s">
        <v>34</v>
      </c>
      <c r="U179" s="7"/>
    </row>
    <row r="180" spans="1:21" x14ac:dyDescent="0.25">
      <c r="A180">
        <f t="shared" si="6"/>
        <v>171</v>
      </c>
      <c r="B180" s="93" t="str">
        <f>IFERROR(RIGHT(Table24[[#This Row],[Controller Input '#]],3)*1,"")</f>
        <v/>
      </c>
      <c r="C180" s="99"/>
      <c r="D180" s="1"/>
      <c r="E180" s="11" t="s">
        <v>359</v>
      </c>
      <c r="F180" s="11" t="s">
        <v>360</v>
      </c>
      <c r="G180" s="11"/>
      <c r="H180" s="21"/>
      <c r="I180" s="11" t="s">
        <v>103</v>
      </c>
      <c r="J180" s="11" t="s">
        <v>125</v>
      </c>
      <c r="K180" s="11" t="s">
        <v>112</v>
      </c>
      <c r="L180" s="11"/>
      <c r="M180" s="11"/>
      <c r="N180" s="18" t="str">
        <f>IF(ISNUMBER(SEARCH("ANALOG",Table24[[#This Row],[Type]]))=TRUE,1,"")</f>
        <v/>
      </c>
      <c r="O180" s="18">
        <f>IF(ISNUMBER(SEARCH("BINARY",Table24[[#This Row],[Type]]))=TRUE,1,"")</f>
        <v>1</v>
      </c>
      <c r="P180" s="7" t="e">
        <f>IF(Table24[[#This Row],[Type]]="","",LEFT(Table24[[#This Row],[Type]],1)&amp;LEFT(#REF!,1))</f>
        <v>#REF!</v>
      </c>
      <c r="Q180" s="18" t="e">
        <f>IF(Table24[[#This Row],[Type]]="","",LEFT(Table24[[#This Row],[Type]],1)&amp;LEFT(#REF!,1))</f>
        <v>#REF!</v>
      </c>
      <c r="R180" s="18"/>
      <c r="S180" s="7" t="e">
        <f>IF(Table24[[#This Row],[A Counter]]=1,"AI"&amp;#REF!+SUM($N$35:N180),IF(Table24[[#This Row],[B Counter]]=1,"BI"&amp;#REF!+SUM($O$35:O180),""))</f>
        <v>#REF!</v>
      </c>
      <c r="T180" s="26" t="s">
        <v>34</v>
      </c>
      <c r="U180" s="7"/>
    </row>
    <row r="181" spans="1:21" x14ac:dyDescent="0.25">
      <c r="A181">
        <f t="shared" si="6"/>
        <v>172</v>
      </c>
      <c r="B181" s="93" t="str">
        <f>IFERROR(RIGHT(Table24[[#This Row],[Controller Input '#]],3)*1,"")</f>
        <v/>
      </c>
      <c r="C181" s="99"/>
      <c r="D181" s="1"/>
      <c r="E181" s="11"/>
      <c r="F181" s="11"/>
      <c r="G181" s="1"/>
      <c r="H181" s="21"/>
      <c r="I181" s="11"/>
      <c r="J181" s="11"/>
      <c r="K181" s="11"/>
      <c r="L181" s="11"/>
      <c r="M181" s="11"/>
      <c r="N181" s="18" t="str">
        <f>IF(ISNUMBER(SEARCH("ANALOG",Table24[[#This Row],[Type]]))=TRUE,1,"")</f>
        <v/>
      </c>
      <c r="O181" s="18" t="str">
        <f>IF(ISNUMBER(SEARCH("BINARY",Table24[[#This Row],[Type]]))=TRUE,1,"")</f>
        <v/>
      </c>
      <c r="P181" s="7" t="str">
        <f>IF(Table24[[#This Row],[Type]]="","",LEFT(Table24[[#This Row],[Type]],1)&amp;LEFT(#REF!,1))</f>
        <v/>
      </c>
      <c r="Q181" s="18" t="str">
        <f>IF(Table24[[#This Row],[Type]]="","",LEFT(Table24[[#This Row],[Type]],1)&amp;LEFT(#REF!,1))</f>
        <v/>
      </c>
      <c r="R181" s="18"/>
      <c r="S181" s="7" t="str">
        <f>IF(Table24[[#This Row],[A Counter]]=1,"AI"&amp;#REF!+SUM($N$35:N181),IF(Table24[[#This Row],[B Counter]]=1,"BI"&amp;#REF!+SUM($O$35:O181),""))</f>
        <v/>
      </c>
      <c r="T181" s="26" t="s">
        <v>34</v>
      </c>
      <c r="U181" s="7"/>
    </row>
    <row r="182" spans="1:21" x14ac:dyDescent="0.25">
      <c r="A182">
        <f t="shared" si="6"/>
        <v>173</v>
      </c>
      <c r="B182" s="93" t="str">
        <f>IFERROR(RIGHT(Table24[[#This Row],[Controller Input '#]],3)*1,"")</f>
        <v/>
      </c>
      <c r="C182" s="99"/>
      <c r="D182" s="1"/>
      <c r="E182" s="11" t="s">
        <v>363</v>
      </c>
      <c r="F182" s="11" t="s">
        <v>364</v>
      </c>
      <c r="G182" s="11"/>
      <c r="H182" s="21"/>
      <c r="I182" s="11" t="s">
        <v>70</v>
      </c>
      <c r="J182" s="11" t="s">
        <v>125</v>
      </c>
      <c r="K182" s="11" t="s">
        <v>80</v>
      </c>
      <c r="L182" s="11"/>
      <c r="M182" s="11"/>
      <c r="N182" s="18">
        <f>IF(ISNUMBER(SEARCH("ANALOG",Table24[[#This Row],[Type]]))=TRUE,1,"")</f>
        <v>1</v>
      </c>
      <c r="O182" s="18" t="str">
        <f>IF(ISNUMBER(SEARCH("BINARY",Table24[[#This Row],[Type]]))=TRUE,1,"")</f>
        <v/>
      </c>
      <c r="P182" s="7" t="e">
        <f>IF(Table24[[#This Row],[Type]]="","",LEFT(Table24[[#This Row],[Type]],1)&amp;LEFT(#REF!,1))</f>
        <v>#REF!</v>
      </c>
      <c r="Q182" s="18" t="e">
        <f>IF(Table24[[#This Row],[Type]]="","",LEFT(Table24[[#This Row],[Type]],1)&amp;LEFT(#REF!,1))</f>
        <v>#REF!</v>
      </c>
      <c r="R182" s="18"/>
      <c r="S182" s="7" t="e">
        <f>IF(Table24[[#This Row],[A Counter]]=1,"AI"&amp;#REF!+SUM($N$35:N182),IF(Table24[[#This Row],[B Counter]]=1,"BI"&amp;#REF!+SUM($O$35:O182),""))</f>
        <v>#REF!</v>
      </c>
      <c r="T182" s="26" t="s">
        <v>34</v>
      </c>
      <c r="U182" s="7"/>
    </row>
    <row r="183" spans="1:21" x14ac:dyDescent="0.25">
      <c r="A183">
        <f t="shared" si="6"/>
        <v>174</v>
      </c>
      <c r="B183" s="93" t="str">
        <f>IFERROR(RIGHT(Table24[[#This Row],[Controller Input '#]],3)*1,"")</f>
        <v/>
      </c>
      <c r="C183" s="99"/>
      <c r="D183" s="1"/>
      <c r="E183" s="11" t="s">
        <v>365</v>
      </c>
      <c r="F183" s="11" t="s">
        <v>366</v>
      </c>
      <c r="G183" s="11"/>
      <c r="H183" s="21"/>
      <c r="I183" s="11" t="s">
        <v>70</v>
      </c>
      <c r="J183" s="11" t="s">
        <v>125</v>
      </c>
      <c r="K183" s="11" t="s">
        <v>127</v>
      </c>
      <c r="L183" s="11"/>
      <c r="M183" s="23"/>
      <c r="N183" s="18">
        <f>IF(ISNUMBER(SEARCH("ANALOG",Table24[[#This Row],[Type]]))=TRUE,1,"")</f>
        <v>1</v>
      </c>
      <c r="O183" s="18" t="str">
        <f>IF(ISNUMBER(SEARCH("BINARY",Table24[[#This Row],[Type]]))=TRUE,1,"")</f>
        <v/>
      </c>
      <c r="P183" s="7" t="e">
        <f>IF(Table24[[#This Row],[Type]]="","",LEFT(Table24[[#This Row],[Type]],1)&amp;LEFT(#REF!,1))</f>
        <v>#REF!</v>
      </c>
      <c r="Q183" s="18" t="e">
        <f>IF(Table24[[#This Row],[Type]]="","",LEFT(Table24[[#This Row],[Type]],1)&amp;LEFT(#REF!,1))</f>
        <v>#REF!</v>
      </c>
      <c r="R183" s="18"/>
      <c r="S183" s="7" t="e">
        <f>IF(Table24[[#This Row],[A Counter]]=1,"AI"&amp;#REF!+SUM($N$35:N183),IF(Table24[[#This Row],[B Counter]]=1,"BI"&amp;#REF!+SUM($O$35:O183),""))</f>
        <v>#REF!</v>
      </c>
      <c r="T183" s="28" t="s">
        <v>34</v>
      </c>
      <c r="U183" s="7"/>
    </row>
    <row r="184" spans="1:21" x14ac:dyDescent="0.25">
      <c r="A184">
        <f t="shared" si="6"/>
        <v>175</v>
      </c>
      <c r="B184" s="93" t="str">
        <f>IFERROR(RIGHT(Table24[[#This Row],[Controller Input '#]],3)*1,"")</f>
        <v/>
      </c>
      <c r="C184" s="99"/>
      <c r="D184" s="1"/>
      <c r="E184" s="23" t="s">
        <v>367</v>
      </c>
      <c r="F184" s="23" t="s">
        <v>368</v>
      </c>
      <c r="G184" s="23"/>
      <c r="H184" s="27"/>
      <c r="I184" s="23" t="s">
        <v>70</v>
      </c>
      <c r="J184" s="23" t="s">
        <v>125</v>
      </c>
      <c r="K184" s="23" t="s">
        <v>119</v>
      </c>
      <c r="L184" s="23"/>
      <c r="M184" s="11"/>
      <c r="N184" s="18">
        <f>IF(ISNUMBER(SEARCH("ANALOG",Table24[[#This Row],[Type]]))=TRUE,1,"")</f>
        <v>1</v>
      </c>
      <c r="O184" s="18" t="str">
        <f>IF(ISNUMBER(SEARCH("BINARY",Table24[[#This Row],[Type]]))=TRUE,1,"")</f>
        <v/>
      </c>
      <c r="P184" s="7" t="e">
        <f>IF(Table24[[#This Row],[Type]]="","",LEFT(Table24[[#This Row],[Type]],1)&amp;LEFT(#REF!,1))</f>
        <v>#REF!</v>
      </c>
      <c r="Q184" s="18" t="e">
        <f>IF(Table24[[#This Row],[Type]]="","",LEFT(Table24[[#This Row],[Type]],1)&amp;LEFT(#REF!,1))</f>
        <v>#REF!</v>
      </c>
      <c r="R184" s="18"/>
      <c r="S184" s="7" t="e">
        <f>IF(Table24[[#This Row],[A Counter]]=1,"AI"&amp;#REF!+SUM($N$35:N184),IF(Table24[[#This Row],[B Counter]]=1,"BI"&amp;#REF!+SUM($O$35:O184),""))</f>
        <v>#REF!</v>
      </c>
      <c r="T184" s="26" t="s">
        <v>34</v>
      </c>
      <c r="U184" s="7"/>
    </row>
    <row r="185" spans="1:21" x14ac:dyDescent="0.25">
      <c r="A185">
        <f t="shared" si="6"/>
        <v>176</v>
      </c>
      <c r="B185" s="93" t="str">
        <f>IFERROR(RIGHT(Table24[[#This Row],[Controller Input '#]],3)*1,"")</f>
        <v/>
      </c>
      <c r="C185" s="99"/>
      <c r="D185" s="1"/>
      <c r="E185" s="11" t="s">
        <v>369</v>
      </c>
      <c r="F185" s="11" t="s">
        <v>370</v>
      </c>
      <c r="G185" s="11"/>
      <c r="H185" s="21"/>
      <c r="I185" s="11" t="s">
        <v>103</v>
      </c>
      <c r="J185" s="11" t="s">
        <v>125</v>
      </c>
      <c r="K185" s="11" t="s">
        <v>112</v>
      </c>
      <c r="L185" s="11"/>
      <c r="M185" s="11"/>
      <c r="N185" s="18" t="str">
        <f>IF(ISNUMBER(SEARCH("ANALOG",Table24[[#This Row],[Type]]))=TRUE,1,"")</f>
        <v/>
      </c>
      <c r="O185" s="18">
        <f>IF(ISNUMBER(SEARCH("BINARY",Table24[[#This Row],[Type]]))=TRUE,1,"")</f>
        <v>1</v>
      </c>
      <c r="P185" s="7" t="e">
        <f>IF(Table24[[#This Row],[Type]]="","",LEFT(Table24[[#This Row],[Type]],1)&amp;LEFT(#REF!,1))</f>
        <v>#REF!</v>
      </c>
      <c r="Q185" s="18" t="e">
        <f>IF(Table24[[#This Row],[Type]]="","",LEFT(Table24[[#This Row],[Type]],1)&amp;LEFT(#REF!,1))</f>
        <v>#REF!</v>
      </c>
      <c r="R185" s="18"/>
      <c r="S185" s="7" t="e">
        <f>IF(Table24[[#This Row],[A Counter]]=1,"AI"&amp;#REF!+SUM($N$35:N185),IF(Table24[[#This Row],[B Counter]]=1,"BI"&amp;#REF!+SUM($O$35:O185),""))</f>
        <v>#REF!</v>
      </c>
      <c r="T185" s="26" t="s">
        <v>34</v>
      </c>
      <c r="U185" s="7"/>
    </row>
    <row r="186" spans="1:21" x14ac:dyDescent="0.25">
      <c r="A186">
        <f t="shared" si="6"/>
        <v>177</v>
      </c>
      <c r="B186" s="93" t="str">
        <f>IFERROR(RIGHT(Table24[[#This Row],[Controller Input '#]],3)*1,"")</f>
        <v/>
      </c>
      <c r="C186" s="99"/>
      <c r="D186" s="1"/>
      <c r="E186" s="11"/>
      <c r="F186" s="11"/>
      <c r="G186" s="1"/>
      <c r="H186" s="21"/>
      <c r="I186" s="11"/>
      <c r="J186" s="11"/>
      <c r="K186" s="11"/>
      <c r="L186" s="11"/>
      <c r="M186" s="11"/>
      <c r="N186" s="18" t="str">
        <f>IF(ISNUMBER(SEARCH("ANALOG",Table24[[#This Row],[Type]]))=TRUE,1,"")</f>
        <v/>
      </c>
      <c r="O186" s="18" t="str">
        <f>IF(ISNUMBER(SEARCH("BINARY",Table24[[#This Row],[Type]]))=TRUE,1,"")</f>
        <v/>
      </c>
      <c r="P186" s="7" t="str">
        <f>IF(Table24[[#This Row],[Type]]="","",LEFT(Table24[[#This Row],[Type]],1)&amp;LEFT(#REF!,1))</f>
        <v/>
      </c>
      <c r="Q186" s="18" t="str">
        <f>IF(Table24[[#This Row],[Type]]="","",LEFT(Table24[[#This Row],[Type]],1)&amp;LEFT(#REF!,1))</f>
        <v/>
      </c>
      <c r="R186" s="18"/>
      <c r="S186" s="7" t="str">
        <f>IF(Table24[[#This Row],[A Counter]]=1,"AI"&amp;#REF!+SUM($N$35:N186),IF(Table24[[#This Row],[B Counter]]=1,"BI"&amp;#REF!+SUM($O$35:O186),""))</f>
        <v/>
      </c>
      <c r="T186" s="26" t="s">
        <v>34</v>
      </c>
      <c r="U186" s="7"/>
    </row>
    <row r="187" spans="1:21" x14ac:dyDescent="0.25">
      <c r="A187">
        <f t="shared" si="6"/>
        <v>178</v>
      </c>
      <c r="B187" s="93" t="str">
        <f>IFERROR(RIGHT(Table24[[#This Row],[Controller Input '#]],3)*1,"")</f>
        <v/>
      </c>
      <c r="C187" s="99"/>
      <c r="D187" s="1"/>
      <c r="E187" s="11" t="s">
        <v>373</v>
      </c>
      <c r="F187" s="11" t="s">
        <v>374</v>
      </c>
      <c r="G187" s="11"/>
      <c r="H187" s="21"/>
      <c r="I187" s="11" t="s">
        <v>103</v>
      </c>
      <c r="J187" s="11" t="s">
        <v>125</v>
      </c>
      <c r="K187" s="11" t="s">
        <v>112</v>
      </c>
      <c r="L187" s="11"/>
      <c r="M187" s="11"/>
      <c r="N187" s="18" t="str">
        <f>IF(ISNUMBER(SEARCH("ANALOG",Table24[[#This Row],[Type]]))=TRUE,1,"")</f>
        <v/>
      </c>
      <c r="O187" s="18">
        <f>IF(ISNUMBER(SEARCH("BINARY",Table24[[#This Row],[Type]]))=TRUE,1,"")</f>
        <v>1</v>
      </c>
      <c r="P187" s="7" t="e">
        <f>IF(Table24[[#This Row],[Type]]="","",LEFT(Table24[[#This Row],[Type]],1)&amp;LEFT(#REF!,1))</f>
        <v>#REF!</v>
      </c>
      <c r="Q187" s="18" t="e">
        <f>IF(Table24[[#This Row],[Type]]="","",LEFT(Table24[[#This Row],[Type]],1)&amp;LEFT(#REF!,1))</f>
        <v>#REF!</v>
      </c>
      <c r="R187" s="18"/>
      <c r="S187" s="7" t="e">
        <f>IF(Table24[[#This Row],[A Counter]]=1,"AI"&amp;#REF!+SUM($N$35:N187),IF(Table24[[#This Row],[B Counter]]=1,"BI"&amp;#REF!+SUM($O$35:O187),""))</f>
        <v>#REF!</v>
      </c>
      <c r="T187" s="26" t="s">
        <v>34</v>
      </c>
      <c r="U187" s="7"/>
    </row>
    <row r="188" spans="1:21" x14ac:dyDescent="0.25">
      <c r="A188">
        <f t="shared" si="6"/>
        <v>179</v>
      </c>
      <c r="B188" s="93" t="str">
        <f>IFERROR(RIGHT(Table24[[#This Row],[Controller Input '#]],3)*1,"")</f>
        <v/>
      </c>
      <c r="C188" s="99"/>
      <c r="D188" s="1"/>
      <c r="E188" s="11" t="s">
        <v>375</v>
      </c>
      <c r="F188" s="11" t="s">
        <v>376</v>
      </c>
      <c r="G188" s="11"/>
      <c r="H188" s="21"/>
      <c r="I188" s="11" t="s">
        <v>70</v>
      </c>
      <c r="J188" s="11" t="s">
        <v>125</v>
      </c>
      <c r="K188" s="11" t="s">
        <v>80</v>
      </c>
      <c r="L188" s="11"/>
      <c r="M188" s="23"/>
      <c r="N188" s="18">
        <f>IF(ISNUMBER(SEARCH("ANALOG",Table24[[#This Row],[Type]]))=TRUE,1,"")</f>
        <v>1</v>
      </c>
      <c r="O188" s="18" t="str">
        <f>IF(ISNUMBER(SEARCH("BINARY",Table24[[#This Row],[Type]]))=TRUE,1,"")</f>
        <v/>
      </c>
      <c r="P188" s="7" t="e">
        <f>IF(Table24[[#This Row],[Type]]="","",LEFT(Table24[[#This Row],[Type]],1)&amp;LEFT(#REF!,1))</f>
        <v>#REF!</v>
      </c>
      <c r="Q188" s="18" t="e">
        <f>IF(Table24[[#This Row],[Type]]="","",LEFT(Table24[[#This Row],[Type]],1)&amp;LEFT(#REF!,1))</f>
        <v>#REF!</v>
      </c>
      <c r="R188" s="18"/>
      <c r="S188" s="7" t="e">
        <f>IF(Table24[[#This Row],[A Counter]]=1,"AI"&amp;#REF!+SUM($N$35:N188),IF(Table24[[#This Row],[B Counter]]=1,"BI"&amp;#REF!+SUM($O$35:O188),""))</f>
        <v>#REF!</v>
      </c>
      <c r="T188" s="28" t="s">
        <v>34</v>
      </c>
      <c r="U188" s="7"/>
    </row>
    <row r="189" spans="1:21" x14ac:dyDescent="0.25">
      <c r="A189">
        <f t="shared" si="6"/>
        <v>180</v>
      </c>
      <c r="B189" s="93" t="str">
        <f>IFERROR(RIGHT(Table24[[#This Row],[Controller Input '#]],3)*1,"")</f>
        <v/>
      </c>
      <c r="C189" s="99"/>
      <c r="D189" s="1"/>
      <c r="E189" s="23" t="s">
        <v>377</v>
      </c>
      <c r="F189" s="23" t="s">
        <v>378</v>
      </c>
      <c r="G189" s="23"/>
      <c r="H189" s="27"/>
      <c r="I189" s="23" t="s">
        <v>70</v>
      </c>
      <c r="J189" s="23" t="s">
        <v>125</v>
      </c>
      <c r="K189" s="23" t="s">
        <v>127</v>
      </c>
      <c r="L189" s="23"/>
      <c r="M189" s="11"/>
      <c r="N189" s="18">
        <f>IF(ISNUMBER(SEARCH("ANALOG",Table24[[#This Row],[Type]]))=TRUE,1,"")</f>
        <v>1</v>
      </c>
      <c r="O189" s="18" t="str">
        <f>IF(ISNUMBER(SEARCH("BINARY",Table24[[#This Row],[Type]]))=TRUE,1,"")</f>
        <v/>
      </c>
      <c r="P189" s="7" t="e">
        <f>IF(Table24[[#This Row],[Type]]="","",LEFT(Table24[[#This Row],[Type]],1)&amp;LEFT(#REF!,1))</f>
        <v>#REF!</v>
      </c>
      <c r="Q189" s="18" t="e">
        <f>IF(Table24[[#This Row],[Type]]="","",LEFT(Table24[[#This Row],[Type]],1)&amp;LEFT(#REF!,1))</f>
        <v>#REF!</v>
      </c>
      <c r="R189" s="18"/>
      <c r="S189" s="7" t="e">
        <f>IF(Table24[[#This Row],[A Counter]]=1,"AI"&amp;#REF!+SUM($N$35:N189),IF(Table24[[#This Row],[B Counter]]=1,"BI"&amp;#REF!+SUM($O$35:O189),""))</f>
        <v>#REF!</v>
      </c>
      <c r="T189" s="26" t="s">
        <v>34</v>
      </c>
      <c r="U189" s="7"/>
    </row>
    <row r="190" spans="1:21" x14ac:dyDescent="0.25">
      <c r="A190">
        <f t="shared" si="6"/>
        <v>181</v>
      </c>
      <c r="B190" s="93" t="str">
        <f>IFERROR(RIGHT(Table24[[#This Row],[Controller Input '#]],3)*1,"")</f>
        <v/>
      </c>
      <c r="C190" s="99"/>
      <c r="D190" s="1"/>
      <c r="E190" s="11" t="s">
        <v>379</v>
      </c>
      <c r="F190" s="11" t="s">
        <v>380</v>
      </c>
      <c r="G190" s="11"/>
      <c r="H190" s="21"/>
      <c r="I190" s="11" t="s">
        <v>70</v>
      </c>
      <c r="J190" s="11" t="s">
        <v>125</v>
      </c>
      <c r="K190" s="11" t="s">
        <v>119</v>
      </c>
      <c r="L190" s="11"/>
      <c r="M190" s="11"/>
      <c r="N190" s="18">
        <f>IF(ISNUMBER(SEARCH("ANALOG",Table24[[#This Row],[Type]]))=TRUE,1,"")</f>
        <v>1</v>
      </c>
      <c r="O190" s="18" t="str">
        <f>IF(ISNUMBER(SEARCH("BINARY",Table24[[#This Row],[Type]]))=TRUE,1,"")</f>
        <v/>
      </c>
      <c r="P190" s="7" t="e">
        <f>IF(Table24[[#This Row],[Type]]="","",LEFT(Table24[[#This Row],[Type]],1)&amp;LEFT(#REF!,1))</f>
        <v>#REF!</v>
      </c>
      <c r="Q190" s="18" t="e">
        <f>IF(Table24[[#This Row],[Type]]="","",LEFT(Table24[[#This Row],[Type]],1)&amp;LEFT(#REF!,1))</f>
        <v>#REF!</v>
      </c>
      <c r="R190" s="18"/>
      <c r="S190" s="7" t="e">
        <f>IF(Table24[[#This Row],[A Counter]]=1,"AI"&amp;#REF!+SUM($N$35:N190),IF(Table24[[#This Row],[B Counter]]=1,"BI"&amp;#REF!+SUM($O$35:O190),""))</f>
        <v>#REF!</v>
      </c>
      <c r="T190" s="26" t="s">
        <v>34</v>
      </c>
      <c r="U190" s="7"/>
    </row>
    <row r="191" spans="1:21" x14ac:dyDescent="0.25">
      <c r="A191">
        <f t="shared" si="6"/>
        <v>182</v>
      </c>
      <c r="B191" s="93" t="str">
        <f>IFERROR(RIGHT(Table24[[#This Row],[Controller Input '#]],3)*1,"")</f>
        <v/>
      </c>
      <c r="C191" s="99"/>
      <c r="D191" s="1"/>
      <c r="E191" s="1"/>
      <c r="F191" s="1"/>
      <c r="G191" s="1"/>
      <c r="H191" s="8"/>
      <c r="I191" s="11"/>
      <c r="J191" s="1"/>
      <c r="K191" s="11"/>
      <c r="L191" s="1"/>
      <c r="M191" s="11"/>
      <c r="N191" s="18" t="str">
        <f>IF(ISNUMBER(SEARCH("ANALOG",Table24[[#This Row],[Type]]))=TRUE,1,"")</f>
        <v/>
      </c>
      <c r="O191" s="18" t="str">
        <f>IF(ISNUMBER(SEARCH("BINARY",Table24[[#This Row],[Type]]))=TRUE,1,"")</f>
        <v/>
      </c>
      <c r="P191" s="7" t="str">
        <f>IF(Table24[[#This Row],[Type]]="","",LEFT(Table24[[#This Row],[Type]],1)&amp;LEFT(#REF!,1))</f>
        <v/>
      </c>
      <c r="Q191" s="18" t="str">
        <f>IF(Table24[[#This Row],[Type]]="","",LEFT(Table24[[#This Row],[Type]],1)&amp;LEFT(#REF!,1))</f>
        <v/>
      </c>
      <c r="R191" s="18"/>
      <c r="S191" s="7" t="str">
        <f>IF(Table24[[#This Row],[A Counter]]=1,"AI"&amp;#REF!+SUM($N$35:N191),IF(Table24[[#This Row],[B Counter]]=1,"BI"&amp;#REF!+SUM($O$35:O191),""))</f>
        <v/>
      </c>
      <c r="T191" s="26" t="s">
        <v>34</v>
      </c>
      <c r="U191" s="7"/>
    </row>
    <row r="192" spans="1:21" x14ac:dyDescent="0.25">
      <c r="A192">
        <f t="shared" si="6"/>
        <v>183</v>
      </c>
      <c r="B192" s="93" t="str">
        <f>IFERROR(RIGHT(Table24[[#This Row],[Controller Input '#]],3)*1,"")</f>
        <v/>
      </c>
      <c r="C192" s="99"/>
      <c r="D192" s="1"/>
      <c r="E192" s="1" t="s">
        <v>383</v>
      </c>
      <c r="F192" s="1" t="s">
        <v>384</v>
      </c>
      <c r="G192" s="1"/>
      <c r="H192" s="8"/>
      <c r="I192" s="1" t="s">
        <v>103</v>
      </c>
      <c r="J192" s="1" t="s">
        <v>125</v>
      </c>
      <c r="K192" s="1" t="s">
        <v>112</v>
      </c>
      <c r="L192" s="1"/>
      <c r="M192" s="11"/>
      <c r="N192" s="18" t="str">
        <f>IF(ISNUMBER(SEARCH("ANALOG",Table24[[#This Row],[Type]]))=TRUE,1,"")</f>
        <v/>
      </c>
      <c r="O192" s="18">
        <f>IF(ISNUMBER(SEARCH("BINARY",Table24[[#This Row],[Type]]))=TRUE,1,"")</f>
        <v>1</v>
      </c>
      <c r="P192" s="7" t="e">
        <f>IF(Table24[[#This Row],[Type]]="","",LEFT(Table24[[#This Row],[Type]],1)&amp;LEFT(#REF!,1))</f>
        <v>#REF!</v>
      </c>
      <c r="Q192" s="18" t="e">
        <f>IF(Table24[[#This Row],[Type]]="","",LEFT(Table24[[#This Row],[Type]],1)&amp;LEFT(#REF!,1))</f>
        <v>#REF!</v>
      </c>
      <c r="R192" s="18"/>
      <c r="S192" s="7" t="e">
        <f>IF(Table24[[#This Row],[A Counter]]=1,"AI"&amp;#REF!+SUM($N$35:N192),IF(Table24[[#This Row],[B Counter]]=1,"BI"&amp;#REF!+SUM($O$35:O192),""))</f>
        <v>#REF!</v>
      </c>
      <c r="T192" s="26" t="s">
        <v>34</v>
      </c>
      <c r="U192" s="7"/>
    </row>
    <row r="193" spans="1:21" x14ac:dyDescent="0.25">
      <c r="A193">
        <f t="shared" si="6"/>
        <v>184</v>
      </c>
      <c r="B193" s="93" t="str">
        <f>IFERROR(RIGHT(Table24[[#This Row],[Controller Input '#]],3)*1,"")</f>
        <v/>
      </c>
      <c r="C193" s="99"/>
      <c r="D193" s="1"/>
      <c r="E193" s="1" t="s">
        <v>385</v>
      </c>
      <c r="F193" s="1" t="s">
        <v>386</v>
      </c>
      <c r="G193" s="1"/>
      <c r="H193" s="8"/>
      <c r="I193" s="1" t="s">
        <v>70</v>
      </c>
      <c r="J193" s="1" t="s">
        <v>125</v>
      </c>
      <c r="K193" s="1" t="s">
        <v>80</v>
      </c>
      <c r="L193" s="1"/>
      <c r="M193" s="23"/>
      <c r="N193" s="18">
        <f>IF(ISNUMBER(SEARCH("ANALOG",Table24[[#This Row],[Type]]))=TRUE,1,"")</f>
        <v>1</v>
      </c>
      <c r="O193" s="18" t="str">
        <f>IF(ISNUMBER(SEARCH("BINARY",Table24[[#This Row],[Type]]))=TRUE,1,"")</f>
        <v/>
      </c>
      <c r="P193" s="7" t="e">
        <f>IF(Table24[[#This Row],[Type]]="","",LEFT(Table24[[#This Row],[Type]],1)&amp;LEFT(#REF!,1))</f>
        <v>#REF!</v>
      </c>
      <c r="Q193" s="18" t="e">
        <f>IF(Table24[[#This Row],[Type]]="","",LEFT(Table24[[#This Row],[Type]],1)&amp;LEFT(#REF!,1))</f>
        <v>#REF!</v>
      </c>
      <c r="R193" s="18"/>
      <c r="S193" s="7" t="e">
        <f>IF(Table24[[#This Row],[A Counter]]=1,"AI"&amp;#REF!+SUM($N$35:N193),IF(Table24[[#This Row],[B Counter]]=1,"BI"&amp;#REF!+SUM($O$35:O193),""))</f>
        <v>#REF!</v>
      </c>
      <c r="T193" s="28" t="s">
        <v>34</v>
      </c>
      <c r="U193" s="7"/>
    </row>
    <row r="194" spans="1:21" x14ac:dyDescent="0.25">
      <c r="A194">
        <f t="shared" si="6"/>
        <v>185</v>
      </c>
      <c r="B194" s="93" t="str">
        <f>IFERROR(RIGHT(Table24[[#This Row],[Controller Input '#]],3)*1,"")</f>
        <v/>
      </c>
      <c r="C194" s="99"/>
      <c r="D194" s="1"/>
      <c r="E194" s="1" t="s">
        <v>387</v>
      </c>
      <c r="F194" s="1" t="s">
        <v>388</v>
      </c>
      <c r="G194" s="11"/>
      <c r="H194" s="21"/>
      <c r="I194" s="1" t="s">
        <v>70</v>
      </c>
      <c r="J194" s="1" t="s">
        <v>125</v>
      </c>
      <c r="K194" s="1" t="s">
        <v>127</v>
      </c>
      <c r="L194" s="1"/>
      <c r="M194" s="11"/>
      <c r="N194" s="18">
        <f>IF(ISNUMBER(SEARCH("ANALOG",Table24[[#This Row],[Type]]))=TRUE,1,"")</f>
        <v>1</v>
      </c>
      <c r="O194" s="18" t="str">
        <f>IF(ISNUMBER(SEARCH("BINARY",Table24[[#This Row],[Type]]))=TRUE,1,"")</f>
        <v/>
      </c>
      <c r="P194" s="7" t="e">
        <f>IF(Table24[[#This Row],[Type]]="","",LEFT(Table24[[#This Row],[Type]],1)&amp;LEFT(#REF!,1))</f>
        <v>#REF!</v>
      </c>
      <c r="Q194" s="18" t="e">
        <f>IF(Table24[[#This Row],[Type]]="","",LEFT(Table24[[#This Row],[Type]],1)&amp;LEFT(#REF!,1))</f>
        <v>#REF!</v>
      </c>
      <c r="R194" s="18"/>
      <c r="S194" s="7" t="e">
        <f>IF(Table24[[#This Row],[A Counter]]=1,"AI"&amp;#REF!+SUM($N$35:N194),IF(Table24[[#This Row],[B Counter]]=1,"BI"&amp;#REF!+SUM($O$35:O194),""))</f>
        <v>#REF!</v>
      </c>
      <c r="T194" s="26" t="s">
        <v>34</v>
      </c>
      <c r="U194" s="7"/>
    </row>
    <row r="195" spans="1:21" x14ac:dyDescent="0.25">
      <c r="A195">
        <f t="shared" si="6"/>
        <v>186</v>
      </c>
      <c r="B195" s="93" t="str">
        <f>IFERROR(RIGHT(Table24[[#This Row],[Controller Input '#]],3)*1,"")</f>
        <v/>
      </c>
      <c r="C195" s="98"/>
      <c r="D195" s="1"/>
      <c r="E195" s="1" t="s">
        <v>389</v>
      </c>
      <c r="F195" s="1" t="s">
        <v>390</v>
      </c>
      <c r="G195" s="11"/>
      <c r="H195" s="21"/>
      <c r="I195" s="1" t="s">
        <v>70</v>
      </c>
      <c r="J195" s="1" t="s">
        <v>125</v>
      </c>
      <c r="K195" s="1" t="s">
        <v>119</v>
      </c>
      <c r="L195" s="1"/>
      <c r="M195" s="1"/>
      <c r="N195" s="18">
        <f>IF(ISNUMBER(SEARCH("ANALOG",Table24[[#This Row],[Type]]))=TRUE,1,"")</f>
        <v>1</v>
      </c>
      <c r="O195" s="18" t="str">
        <f>IF(ISNUMBER(SEARCH("BINARY",Table24[[#This Row],[Type]]))=TRUE,1,"")</f>
        <v/>
      </c>
      <c r="P195" s="7" t="e">
        <f>IF(Table24[[#This Row],[Type]]="","",LEFT(Table24[[#This Row],[Type]],1)&amp;LEFT(#REF!,1))</f>
        <v>#REF!</v>
      </c>
      <c r="Q195" s="18" t="e">
        <f>IF(Table24[[#This Row],[Type]]="","",LEFT(Table24[[#This Row],[Type]],1)&amp;LEFT(#REF!,1))</f>
        <v>#REF!</v>
      </c>
      <c r="R195" s="18"/>
      <c r="S195" s="7" t="e">
        <f>IF(Table24[[#This Row],[A Counter]]=1,"AI"&amp;#REF!+SUM($N$35:N195),IF(Table24[[#This Row],[B Counter]]=1,"BI"&amp;#REF!+SUM($O$35:O195),""))</f>
        <v>#REF!</v>
      </c>
      <c r="T195" s="18" t="s">
        <v>34</v>
      </c>
      <c r="U195" s="7"/>
    </row>
    <row r="196" spans="1:21" x14ac:dyDescent="0.25">
      <c r="A196">
        <f t="shared" si="6"/>
        <v>187</v>
      </c>
      <c r="B196" s="93" t="str">
        <f>IFERROR(RIGHT(Table24[[#This Row],[Controller Input '#]],3)*1,"")</f>
        <v/>
      </c>
      <c r="C196" s="98"/>
      <c r="D196" s="1"/>
      <c r="E196" s="1"/>
      <c r="F196" s="1"/>
      <c r="G196" s="1"/>
      <c r="H196" s="21"/>
      <c r="I196" s="11"/>
      <c r="J196" s="1"/>
      <c r="K196" s="11"/>
      <c r="L196" s="1"/>
      <c r="M196" s="1"/>
      <c r="N196" s="18" t="str">
        <f>IF(ISNUMBER(SEARCH("ANALOG",Table24[[#This Row],[Type]]))=TRUE,1,"")</f>
        <v/>
      </c>
      <c r="O196" s="18" t="str">
        <f>IF(ISNUMBER(SEARCH("BINARY",Table24[[#This Row],[Type]]))=TRUE,1,"")</f>
        <v/>
      </c>
      <c r="P196" s="7" t="str">
        <f>IF(Table24[[#This Row],[Type]]="","",LEFT(Table24[[#This Row],[Type]],1)&amp;LEFT(#REF!,1))</f>
        <v/>
      </c>
      <c r="Q196" s="18" t="str">
        <f>IF(Table24[[#This Row],[Type]]="","",LEFT(Table24[[#This Row],[Type]],1)&amp;LEFT(#REF!,1))</f>
        <v/>
      </c>
      <c r="R196" s="18"/>
      <c r="S196" s="7" t="str">
        <f>IF(Table24[[#This Row],[A Counter]]=1,"AI"&amp;#REF!+SUM($N$35:N196),IF(Table24[[#This Row],[B Counter]]=1,"BI"&amp;#REF!+SUM($O$35:O196),""))</f>
        <v/>
      </c>
      <c r="T196" s="18" t="s">
        <v>34</v>
      </c>
      <c r="U196" s="7"/>
    </row>
    <row r="197" spans="1:21" x14ac:dyDescent="0.25">
      <c r="A197">
        <f t="shared" si="6"/>
        <v>188</v>
      </c>
      <c r="B197" s="93" t="str">
        <f>IFERROR(RIGHT(Table24[[#This Row],[Controller Input '#]],3)*1,"")</f>
        <v/>
      </c>
      <c r="C197" s="98"/>
      <c r="D197" s="1"/>
      <c r="E197" s="1" t="s">
        <v>393</v>
      </c>
      <c r="F197" s="1" t="s">
        <v>394</v>
      </c>
      <c r="G197" s="11"/>
      <c r="H197" s="21"/>
      <c r="I197" s="1" t="s">
        <v>103</v>
      </c>
      <c r="J197" s="1" t="s">
        <v>125</v>
      </c>
      <c r="K197" s="1" t="s">
        <v>112</v>
      </c>
      <c r="L197" s="1"/>
      <c r="M197" s="1"/>
      <c r="N197" s="18" t="str">
        <f>IF(ISNUMBER(SEARCH("ANALOG",Table24[[#This Row],[Type]]))=TRUE,1,"")</f>
        <v/>
      </c>
      <c r="O197" s="18">
        <f>IF(ISNUMBER(SEARCH("BINARY",Table24[[#This Row],[Type]]))=TRUE,1,"")</f>
        <v>1</v>
      </c>
      <c r="P197" s="7" t="e">
        <f>IF(Table24[[#This Row],[Type]]="","",LEFT(Table24[[#This Row],[Type]],1)&amp;LEFT(#REF!,1))</f>
        <v>#REF!</v>
      </c>
      <c r="Q197" s="18" t="e">
        <f>IF(Table24[[#This Row],[Type]]="","",LEFT(Table24[[#This Row],[Type]],1)&amp;LEFT(#REF!,1))</f>
        <v>#REF!</v>
      </c>
      <c r="R197" s="18"/>
      <c r="S197" s="7" t="e">
        <f>IF(Table24[[#This Row],[A Counter]]=1,"AI"&amp;#REF!+SUM($N$35:N197),IF(Table24[[#This Row],[B Counter]]=1,"BI"&amp;#REF!+SUM($O$35:O197),""))</f>
        <v>#REF!</v>
      </c>
      <c r="T197" s="18" t="s">
        <v>34</v>
      </c>
      <c r="U197" s="7"/>
    </row>
    <row r="198" spans="1:21" x14ac:dyDescent="0.25">
      <c r="A198">
        <f t="shared" si="6"/>
        <v>189</v>
      </c>
      <c r="B198" s="93" t="str">
        <f>IFERROR(RIGHT(Table24[[#This Row],[Controller Input '#]],3)*1,"")</f>
        <v/>
      </c>
      <c r="C198" s="98"/>
      <c r="D198" s="1"/>
      <c r="E198" s="1" t="s">
        <v>395</v>
      </c>
      <c r="F198" s="1" t="s">
        <v>396</v>
      </c>
      <c r="G198" s="1"/>
      <c r="H198" s="8"/>
      <c r="I198" s="1" t="s">
        <v>70</v>
      </c>
      <c r="J198" s="1" t="s">
        <v>125</v>
      </c>
      <c r="K198" s="1" t="s">
        <v>80</v>
      </c>
      <c r="L198" s="1"/>
      <c r="M198" s="1"/>
      <c r="N198" s="18">
        <f>IF(ISNUMBER(SEARCH("ANALOG",Table24[[#This Row],[Type]]))=TRUE,1,"")</f>
        <v>1</v>
      </c>
      <c r="O198" s="18" t="str">
        <f>IF(ISNUMBER(SEARCH("BINARY",Table24[[#This Row],[Type]]))=TRUE,1,"")</f>
        <v/>
      </c>
      <c r="P198" s="7" t="e">
        <f>IF(Table24[[#This Row],[Type]]="","",LEFT(Table24[[#This Row],[Type]],1)&amp;LEFT(#REF!,1))</f>
        <v>#REF!</v>
      </c>
      <c r="Q198" s="18" t="e">
        <f>IF(Table24[[#This Row],[Type]]="","",LEFT(Table24[[#This Row],[Type]],1)&amp;LEFT(#REF!,1))</f>
        <v>#REF!</v>
      </c>
      <c r="R198" s="18"/>
      <c r="S198" s="7" t="e">
        <f>IF(Table24[[#This Row],[A Counter]]=1,"AI"&amp;#REF!+SUM($N$35:N198),IF(Table24[[#This Row],[B Counter]]=1,"BI"&amp;#REF!+SUM($O$35:O198),""))</f>
        <v>#REF!</v>
      </c>
      <c r="T198" s="18" t="s">
        <v>34</v>
      </c>
      <c r="U198" s="7"/>
    </row>
    <row r="199" spans="1:21" x14ac:dyDescent="0.25">
      <c r="A199">
        <f t="shared" si="6"/>
        <v>190</v>
      </c>
      <c r="B199" s="93" t="str">
        <f>IFERROR(RIGHT(Table24[[#This Row],[Controller Input '#]],3)*1,"")</f>
        <v/>
      </c>
      <c r="C199" s="98"/>
      <c r="D199" s="1"/>
      <c r="E199" s="1" t="s">
        <v>397</v>
      </c>
      <c r="F199" s="1" t="s">
        <v>398</v>
      </c>
      <c r="G199" s="1"/>
      <c r="H199" s="8"/>
      <c r="I199" s="1" t="s">
        <v>70</v>
      </c>
      <c r="J199" s="1" t="s">
        <v>125</v>
      </c>
      <c r="K199" s="1" t="s">
        <v>127</v>
      </c>
      <c r="L199" s="1"/>
      <c r="M199" s="1"/>
      <c r="N199" s="18">
        <f>IF(ISNUMBER(SEARCH("ANALOG",Table24[[#This Row],[Type]]))=TRUE,1,"")</f>
        <v>1</v>
      </c>
      <c r="O199" s="18" t="str">
        <f>IF(ISNUMBER(SEARCH("BINARY",Table24[[#This Row],[Type]]))=TRUE,1,"")</f>
        <v/>
      </c>
      <c r="P199" s="7" t="e">
        <f>IF(Table24[[#This Row],[Type]]="","",LEFT(Table24[[#This Row],[Type]],1)&amp;LEFT(#REF!,1))</f>
        <v>#REF!</v>
      </c>
      <c r="Q199" s="18" t="e">
        <f>IF(Table24[[#This Row],[Type]]="","",LEFT(Table24[[#This Row],[Type]],1)&amp;LEFT(#REF!,1))</f>
        <v>#REF!</v>
      </c>
      <c r="R199" s="18"/>
      <c r="S199" s="7" t="e">
        <f>IF(Table24[[#This Row],[A Counter]]=1,"AI"&amp;#REF!+SUM($N$35:N199),IF(Table24[[#This Row],[B Counter]]=1,"BI"&amp;#REF!+SUM($O$35:O199),""))</f>
        <v>#REF!</v>
      </c>
      <c r="T199" s="18" t="s">
        <v>34</v>
      </c>
      <c r="U199" s="7"/>
    </row>
    <row r="200" spans="1:21" x14ac:dyDescent="0.25">
      <c r="A200">
        <f t="shared" si="6"/>
        <v>191</v>
      </c>
      <c r="B200" s="93" t="str">
        <f>IFERROR(RIGHT(Table24[[#This Row],[Controller Input '#]],3)*1,"")</f>
        <v/>
      </c>
      <c r="C200" s="98"/>
      <c r="D200" s="1"/>
      <c r="E200" s="1" t="s">
        <v>399</v>
      </c>
      <c r="F200" s="1" t="s">
        <v>400</v>
      </c>
      <c r="G200" s="1"/>
      <c r="H200" s="8"/>
      <c r="I200" s="1" t="s">
        <v>70</v>
      </c>
      <c r="J200" s="1" t="s">
        <v>125</v>
      </c>
      <c r="K200" s="1" t="s">
        <v>119</v>
      </c>
      <c r="L200" s="1"/>
      <c r="M200" s="1"/>
      <c r="N200" s="18">
        <f>IF(ISNUMBER(SEARCH("ANALOG",Table24[[#This Row],[Type]]))=TRUE,1,"")</f>
        <v>1</v>
      </c>
      <c r="O200" s="18" t="str">
        <f>IF(ISNUMBER(SEARCH("BINARY",Table24[[#This Row],[Type]]))=TRUE,1,"")</f>
        <v/>
      </c>
      <c r="P200" s="7" t="e">
        <f>IF(Table24[[#This Row],[Type]]="","",LEFT(Table24[[#This Row],[Type]],1)&amp;LEFT(#REF!,1))</f>
        <v>#REF!</v>
      </c>
      <c r="Q200" s="18" t="e">
        <f>IF(Table24[[#This Row],[Type]]="","",LEFT(Table24[[#This Row],[Type]],1)&amp;LEFT(#REF!,1))</f>
        <v>#REF!</v>
      </c>
      <c r="R200" s="18"/>
      <c r="S200" s="7" t="e">
        <f>IF(Table24[[#This Row],[A Counter]]=1,"AI"&amp;#REF!+SUM($N$35:N200),IF(Table24[[#This Row],[B Counter]]=1,"BI"&amp;#REF!+SUM($O$35:O200),""))</f>
        <v>#REF!</v>
      </c>
      <c r="T200" s="18" t="s">
        <v>34</v>
      </c>
      <c r="U200" s="7"/>
    </row>
    <row r="201" spans="1:21" x14ac:dyDescent="0.25">
      <c r="A201">
        <f t="shared" si="6"/>
        <v>192</v>
      </c>
      <c r="B201" s="93" t="str">
        <f>IFERROR(RIGHT(Table24[[#This Row],[Controller Input '#]],3)*1,"")</f>
        <v/>
      </c>
      <c r="C201" s="99"/>
      <c r="D201" s="1"/>
      <c r="E201" s="11" t="s">
        <v>401</v>
      </c>
      <c r="F201" s="11" t="s">
        <v>402</v>
      </c>
      <c r="G201" s="11"/>
      <c r="H201" s="21"/>
      <c r="I201" s="11" t="s">
        <v>70</v>
      </c>
      <c r="J201" s="11" t="s">
        <v>125</v>
      </c>
      <c r="K201" s="11" t="s">
        <v>80</v>
      </c>
      <c r="L201" s="11" t="s">
        <v>81</v>
      </c>
      <c r="M201" s="1"/>
      <c r="N201" s="18">
        <f>IF(ISNUMBER(SEARCH("ANALOG",Table24[[#This Row],[Type]]))=TRUE,1,"")</f>
        <v>1</v>
      </c>
      <c r="O201" s="18" t="str">
        <f>IF(ISNUMBER(SEARCH("BINARY",Table24[[#This Row],[Type]]))=TRUE,1,"")</f>
        <v/>
      </c>
      <c r="P201" s="7" t="e">
        <f>IF(Table24[[#This Row],[Type]]="","",LEFT(Table24[[#This Row],[Type]],1)&amp;LEFT(#REF!,1))</f>
        <v>#REF!</v>
      </c>
      <c r="Q201" s="18" t="e">
        <f>IF(Table24[[#This Row],[Type]]="","",LEFT(Table24[[#This Row],[Type]],1)&amp;LEFT(#REF!,1))</f>
        <v>#REF!</v>
      </c>
      <c r="R201" s="18"/>
      <c r="S201" s="7" t="e">
        <f>IF(Table24[[#This Row],[A Counter]]=1,"AI"&amp;#REF!+SUM($N$35:N201),IF(Table24[[#This Row],[B Counter]]=1,"BI"&amp;#REF!+SUM($O$35:O201),""))</f>
        <v>#REF!</v>
      </c>
      <c r="T201" s="18" t="s">
        <v>34</v>
      </c>
      <c r="U201" s="7"/>
    </row>
    <row r="202" spans="1:21" x14ac:dyDescent="0.25">
      <c r="A202">
        <f t="shared" si="6"/>
        <v>193</v>
      </c>
      <c r="B202" s="93" t="str">
        <f>IFERROR(RIGHT(Table24[[#This Row],[Controller Input '#]],3)*1,"")</f>
        <v/>
      </c>
      <c r="C202" s="99"/>
      <c r="D202" s="1"/>
      <c r="E202" s="11" t="s">
        <v>403</v>
      </c>
      <c r="F202" s="11" t="s">
        <v>404</v>
      </c>
      <c r="G202" s="11"/>
      <c r="H202" s="21"/>
      <c r="I202" s="11" t="s">
        <v>103</v>
      </c>
      <c r="J202" s="11" t="s">
        <v>125</v>
      </c>
      <c r="K202" s="11" t="s">
        <v>112</v>
      </c>
      <c r="L202" s="11"/>
      <c r="M202" s="1"/>
      <c r="N202" s="18" t="str">
        <f>IF(ISNUMBER(SEARCH("ANALOG",Table24[[#This Row],[Type]]))=TRUE,1,"")</f>
        <v/>
      </c>
      <c r="O202" s="18">
        <f>IF(ISNUMBER(SEARCH("BINARY",Table24[[#This Row],[Type]]))=TRUE,1,"")</f>
        <v>1</v>
      </c>
      <c r="P202" s="7" t="e">
        <f>IF(Table24[[#This Row],[Type]]="","",LEFT(Table24[[#This Row],[Type]],1)&amp;LEFT(#REF!,1))</f>
        <v>#REF!</v>
      </c>
      <c r="Q202" s="18" t="e">
        <f>IF(Table24[[#This Row],[Type]]="","",LEFT(Table24[[#This Row],[Type]],1)&amp;LEFT(#REF!,1))</f>
        <v>#REF!</v>
      </c>
      <c r="R202" s="18"/>
      <c r="S202" s="7" t="e">
        <f>IF(Table24[[#This Row],[A Counter]]=1,"AI"&amp;#REF!+SUM($N$35:N202),IF(Table24[[#This Row],[B Counter]]=1,"BI"&amp;#REF!+SUM($O$35:O202),""))</f>
        <v>#REF!</v>
      </c>
      <c r="T202" s="18" t="s">
        <v>34</v>
      </c>
      <c r="U202" s="7"/>
    </row>
    <row r="203" spans="1:21" x14ac:dyDescent="0.25">
      <c r="A203">
        <f t="shared" si="6"/>
        <v>194</v>
      </c>
      <c r="B203" s="93" t="str">
        <f>IFERROR(RIGHT(Table24[[#This Row],[Controller Input '#]],3)*1,"")</f>
        <v/>
      </c>
      <c r="C203" s="98"/>
      <c r="D203" s="1"/>
      <c r="E203" s="11" t="s">
        <v>405</v>
      </c>
      <c r="F203" s="11" t="s">
        <v>406</v>
      </c>
      <c r="G203" s="11"/>
      <c r="H203" s="21"/>
      <c r="I203" s="11" t="s">
        <v>70</v>
      </c>
      <c r="J203" s="11" t="s">
        <v>125</v>
      </c>
      <c r="K203" s="11" t="s">
        <v>80</v>
      </c>
      <c r="L203" s="11" t="s">
        <v>81</v>
      </c>
      <c r="M203" s="1"/>
      <c r="N203" s="18">
        <f>IF(ISNUMBER(SEARCH("ANALOG",Table24[[#This Row],[Type]]))=TRUE,1,"")</f>
        <v>1</v>
      </c>
      <c r="O203" s="18" t="str">
        <f>IF(ISNUMBER(SEARCH("BINARY",Table24[[#This Row],[Type]]))=TRUE,1,"")</f>
        <v/>
      </c>
      <c r="P203" s="7" t="e">
        <f>IF(Table24[[#This Row],[Type]]="","",LEFT(Table24[[#This Row],[Type]],1)&amp;LEFT(#REF!,1))</f>
        <v>#REF!</v>
      </c>
      <c r="Q203" s="18" t="e">
        <f>IF(Table24[[#This Row],[Type]]="","",LEFT(Table24[[#This Row],[Type]],1)&amp;LEFT(#REF!,1))</f>
        <v>#REF!</v>
      </c>
      <c r="R203" s="18"/>
      <c r="S203" s="7" t="e">
        <f>IF(Table24[[#This Row],[A Counter]]=1,"AI"&amp;#REF!+SUM($N$35:N203),IF(Table24[[#This Row],[B Counter]]=1,"BI"&amp;#REF!+SUM($O$35:O203),""))</f>
        <v>#REF!</v>
      </c>
      <c r="T203" s="18" t="s">
        <v>34</v>
      </c>
      <c r="U203" s="7"/>
    </row>
    <row r="204" spans="1:21" x14ac:dyDescent="0.25">
      <c r="A204">
        <f t="shared" si="6"/>
        <v>195</v>
      </c>
      <c r="B204" s="93" t="str">
        <f>IFERROR(RIGHT(Table24[[#This Row],[Controller Input '#]],3)*1,"")</f>
        <v/>
      </c>
      <c r="C204" s="98"/>
      <c r="D204" s="1"/>
      <c r="E204" s="11" t="s">
        <v>407</v>
      </c>
      <c r="F204" s="11" t="s">
        <v>408</v>
      </c>
      <c r="G204" s="11"/>
      <c r="H204" s="21"/>
      <c r="I204" s="11" t="s">
        <v>103</v>
      </c>
      <c r="J204" s="11" t="s">
        <v>125</v>
      </c>
      <c r="K204" s="11" t="s">
        <v>112</v>
      </c>
      <c r="L204" s="11"/>
      <c r="M204" s="1"/>
      <c r="N204" s="18" t="str">
        <f>IF(ISNUMBER(SEARCH("ANALOG",Table24[[#This Row],[Type]]))=TRUE,1,"")</f>
        <v/>
      </c>
      <c r="O204" s="18">
        <f>IF(ISNUMBER(SEARCH("BINARY",Table24[[#This Row],[Type]]))=TRUE,1,"")</f>
        <v>1</v>
      </c>
      <c r="P204" s="7" t="e">
        <f>IF(Table24[[#This Row],[Type]]="","",LEFT(Table24[[#This Row],[Type]],1)&amp;LEFT(#REF!,1))</f>
        <v>#REF!</v>
      </c>
      <c r="Q204" s="18" t="e">
        <f>IF(Table24[[#This Row],[Type]]="","",LEFT(Table24[[#This Row],[Type]],1)&amp;LEFT(#REF!,1))</f>
        <v>#REF!</v>
      </c>
      <c r="R204" s="18"/>
      <c r="S204" s="7" t="e">
        <f>IF(Table24[[#This Row],[A Counter]]=1,"AI"&amp;#REF!+SUM($N$35:N204),IF(Table24[[#This Row],[B Counter]]=1,"BI"&amp;#REF!+SUM($O$35:O204),""))</f>
        <v>#REF!</v>
      </c>
      <c r="T204" s="18" t="s">
        <v>34</v>
      </c>
      <c r="U204" s="7"/>
    </row>
    <row r="205" spans="1:21" x14ac:dyDescent="0.25">
      <c r="A205">
        <f t="shared" si="6"/>
        <v>196</v>
      </c>
      <c r="B205" s="93" t="str">
        <f>IFERROR(RIGHT(Table24[[#This Row],[Controller Input '#]],3)*1,"")</f>
        <v/>
      </c>
      <c r="C205" s="99"/>
      <c r="D205" s="1"/>
      <c r="E205" s="11" t="s">
        <v>409</v>
      </c>
      <c r="F205" s="11" t="s">
        <v>410</v>
      </c>
      <c r="G205" s="11"/>
      <c r="H205" s="21"/>
      <c r="I205" s="11" t="s">
        <v>70</v>
      </c>
      <c r="J205" s="11" t="s">
        <v>125</v>
      </c>
      <c r="K205" s="11" t="s">
        <v>80</v>
      </c>
      <c r="L205" s="11" t="s">
        <v>81</v>
      </c>
      <c r="M205" s="1"/>
      <c r="N205" s="18">
        <f>IF(ISNUMBER(SEARCH("ANALOG",Table24[[#This Row],[Type]]))=TRUE,1,"")</f>
        <v>1</v>
      </c>
      <c r="O205" s="18" t="str">
        <f>IF(ISNUMBER(SEARCH("BINARY",Table24[[#This Row],[Type]]))=TRUE,1,"")</f>
        <v/>
      </c>
      <c r="P205" s="7" t="e">
        <f>IF(Table24[[#This Row],[Type]]="","",LEFT(Table24[[#This Row],[Type]],1)&amp;LEFT(#REF!,1))</f>
        <v>#REF!</v>
      </c>
      <c r="Q205" s="18" t="e">
        <f>IF(Table24[[#This Row],[Type]]="","",LEFT(Table24[[#This Row],[Type]],1)&amp;LEFT(#REF!,1))</f>
        <v>#REF!</v>
      </c>
      <c r="R205" s="18"/>
      <c r="S205" s="7" t="e">
        <f>IF(Table24[[#This Row],[A Counter]]=1,"AI"&amp;#REF!+SUM($N$35:N205),IF(Table24[[#This Row],[B Counter]]=1,"BI"&amp;#REF!+SUM($O$35:O205),""))</f>
        <v>#REF!</v>
      </c>
      <c r="T205" s="18" t="s">
        <v>34</v>
      </c>
      <c r="U205" s="7"/>
    </row>
    <row r="206" spans="1:21" x14ac:dyDescent="0.25">
      <c r="A206">
        <f t="shared" ref="A206:A253" si="7">A205+1</f>
        <v>197</v>
      </c>
      <c r="B206" s="93" t="str">
        <f>IFERROR(RIGHT(Table24[[#This Row],[Controller Input '#]],3)*1,"")</f>
        <v/>
      </c>
      <c r="C206" s="99"/>
      <c r="D206" s="1"/>
      <c r="E206" s="11" t="s">
        <v>411</v>
      </c>
      <c r="F206" s="11" t="s">
        <v>412</v>
      </c>
      <c r="G206" s="11"/>
      <c r="H206" s="21"/>
      <c r="I206" s="11" t="s">
        <v>103</v>
      </c>
      <c r="J206" s="11" t="s">
        <v>125</v>
      </c>
      <c r="K206" s="11" t="s">
        <v>112</v>
      </c>
      <c r="L206" s="11"/>
      <c r="M206" s="1"/>
      <c r="N206" s="18" t="str">
        <f>IF(ISNUMBER(SEARCH("ANALOG",Table24[[#This Row],[Type]]))=TRUE,1,"")</f>
        <v/>
      </c>
      <c r="O206" s="18">
        <f>IF(ISNUMBER(SEARCH("BINARY",Table24[[#This Row],[Type]]))=TRUE,1,"")</f>
        <v>1</v>
      </c>
      <c r="P206" s="7" t="e">
        <f>IF(Table24[[#This Row],[Type]]="","",LEFT(Table24[[#This Row],[Type]],1)&amp;LEFT(#REF!,1))</f>
        <v>#REF!</v>
      </c>
      <c r="Q206" s="18" t="e">
        <f>IF(Table24[[#This Row],[Type]]="","",LEFT(Table24[[#This Row],[Type]],1)&amp;LEFT(#REF!,1))</f>
        <v>#REF!</v>
      </c>
      <c r="R206" s="18"/>
      <c r="S206" s="7" t="e">
        <f>IF(Table24[[#This Row],[A Counter]]=1,"AI"&amp;#REF!+SUM($N$35:N206),IF(Table24[[#This Row],[B Counter]]=1,"BI"&amp;#REF!+SUM($O$35:O206),""))</f>
        <v>#REF!</v>
      </c>
      <c r="T206" s="18" t="s">
        <v>34</v>
      </c>
      <c r="U206" s="7"/>
    </row>
    <row r="207" spans="1:21" x14ac:dyDescent="0.25">
      <c r="A207">
        <f t="shared" si="7"/>
        <v>198</v>
      </c>
      <c r="B207" s="93" t="str">
        <f>IFERROR(RIGHT(Table24[[#This Row],[Controller Input '#]],3)*1,"")</f>
        <v/>
      </c>
      <c r="C207" s="99"/>
      <c r="D207" s="1"/>
      <c r="E207" s="11" t="s">
        <v>413</v>
      </c>
      <c r="F207" s="11" t="s">
        <v>414</v>
      </c>
      <c r="G207" s="11"/>
      <c r="H207" s="21"/>
      <c r="I207" s="11" t="s">
        <v>70</v>
      </c>
      <c r="J207" s="11" t="s">
        <v>125</v>
      </c>
      <c r="K207" s="11" t="s">
        <v>80</v>
      </c>
      <c r="L207" s="11" t="s">
        <v>81</v>
      </c>
      <c r="M207" s="1"/>
      <c r="N207" s="18">
        <f>IF(ISNUMBER(SEARCH("ANALOG",Table24[[#This Row],[Type]]))=TRUE,1,"")</f>
        <v>1</v>
      </c>
      <c r="O207" s="18" t="str">
        <f>IF(ISNUMBER(SEARCH("BINARY",Table24[[#This Row],[Type]]))=TRUE,1,"")</f>
        <v/>
      </c>
      <c r="P207" s="7" t="e">
        <f>IF(Table24[[#This Row],[Type]]="","",LEFT(Table24[[#This Row],[Type]],1)&amp;LEFT(#REF!,1))</f>
        <v>#REF!</v>
      </c>
      <c r="Q207" s="18" t="e">
        <f>IF(Table24[[#This Row],[Type]]="","",LEFT(Table24[[#This Row],[Type]],1)&amp;LEFT(#REF!,1))</f>
        <v>#REF!</v>
      </c>
      <c r="R207" s="18"/>
      <c r="S207" s="7" t="e">
        <f>IF(Table24[[#This Row],[A Counter]]=1,"AI"&amp;#REF!+SUM($N$35:N207),IF(Table24[[#This Row],[B Counter]]=1,"BI"&amp;#REF!+SUM($O$35:O207),""))</f>
        <v>#REF!</v>
      </c>
      <c r="T207" s="18" t="s">
        <v>34</v>
      </c>
      <c r="U207" s="7"/>
    </row>
    <row r="208" spans="1:21" x14ac:dyDescent="0.25">
      <c r="A208">
        <f t="shared" si="7"/>
        <v>199</v>
      </c>
      <c r="B208" s="93" t="str">
        <f>IFERROR(RIGHT(Table24[[#This Row],[Controller Input '#]],3)*1,"")</f>
        <v/>
      </c>
      <c r="C208" s="99"/>
      <c r="D208" s="1"/>
      <c r="E208" s="11" t="s">
        <v>415</v>
      </c>
      <c r="F208" s="11" t="s">
        <v>416</v>
      </c>
      <c r="G208" s="11"/>
      <c r="H208" s="21"/>
      <c r="I208" s="11" t="s">
        <v>103</v>
      </c>
      <c r="J208" s="11" t="s">
        <v>125</v>
      </c>
      <c r="K208" s="11" t="s">
        <v>112</v>
      </c>
      <c r="L208" s="11"/>
      <c r="M208" s="1"/>
      <c r="N208" s="18" t="str">
        <f>IF(ISNUMBER(SEARCH("ANALOG",Table24[[#This Row],[Type]]))=TRUE,1,"")</f>
        <v/>
      </c>
      <c r="O208" s="18">
        <f>IF(ISNUMBER(SEARCH("BINARY",Table24[[#This Row],[Type]]))=TRUE,1,"")</f>
        <v>1</v>
      </c>
      <c r="P208" s="7" t="e">
        <f>IF(Table24[[#This Row],[Type]]="","",LEFT(Table24[[#This Row],[Type]],1)&amp;LEFT(#REF!,1))</f>
        <v>#REF!</v>
      </c>
      <c r="Q208" s="18" t="e">
        <f>IF(Table24[[#This Row],[Type]]="","",LEFT(Table24[[#This Row],[Type]],1)&amp;LEFT(#REF!,1))</f>
        <v>#REF!</v>
      </c>
      <c r="R208" s="18"/>
      <c r="S208" s="7" t="e">
        <f>IF(Table24[[#This Row],[A Counter]]=1,"AI"&amp;#REF!+SUM($N$35:N208),IF(Table24[[#This Row],[B Counter]]=1,"BI"&amp;#REF!+SUM($O$35:O208),""))</f>
        <v>#REF!</v>
      </c>
      <c r="T208" s="18" t="s">
        <v>34</v>
      </c>
      <c r="U208" s="7"/>
    </row>
    <row r="209" spans="1:21" x14ac:dyDescent="0.25">
      <c r="A209">
        <f t="shared" si="7"/>
        <v>200</v>
      </c>
      <c r="B209" s="93" t="str">
        <f>IFERROR(RIGHT(Table24[[#This Row],[Controller Input '#]],3)*1,"")</f>
        <v/>
      </c>
      <c r="C209" s="99"/>
      <c r="D209" s="1"/>
      <c r="E209" s="11" t="s">
        <v>417</v>
      </c>
      <c r="F209" s="11" t="s">
        <v>418</v>
      </c>
      <c r="G209" s="11"/>
      <c r="H209" s="21"/>
      <c r="I209" s="11" t="s">
        <v>70</v>
      </c>
      <c r="J209" s="11" t="s">
        <v>125</v>
      </c>
      <c r="K209" s="11" t="s">
        <v>80</v>
      </c>
      <c r="L209" s="11" t="s">
        <v>81</v>
      </c>
      <c r="M209" s="1"/>
      <c r="N209" s="18">
        <f>IF(ISNUMBER(SEARCH("ANALOG",Table24[[#This Row],[Type]]))=TRUE,1,"")</f>
        <v>1</v>
      </c>
      <c r="O209" s="18" t="str">
        <f>IF(ISNUMBER(SEARCH("BINARY",Table24[[#This Row],[Type]]))=TRUE,1,"")</f>
        <v/>
      </c>
      <c r="P209" s="7" t="e">
        <f>IF(Table24[[#This Row],[Type]]="","",LEFT(Table24[[#This Row],[Type]],1)&amp;LEFT(#REF!,1))</f>
        <v>#REF!</v>
      </c>
      <c r="Q209" s="18" t="e">
        <f>IF(Table24[[#This Row],[Type]]="","",LEFT(Table24[[#This Row],[Type]],1)&amp;LEFT(#REF!,1))</f>
        <v>#REF!</v>
      </c>
      <c r="R209" s="18"/>
      <c r="S209" s="7" t="e">
        <f>IF(Table24[[#This Row],[A Counter]]=1,"AI"&amp;#REF!+SUM($N$35:N209),IF(Table24[[#This Row],[B Counter]]=1,"BI"&amp;#REF!+SUM($O$35:O209),""))</f>
        <v>#REF!</v>
      </c>
      <c r="T209" s="18"/>
      <c r="U209" s="7"/>
    </row>
    <row r="210" spans="1:21" x14ac:dyDescent="0.25">
      <c r="A210">
        <f t="shared" si="7"/>
        <v>201</v>
      </c>
      <c r="B210" s="93" t="str">
        <f>IFERROR(RIGHT(Table24[[#This Row],[Controller Input '#]],3)*1,"")</f>
        <v/>
      </c>
      <c r="C210" s="99"/>
      <c r="D210" s="1"/>
      <c r="E210" s="11" t="s">
        <v>419</v>
      </c>
      <c r="F210" s="11" t="s">
        <v>420</v>
      </c>
      <c r="G210" s="11"/>
      <c r="H210" s="21"/>
      <c r="I210" s="11" t="s">
        <v>103</v>
      </c>
      <c r="J210" s="11" t="s">
        <v>125</v>
      </c>
      <c r="K210" s="11" t="s">
        <v>112</v>
      </c>
      <c r="L210" s="11"/>
      <c r="M210" s="1"/>
      <c r="N210" s="18" t="str">
        <f>IF(ISNUMBER(SEARCH("ANALOG",Table24[[#This Row],[Type]]))=TRUE,1,"")</f>
        <v/>
      </c>
      <c r="O210" s="18">
        <f>IF(ISNUMBER(SEARCH("BINARY",Table24[[#This Row],[Type]]))=TRUE,1,"")</f>
        <v>1</v>
      </c>
      <c r="P210" s="7" t="e">
        <f>IF(Table24[[#This Row],[Type]]="","",LEFT(Table24[[#This Row],[Type]],1)&amp;LEFT(#REF!,1))</f>
        <v>#REF!</v>
      </c>
      <c r="Q210" s="18" t="e">
        <f>IF(Table24[[#This Row],[Type]]="","",LEFT(Table24[[#This Row],[Type]],1)&amp;LEFT(#REF!,1))</f>
        <v>#REF!</v>
      </c>
      <c r="R210" s="18"/>
      <c r="S210" s="7" t="e">
        <f>IF(Table24[[#This Row],[A Counter]]=1,"AI"&amp;#REF!+SUM($N$35:N210),IF(Table24[[#This Row],[B Counter]]=1,"BI"&amp;#REF!+SUM($O$35:O210),""))</f>
        <v>#REF!</v>
      </c>
      <c r="T210" s="18"/>
      <c r="U210" s="68"/>
    </row>
    <row r="211" spans="1:21" x14ac:dyDescent="0.25">
      <c r="A211">
        <f t="shared" si="7"/>
        <v>202</v>
      </c>
      <c r="B211" s="93" t="str">
        <f>IFERROR(RIGHT(Table24[[#This Row],[Controller Input '#]],3)*1,"")</f>
        <v/>
      </c>
      <c r="C211" s="99"/>
      <c r="D211" s="1"/>
      <c r="E211" s="11" t="s">
        <v>421</v>
      </c>
      <c r="F211" s="11" t="s">
        <v>422</v>
      </c>
      <c r="G211" s="11"/>
      <c r="H211" s="21"/>
      <c r="I211" s="11" t="s">
        <v>70</v>
      </c>
      <c r="J211" s="11" t="s">
        <v>125</v>
      </c>
      <c r="K211" s="11" t="s">
        <v>80</v>
      </c>
      <c r="L211" s="11" t="s">
        <v>81</v>
      </c>
      <c r="M211" s="1"/>
      <c r="N211" s="18">
        <f>IF(ISNUMBER(SEARCH("ANALOG",Table24[[#This Row],[Type]]))=TRUE,1,"")</f>
        <v>1</v>
      </c>
      <c r="O211" s="18" t="str">
        <f>IF(ISNUMBER(SEARCH("BINARY",Table24[[#This Row],[Type]]))=TRUE,1,"")</f>
        <v/>
      </c>
      <c r="P211" s="7" t="e">
        <f>IF(Table24[[#This Row],[Type]]="","",LEFT(Table24[[#This Row],[Type]],1)&amp;LEFT(#REF!,1))</f>
        <v>#REF!</v>
      </c>
      <c r="Q211" s="18" t="e">
        <f>IF(Table24[[#This Row],[Type]]="","",LEFT(Table24[[#This Row],[Type]],1)&amp;LEFT(#REF!,1))</f>
        <v>#REF!</v>
      </c>
      <c r="R211" s="18"/>
      <c r="S211" s="7" t="e">
        <f>IF(Table24[[#This Row],[A Counter]]=1,"AI"&amp;#REF!+SUM($N$35:N211),IF(Table24[[#This Row],[B Counter]]=1,"BI"&amp;#REF!+SUM($O$35:O211),""))</f>
        <v>#REF!</v>
      </c>
      <c r="T211" s="18"/>
      <c r="U211" s="68"/>
    </row>
    <row r="212" spans="1:21" x14ac:dyDescent="0.25">
      <c r="A212">
        <f t="shared" si="7"/>
        <v>203</v>
      </c>
      <c r="B212" s="93" t="str">
        <f>IFERROR(RIGHT(Table24[[#This Row],[Controller Input '#]],3)*1,"")</f>
        <v/>
      </c>
      <c r="C212" s="99"/>
      <c r="D212" s="1"/>
      <c r="E212" s="11" t="s">
        <v>423</v>
      </c>
      <c r="F212" s="11" t="s">
        <v>424</v>
      </c>
      <c r="G212" s="11"/>
      <c r="H212" s="21"/>
      <c r="I212" s="11" t="s">
        <v>103</v>
      </c>
      <c r="J212" s="11" t="s">
        <v>125</v>
      </c>
      <c r="K212" s="11" t="s">
        <v>112</v>
      </c>
      <c r="L212" s="11"/>
      <c r="M212" s="1"/>
      <c r="N212" s="18" t="str">
        <f>IF(ISNUMBER(SEARCH("ANALOG",Table24[[#This Row],[Type]]))=TRUE,1,"")</f>
        <v/>
      </c>
      <c r="O212" s="18">
        <f>IF(ISNUMBER(SEARCH("BINARY",Table24[[#This Row],[Type]]))=TRUE,1,"")</f>
        <v>1</v>
      </c>
      <c r="P212" s="7" t="e">
        <f>IF(Table24[[#This Row],[Type]]="","",LEFT(Table24[[#This Row],[Type]],1)&amp;LEFT(#REF!,1))</f>
        <v>#REF!</v>
      </c>
      <c r="Q212" s="18" t="e">
        <f>IF(Table24[[#This Row],[Type]]="","",LEFT(Table24[[#This Row],[Type]],1)&amp;LEFT(#REF!,1))</f>
        <v>#REF!</v>
      </c>
      <c r="R212" s="18"/>
      <c r="S212" s="7" t="e">
        <f>IF(Table24[[#This Row],[A Counter]]=1,"AI"&amp;#REF!+SUM($N$35:N212),IF(Table24[[#This Row],[B Counter]]=1,"BI"&amp;#REF!+SUM($O$35:O212),""))</f>
        <v>#REF!</v>
      </c>
      <c r="T212" s="18"/>
      <c r="U212" s="68"/>
    </row>
    <row r="213" spans="1:21" x14ac:dyDescent="0.25">
      <c r="A213">
        <f t="shared" si="7"/>
        <v>204</v>
      </c>
      <c r="B213" s="93" t="str">
        <f>IFERROR(RIGHT(Table24[[#This Row],[Controller Input '#]],3)*1,"")</f>
        <v/>
      </c>
      <c r="C213" s="98"/>
      <c r="D213" s="1"/>
      <c r="E213" s="11" t="s">
        <v>425</v>
      </c>
      <c r="F213" s="11" t="s">
        <v>426</v>
      </c>
      <c r="G213" s="11"/>
      <c r="H213" s="21"/>
      <c r="I213" s="11" t="s">
        <v>70</v>
      </c>
      <c r="J213" s="11" t="s">
        <v>125</v>
      </c>
      <c r="K213" s="11" t="s">
        <v>80</v>
      </c>
      <c r="L213" s="11" t="s">
        <v>81</v>
      </c>
      <c r="M213" s="1"/>
      <c r="N213" s="18">
        <f>IF(ISNUMBER(SEARCH("ANALOG",Table24[[#This Row],[Type]]))=TRUE,1,"")</f>
        <v>1</v>
      </c>
      <c r="O213" s="18" t="str">
        <f>IF(ISNUMBER(SEARCH("BINARY",Table24[[#This Row],[Type]]))=TRUE,1,"")</f>
        <v/>
      </c>
      <c r="P213" s="7" t="e">
        <f>IF(Table24[[#This Row],[Type]]="","",LEFT(Table24[[#This Row],[Type]],1)&amp;LEFT(#REF!,1))</f>
        <v>#REF!</v>
      </c>
      <c r="Q213" s="18" t="e">
        <f>IF(Table24[[#This Row],[Type]]="","",LEFT(Table24[[#This Row],[Type]],1)&amp;LEFT(#REF!,1))</f>
        <v>#REF!</v>
      </c>
      <c r="R213" s="18"/>
      <c r="S213" s="7" t="e">
        <f>IF(Table24[[#This Row],[A Counter]]=1,"AI"&amp;#REF!+SUM($N$35:N213),IF(Table24[[#This Row],[B Counter]]=1,"BI"&amp;#REF!+SUM($O$35:O213),""))</f>
        <v>#REF!</v>
      </c>
      <c r="T213" s="18"/>
      <c r="U213" s="69"/>
    </row>
    <row r="214" spans="1:21" x14ac:dyDescent="0.25">
      <c r="A214">
        <f t="shared" si="7"/>
        <v>205</v>
      </c>
      <c r="B214" s="93" t="str">
        <f>IFERROR(RIGHT(Table24[[#This Row],[Controller Input '#]],3)*1,"")</f>
        <v/>
      </c>
      <c r="C214" s="99"/>
      <c r="D214" s="1"/>
      <c r="E214" s="11" t="s">
        <v>427</v>
      </c>
      <c r="F214" s="11" t="s">
        <v>428</v>
      </c>
      <c r="G214" s="11"/>
      <c r="H214" s="21"/>
      <c r="I214" s="11" t="s">
        <v>103</v>
      </c>
      <c r="J214" s="11" t="s">
        <v>125</v>
      </c>
      <c r="K214" s="11" t="s">
        <v>112</v>
      </c>
      <c r="L214" s="11"/>
      <c r="M214" s="1"/>
      <c r="N214" s="18" t="str">
        <f>IF(ISNUMBER(SEARCH("ANALOG",Table24[[#This Row],[Type]]))=TRUE,1,"")</f>
        <v/>
      </c>
      <c r="O214" s="18">
        <f>IF(ISNUMBER(SEARCH("BINARY",Table24[[#This Row],[Type]]))=TRUE,1,"")</f>
        <v>1</v>
      </c>
      <c r="P214" s="7" t="e">
        <f>IF(Table24[[#This Row],[Type]]="","",LEFT(Table24[[#This Row],[Type]],1)&amp;LEFT(#REF!,1))</f>
        <v>#REF!</v>
      </c>
      <c r="Q214" s="18" t="e">
        <f>IF(Table24[[#This Row],[Type]]="","",LEFT(Table24[[#This Row],[Type]],1)&amp;LEFT(#REF!,1))</f>
        <v>#REF!</v>
      </c>
      <c r="R214" s="18"/>
      <c r="S214" s="7" t="e">
        <f>IF(Table24[[#This Row],[A Counter]]=1,"AI"&amp;#REF!+SUM($N$35:N214),IF(Table24[[#This Row],[B Counter]]=1,"BI"&amp;#REF!+SUM($O$35:O214),""))</f>
        <v>#REF!</v>
      </c>
      <c r="T214" s="18"/>
      <c r="U214" s="68"/>
    </row>
    <row r="215" spans="1:21" x14ac:dyDescent="0.25">
      <c r="A215">
        <f t="shared" si="7"/>
        <v>206</v>
      </c>
      <c r="B215" s="93" t="str">
        <f>IFERROR(RIGHT(Table24[[#This Row],[Controller Input '#]],3)*1,"")</f>
        <v/>
      </c>
      <c r="C215" s="99"/>
      <c r="D215" s="1"/>
      <c r="E215" s="11" t="s">
        <v>429</v>
      </c>
      <c r="F215" s="11" t="s">
        <v>430</v>
      </c>
      <c r="G215" s="11"/>
      <c r="H215" s="21"/>
      <c r="I215" s="11" t="s">
        <v>70</v>
      </c>
      <c r="J215" s="11" t="s">
        <v>125</v>
      </c>
      <c r="K215" s="11" t="s">
        <v>80</v>
      </c>
      <c r="L215" s="11" t="s">
        <v>81</v>
      </c>
      <c r="M215" s="1"/>
      <c r="N215" s="18">
        <f>IF(ISNUMBER(SEARCH("ANALOG",Table24[[#This Row],[Type]]))=TRUE,1,"")</f>
        <v>1</v>
      </c>
      <c r="O215" s="18" t="str">
        <f>IF(ISNUMBER(SEARCH("BINARY",Table24[[#This Row],[Type]]))=TRUE,1,"")</f>
        <v/>
      </c>
      <c r="P215" s="7" t="e">
        <f>IF(Table24[[#This Row],[Type]]="","",LEFT(Table24[[#This Row],[Type]],1)&amp;LEFT(#REF!,1))</f>
        <v>#REF!</v>
      </c>
      <c r="Q215" s="18" t="e">
        <f>IF(Table24[[#This Row],[Type]]="","",LEFT(Table24[[#This Row],[Type]],1)&amp;LEFT(#REF!,1))</f>
        <v>#REF!</v>
      </c>
      <c r="R215" s="18"/>
      <c r="S215" s="7" t="e">
        <f>IF(Table24[[#This Row],[A Counter]]=1,"AI"&amp;#REF!+SUM($N$35:N215),IF(Table24[[#This Row],[B Counter]]=1,"BI"&amp;#REF!+SUM($O$35:O215),""))</f>
        <v>#REF!</v>
      </c>
      <c r="T215" s="18"/>
      <c r="U215" s="68"/>
    </row>
    <row r="216" spans="1:21" x14ac:dyDescent="0.25">
      <c r="A216">
        <f t="shared" si="7"/>
        <v>207</v>
      </c>
      <c r="B216" s="93" t="str">
        <f>IFERROR(RIGHT(Table24[[#This Row],[Controller Input '#]],3)*1,"")</f>
        <v/>
      </c>
      <c r="C216" s="99"/>
      <c r="D216" s="1"/>
      <c r="E216" s="11" t="s">
        <v>431</v>
      </c>
      <c r="F216" s="11" t="s">
        <v>432</v>
      </c>
      <c r="G216" s="11"/>
      <c r="H216" s="21"/>
      <c r="I216" s="11" t="s">
        <v>103</v>
      </c>
      <c r="J216" s="11" t="s">
        <v>125</v>
      </c>
      <c r="K216" s="11" t="s">
        <v>112</v>
      </c>
      <c r="L216" s="11"/>
      <c r="M216" s="1"/>
      <c r="N216" s="18" t="str">
        <f>IF(ISNUMBER(SEARCH("ANALOG",Table24[[#This Row],[Type]]))=TRUE,1,"")</f>
        <v/>
      </c>
      <c r="O216" s="18">
        <f>IF(ISNUMBER(SEARCH("BINARY",Table24[[#This Row],[Type]]))=TRUE,1,"")</f>
        <v>1</v>
      </c>
      <c r="P216" s="7" t="e">
        <f>IF(Table24[[#This Row],[Type]]="","",LEFT(Table24[[#This Row],[Type]],1)&amp;LEFT(#REF!,1))</f>
        <v>#REF!</v>
      </c>
      <c r="Q216" s="18" t="e">
        <f>IF(Table24[[#This Row],[Type]]="","",LEFT(Table24[[#This Row],[Type]],1)&amp;LEFT(#REF!,1))</f>
        <v>#REF!</v>
      </c>
      <c r="R216" s="18"/>
      <c r="S216" s="7" t="e">
        <f>IF(Table24[[#This Row],[A Counter]]=1,"AI"&amp;#REF!+SUM($N$35:N216),IF(Table24[[#This Row],[B Counter]]=1,"BI"&amp;#REF!+SUM($O$35:O216),""))</f>
        <v>#REF!</v>
      </c>
      <c r="T216" s="18"/>
      <c r="U216" s="68"/>
    </row>
    <row r="217" spans="1:21" x14ac:dyDescent="0.25">
      <c r="A217">
        <f t="shared" si="7"/>
        <v>208</v>
      </c>
      <c r="B217" s="93" t="str">
        <f>IFERROR(RIGHT(Table24[[#This Row],[Controller Input '#]],3)*1,"")</f>
        <v/>
      </c>
      <c r="C217" s="99"/>
      <c r="D217" s="1"/>
      <c r="E217" s="11"/>
      <c r="F217" s="11"/>
      <c r="G217" s="11"/>
      <c r="H217" s="21"/>
      <c r="I217" s="11"/>
      <c r="J217" s="11"/>
      <c r="K217" s="11"/>
      <c r="L217" s="11"/>
      <c r="M217" s="1"/>
      <c r="N217" s="18" t="str">
        <f>IF(ISNUMBER(SEARCH("ANALOG",Table24[[#This Row],[Type]]))=TRUE,1,"")</f>
        <v/>
      </c>
      <c r="O217" s="18" t="str">
        <f>IF(ISNUMBER(SEARCH("BINARY",Table24[[#This Row],[Type]]))=TRUE,1,"")</f>
        <v/>
      </c>
      <c r="P217" s="7" t="str">
        <f>IF(Table24[[#This Row],[Type]]="","",LEFT(Table24[[#This Row],[Type]],1)&amp;LEFT(#REF!,1))</f>
        <v/>
      </c>
      <c r="Q217" s="18" t="str">
        <f>IF(Table24[[#This Row],[Type]]="","",LEFT(Table24[[#This Row],[Type]],1)&amp;LEFT(#REF!,1))</f>
        <v/>
      </c>
      <c r="R217" s="18"/>
      <c r="S217" s="7" t="str">
        <f>IF(Table24[[#This Row],[A Counter]]=1,"AI"&amp;#REF!+SUM($N$35:N217),IF(Table24[[#This Row],[B Counter]]=1,"BI"&amp;#REF!+SUM($O$35:O217),""))</f>
        <v/>
      </c>
      <c r="T217" s="18"/>
      <c r="U217" s="68"/>
    </row>
    <row r="218" spans="1:21" x14ac:dyDescent="0.25">
      <c r="A218">
        <f t="shared" si="7"/>
        <v>209</v>
      </c>
      <c r="B218" s="93" t="str">
        <f>IFERROR(RIGHT(Table24[[#This Row],[Controller Input '#]],3)*1,"")</f>
        <v/>
      </c>
      <c r="C218" s="98"/>
      <c r="D218" s="1"/>
      <c r="E218" s="11"/>
      <c r="F218" s="11"/>
      <c r="G218" s="11"/>
      <c r="H218" s="21"/>
      <c r="I218" s="11"/>
      <c r="J218" s="11"/>
      <c r="K218" s="11"/>
      <c r="L218" s="11"/>
      <c r="M218" s="1"/>
      <c r="N218" s="18" t="str">
        <f>IF(ISNUMBER(SEARCH("ANALOG",Table24[[#This Row],[Type]]))=TRUE,1,"")</f>
        <v/>
      </c>
      <c r="O218" s="18" t="str">
        <f>IF(ISNUMBER(SEARCH("BINARY",Table24[[#This Row],[Type]]))=TRUE,1,"")</f>
        <v/>
      </c>
      <c r="P218" s="7" t="str">
        <f>IF(Table24[[#This Row],[Type]]="","",LEFT(Table24[[#This Row],[Type]],1)&amp;LEFT(#REF!,1))</f>
        <v/>
      </c>
      <c r="Q218" s="18" t="str">
        <f>IF(Table24[[#This Row],[Type]]="","",LEFT(Table24[[#This Row],[Type]],1)&amp;LEFT(#REF!,1))</f>
        <v/>
      </c>
      <c r="R218" s="18"/>
      <c r="S218" s="7" t="str">
        <f>IF(Table24[[#This Row],[A Counter]]=1,"AI"&amp;#REF!+SUM($N$35:N218),IF(Table24[[#This Row],[B Counter]]=1,"BI"&amp;#REF!+SUM($O$35:O218),""))</f>
        <v/>
      </c>
      <c r="T218" s="18"/>
      <c r="U218" s="69"/>
    </row>
    <row r="219" spans="1:21" x14ac:dyDescent="0.25">
      <c r="A219">
        <f t="shared" si="7"/>
        <v>210</v>
      </c>
      <c r="B219" s="93" t="str">
        <f>IFERROR(RIGHT(Table24[[#This Row],[Controller Input '#]],3)*1,"")</f>
        <v/>
      </c>
      <c r="C219" s="99"/>
      <c r="D219" s="1"/>
      <c r="E219" s="11"/>
      <c r="F219" s="11"/>
      <c r="G219" s="11"/>
      <c r="H219" s="21"/>
      <c r="I219" s="11"/>
      <c r="J219" s="11"/>
      <c r="K219" s="11"/>
      <c r="L219" s="11"/>
      <c r="M219" s="1"/>
      <c r="N219" s="18" t="str">
        <f>IF(ISNUMBER(SEARCH("ANALOG",Table24[[#This Row],[Type]]))=TRUE,1,"")</f>
        <v/>
      </c>
      <c r="O219" s="18" t="str">
        <f>IF(ISNUMBER(SEARCH("BINARY",Table24[[#This Row],[Type]]))=TRUE,1,"")</f>
        <v/>
      </c>
      <c r="P219" s="7" t="str">
        <f>IF(Table24[[#This Row],[Type]]="","",LEFT(Table24[[#This Row],[Type]],1)&amp;LEFT(#REF!,1))</f>
        <v/>
      </c>
      <c r="Q219" s="18" t="str">
        <f>IF(Table24[[#This Row],[Type]]="","",LEFT(Table24[[#This Row],[Type]],1)&amp;LEFT(#REF!,1))</f>
        <v/>
      </c>
      <c r="R219" s="18"/>
      <c r="S219" s="7" t="str">
        <f>IF(Table24[[#This Row],[A Counter]]=1,"AI"&amp;#REF!+SUM($N$35:N219),IF(Table24[[#This Row],[B Counter]]=1,"BI"&amp;#REF!+SUM($O$35:O219),""))</f>
        <v/>
      </c>
      <c r="T219" s="18"/>
      <c r="U219" s="68"/>
    </row>
    <row r="220" spans="1:21" x14ac:dyDescent="0.25">
      <c r="A220">
        <f t="shared" si="7"/>
        <v>211</v>
      </c>
      <c r="B220" s="93" t="str">
        <f>IFERROR(RIGHT(Table24[[#This Row],[Controller Input '#]],3)*1,"")</f>
        <v/>
      </c>
      <c r="C220" s="99"/>
      <c r="D220" s="1"/>
      <c r="E220" s="11"/>
      <c r="F220" s="11"/>
      <c r="G220" s="11"/>
      <c r="H220" s="21"/>
      <c r="I220" s="11"/>
      <c r="J220" s="11"/>
      <c r="K220" s="11"/>
      <c r="L220" s="11"/>
      <c r="M220" s="1"/>
      <c r="N220" s="18" t="str">
        <f>IF(ISNUMBER(SEARCH("ANALOG",Table24[[#This Row],[Type]]))=TRUE,1,"")</f>
        <v/>
      </c>
      <c r="O220" s="18" t="str">
        <f>IF(ISNUMBER(SEARCH("BINARY",Table24[[#This Row],[Type]]))=TRUE,1,"")</f>
        <v/>
      </c>
      <c r="P220" s="7" t="str">
        <f>IF(Table24[[#This Row],[Type]]="","",LEFT(Table24[[#This Row],[Type]],1)&amp;LEFT(#REF!,1))</f>
        <v/>
      </c>
      <c r="Q220" s="18" t="str">
        <f>IF(Table24[[#This Row],[Type]]="","",LEFT(Table24[[#This Row],[Type]],1)&amp;LEFT(#REF!,1))</f>
        <v/>
      </c>
      <c r="R220" s="18"/>
      <c r="S220" s="7" t="str">
        <f>IF(Table24[[#This Row],[A Counter]]=1,"AI"&amp;#REF!+SUM($N$35:N220),IF(Table24[[#This Row],[B Counter]]=1,"BI"&amp;#REF!+SUM($O$35:O220),""))</f>
        <v/>
      </c>
      <c r="T220" s="18"/>
      <c r="U220" s="68"/>
    </row>
    <row r="221" spans="1:21" x14ac:dyDescent="0.25">
      <c r="A221">
        <f t="shared" si="7"/>
        <v>212</v>
      </c>
      <c r="B221" s="93" t="str">
        <f>IFERROR(RIGHT(Table24[[#This Row],[Controller Input '#]],3)*1,"")</f>
        <v/>
      </c>
      <c r="C221" s="99"/>
      <c r="D221" s="1"/>
      <c r="E221" s="11"/>
      <c r="F221" s="11"/>
      <c r="G221" s="11"/>
      <c r="H221" s="21"/>
      <c r="I221" s="11"/>
      <c r="J221" s="11"/>
      <c r="K221" s="11"/>
      <c r="L221" s="11"/>
      <c r="M221" s="1"/>
      <c r="N221" s="18" t="str">
        <f>IF(ISNUMBER(SEARCH("ANALOG",Table24[[#This Row],[Type]]))=TRUE,1,"")</f>
        <v/>
      </c>
      <c r="O221" s="18" t="str">
        <f>IF(ISNUMBER(SEARCH("BINARY",Table24[[#This Row],[Type]]))=TRUE,1,"")</f>
        <v/>
      </c>
      <c r="P221" s="7" t="str">
        <f>IF(Table24[[#This Row],[Type]]="","",LEFT(Table24[[#This Row],[Type]],1)&amp;LEFT(#REF!,1))</f>
        <v/>
      </c>
      <c r="Q221" s="18" t="str">
        <f>IF(Table24[[#This Row],[Type]]="","",LEFT(Table24[[#This Row],[Type]],1)&amp;LEFT(#REF!,1))</f>
        <v/>
      </c>
      <c r="R221" s="18"/>
      <c r="S221" s="7" t="str">
        <f>IF(Table24[[#This Row],[A Counter]]=1,"AI"&amp;#REF!+SUM($N$35:N221),IF(Table24[[#This Row],[B Counter]]=1,"BI"&amp;#REF!+SUM($O$35:O221),""))</f>
        <v/>
      </c>
      <c r="T221" s="18"/>
      <c r="U221" s="68"/>
    </row>
    <row r="222" spans="1:21" x14ac:dyDescent="0.25">
      <c r="A222">
        <f t="shared" si="7"/>
        <v>213</v>
      </c>
      <c r="B222" s="93" t="str">
        <f>IFERROR(RIGHT(Table24[[#This Row],[Controller Input '#]],3)*1,"")</f>
        <v/>
      </c>
      <c r="C222" s="99"/>
      <c r="D222" s="1"/>
      <c r="E222" s="11"/>
      <c r="F222" s="11"/>
      <c r="G222" s="11"/>
      <c r="H222" s="21"/>
      <c r="I222" s="11"/>
      <c r="J222" s="11"/>
      <c r="K222" s="11"/>
      <c r="L222" s="11"/>
      <c r="M222" s="1"/>
      <c r="N222" s="18" t="str">
        <f>IF(ISNUMBER(SEARCH("ANALOG",Table24[[#This Row],[Type]]))=TRUE,1,"")</f>
        <v/>
      </c>
      <c r="O222" s="18" t="str">
        <f>IF(ISNUMBER(SEARCH("BINARY",Table24[[#This Row],[Type]]))=TRUE,1,"")</f>
        <v/>
      </c>
      <c r="P222" s="7" t="str">
        <f>IF(Table24[[#This Row],[Type]]="","",LEFT(Table24[[#This Row],[Type]],1)&amp;LEFT(#REF!,1))</f>
        <v/>
      </c>
      <c r="Q222" s="18" t="str">
        <f>IF(Table24[[#This Row],[Type]]="","",LEFT(Table24[[#This Row],[Type]],1)&amp;LEFT(#REF!,1))</f>
        <v/>
      </c>
      <c r="R222" s="18"/>
      <c r="S222" s="7" t="str">
        <f>IF(Table24[[#This Row],[A Counter]]=1,"AI"&amp;#REF!+SUM($N$35:N222),IF(Table24[[#This Row],[B Counter]]=1,"BI"&amp;#REF!+SUM($O$35:O222),""))</f>
        <v/>
      </c>
      <c r="T222" s="18"/>
      <c r="U222" s="68"/>
    </row>
    <row r="223" spans="1:21" x14ac:dyDescent="0.25">
      <c r="A223">
        <f t="shared" si="7"/>
        <v>214</v>
      </c>
      <c r="B223" s="93" t="str">
        <f>IFERROR(RIGHT(Table24[[#This Row],[Controller Input '#]],3)*1,"")</f>
        <v/>
      </c>
      <c r="C223" s="98"/>
      <c r="D223" s="1"/>
      <c r="E223" s="1"/>
      <c r="F223" s="1"/>
      <c r="G223" s="1"/>
      <c r="H223" s="8"/>
      <c r="I223" s="1"/>
      <c r="J223" s="1"/>
      <c r="K223" s="3"/>
      <c r="L223" s="1"/>
      <c r="M223" s="18"/>
      <c r="N223" s="18" t="str">
        <f>IF(ISNUMBER(SEARCH("ANALOG",Table24[[#This Row],[Type]]))=TRUE,1,"")</f>
        <v/>
      </c>
      <c r="O223" s="18" t="str">
        <f>IF(ISNUMBER(SEARCH("BINARY",Table24[[#This Row],[Type]]))=TRUE,1,"")</f>
        <v/>
      </c>
      <c r="P223" s="7" t="str">
        <f>IF(Table24[[#This Row],[Type]]="","",LEFT(Table24[[#This Row],[Type]],1)&amp;LEFT(#REF!,1))</f>
        <v/>
      </c>
      <c r="Q223" s="18" t="str">
        <f>IF(Table24[[#This Row],[Type]]="","",LEFT(Table24[[#This Row],[Type]],1)&amp;LEFT(#REF!,1))</f>
        <v/>
      </c>
      <c r="R223" s="18"/>
      <c r="S223" s="7" t="str">
        <f>IF(Table24[[#This Row],[A Counter]]=1,"AI"&amp;#REF!+SUM($N$35:N223),IF(Table24[[#This Row],[B Counter]]=1,"BI"&amp;#REF!+SUM($O$35:O223),""))</f>
        <v/>
      </c>
      <c r="T223" s="18" t="s">
        <v>34</v>
      </c>
      <c r="U223" s="69"/>
    </row>
    <row r="224" spans="1:21" x14ac:dyDescent="0.25">
      <c r="A224">
        <f t="shared" si="7"/>
        <v>215</v>
      </c>
      <c r="B224" s="93" t="str">
        <f>IFERROR(RIGHT(Table24[[#This Row],[Controller Input '#]],3)*1,"")</f>
        <v/>
      </c>
      <c r="C224" s="99"/>
      <c r="D224" s="1"/>
      <c r="E224" s="1"/>
      <c r="F224" s="1"/>
      <c r="G224" s="1"/>
      <c r="H224" s="8"/>
      <c r="I224" s="1"/>
      <c r="J224" s="1"/>
      <c r="K224" s="3"/>
      <c r="L224" s="1"/>
      <c r="M224" s="1"/>
      <c r="N224" s="18" t="str">
        <f>IF(ISNUMBER(SEARCH("ANALOG",Table24[[#This Row],[Type]]))=TRUE,1,"")</f>
        <v/>
      </c>
      <c r="O224" s="18" t="str">
        <f>IF(ISNUMBER(SEARCH("BINARY",Table24[[#This Row],[Type]]))=TRUE,1,"")</f>
        <v/>
      </c>
      <c r="P224" s="7" t="str">
        <f>IF(Table24[[#This Row],[Type]]="","",LEFT(Table24[[#This Row],[Type]],1)&amp;LEFT(#REF!,1))</f>
        <v/>
      </c>
      <c r="Q224" s="18" t="str">
        <f>IF(Table24[[#This Row],[Type]]="","",LEFT(Table24[[#This Row],[Type]],1)&amp;LEFT(#REF!,1))</f>
        <v/>
      </c>
      <c r="R224" s="18"/>
      <c r="S224" s="7" t="str">
        <f>IF(Table24[[#This Row],[A Counter]]=1,"AI"&amp;#REF!+SUM($N$35:N224),IF(Table24[[#This Row],[B Counter]]=1,"BI"&amp;#REF!+SUM($O$35:O224),""))</f>
        <v/>
      </c>
      <c r="T224" s="18" t="s">
        <v>34</v>
      </c>
      <c r="U224" s="68"/>
    </row>
    <row r="225" spans="1:21" x14ac:dyDescent="0.25">
      <c r="A225">
        <f t="shared" si="7"/>
        <v>216</v>
      </c>
      <c r="B225" s="93" t="str">
        <f>IFERROR(RIGHT(Table24[[#This Row],[Controller Input '#]],3)*1,"")</f>
        <v/>
      </c>
      <c r="C225" s="99"/>
      <c r="D225" s="1"/>
      <c r="E225" s="1"/>
      <c r="F225" s="1"/>
      <c r="G225" s="1"/>
      <c r="H225" s="8"/>
      <c r="I225" s="1"/>
      <c r="J225" s="1"/>
      <c r="K225" s="3"/>
      <c r="L225" s="1"/>
      <c r="M225" s="1"/>
      <c r="N225" s="18" t="str">
        <f>IF(ISNUMBER(SEARCH("ANALOG",Table24[[#This Row],[Type]]))=TRUE,1,"")</f>
        <v/>
      </c>
      <c r="O225" s="18" t="str">
        <f>IF(ISNUMBER(SEARCH("BINARY",Table24[[#This Row],[Type]]))=TRUE,1,"")</f>
        <v/>
      </c>
      <c r="P225" s="7" t="str">
        <f>IF(Table24[[#This Row],[Type]]="","",LEFT(Table24[[#This Row],[Type]],1)&amp;LEFT(#REF!,1))</f>
        <v/>
      </c>
      <c r="Q225" s="18" t="str">
        <f>IF(Table24[[#This Row],[Type]]="","",LEFT(Table24[[#This Row],[Type]],1)&amp;LEFT(#REF!,1))</f>
        <v/>
      </c>
      <c r="R225" s="18"/>
      <c r="S225" s="7" t="str">
        <f>IF(Table24[[#This Row],[A Counter]]=1,"AI"&amp;#REF!+SUM($N$35:N225),IF(Table24[[#This Row],[B Counter]]=1,"BI"&amp;#REF!+SUM($O$35:O225),""))</f>
        <v/>
      </c>
      <c r="T225" s="18" t="s">
        <v>34</v>
      </c>
      <c r="U225" s="7"/>
    </row>
    <row r="226" spans="1:21" x14ac:dyDescent="0.25">
      <c r="A226">
        <f t="shared" si="7"/>
        <v>217</v>
      </c>
      <c r="B226" s="93" t="str">
        <f>IFERROR(RIGHT(Table24[[#This Row],[Controller Input '#]],3)*1,"")</f>
        <v/>
      </c>
      <c r="C226" s="99"/>
      <c r="D226" s="1"/>
      <c r="E226" s="1"/>
      <c r="F226" s="1"/>
      <c r="G226" s="1"/>
      <c r="H226" s="8"/>
      <c r="I226" s="1"/>
      <c r="J226" s="1"/>
      <c r="K226" s="1"/>
      <c r="L226" s="18"/>
      <c r="M226" s="1"/>
      <c r="N226" s="18" t="str">
        <f>IF(ISNUMBER(SEARCH("ANALOG",Table24[[#This Row],[Type]]))=TRUE,1,"")</f>
        <v/>
      </c>
      <c r="O226" s="18" t="str">
        <f>IF(ISNUMBER(SEARCH("BINARY",Table24[[#This Row],[Type]]))=TRUE,1,"")</f>
        <v/>
      </c>
      <c r="P226" s="7" t="str">
        <f>IF(Table24[[#This Row],[Type]]="","",LEFT(Table24[[#This Row],[Type]],1)&amp;LEFT(#REF!,1))</f>
        <v/>
      </c>
      <c r="Q226" s="18" t="str">
        <f>IF(Table24[[#This Row],[Type]]="","",LEFT(Table24[[#This Row],[Type]],1)&amp;LEFT(#REF!,1))</f>
        <v/>
      </c>
      <c r="R226" s="18"/>
      <c r="S226" s="7" t="str">
        <f>IF(Table24[[#This Row],[A Counter]]=1,"AI"&amp;#REF!+SUM($N$35:N226),IF(Table24[[#This Row],[B Counter]]=1,"BI"&amp;#REF!+SUM($O$35:O226),""))</f>
        <v/>
      </c>
      <c r="T226" s="18" t="s">
        <v>34</v>
      </c>
      <c r="U226" s="7"/>
    </row>
    <row r="227" spans="1:21" x14ac:dyDescent="0.25">
      <c r="A227">
        <f t="shared" si="7"/>
        <v>218</v>
      </c>
      <c r="B227" s="93" t="str">
        <f>IFERROR(RIGHT(Table24[[#This Row],[Controller Input '#]],3)*1,"")</f>
        <v/>
      </c>
      <c r="C227" s="99"/>
      <c r="D227" s="1"/>
      <c r="E227" s="1"/>
      <c r="F227" s="1"/>
      <c r="G227" s="1"/>
      <c r="H227" s="8"/>
      <c r="I227" s="1"/>
      <c r="J227" s="1"/>
      <c r="K227" s="1"/>
      <c r="L227" s="18"/>
      <c r="M227" s="1"/>
      <c r="N227" s="18" t="str">
        <f>IF(ISNUMBER(SEARCH("ANALOG",Table24[[#This Row],[Type]]))=TRUE,1,"")</f>
        <v/>
      </c>
      <c r="O227" s="18" t="str">
        <f>IF(ISNUMBER(SEARCH("BINARY",Table24[[#This Row],[Type]]))=TRUE,1,"")</f>
        <v/>
      </c>
      <c r="P227" s="7" t="str">
        <f>IF(Table24[[#This Row],[Type]]="","",LEFT(Table24[[#This Row],[Type]],1)&amp;LEFT(#REF!,1))</f>
        <v/>
      </c>
      <c r="Q227" s="18" t="str">
        <f>IF(Table24[[#This Row],[Type]]="","",LEFT(Table24[[#This Row],[Type]],1)&amp;LEFT(#REF!,1))</f>
        <v/>
      </c>
      <c r="R227" s="18"/>
      <c r="S227" s="7" t="str">
        <f>IF(Table24[[#This Row],[A Counter]]=1,"AI"&amp;#REF!+SUM($N$35:N227),IF(Table24[[#This Row],[B Counter]]=1,"BI"&amp;#REF!+SUM($O$35:O227),""))</f>
        <v/>
      </c>
      <c r="T227" s="18" t="s">
        <v>34</v>
      </c>
      <c r="U227" s="7"/>
    </row>
    <row r="228" spans="1:21" x14ac:dyDescent="0.25">
      <c r="A228">
        <f t="shared" si="7"/>
        <v>219</v>
      </c>
      <c r="B228" s="93" t="str">
        <f>IFERROR(RIGHT(Table24[[#This Row],[Controller Input '#]],3)*1,"")</f>
        <v/>
      </c>
      <c r="C228" s="99"/>
      <c r="D228" s="1"/>
      <c r="E228" s="1"/>
      <c r="F228" s="1"/>
      <c r="G228" s="1"/>
      <c r="H228" s="8"/>
      <c r="I228" s="1"/>
      <c r="J228" s="1"/>
      <c r="K228" s="1"/>
      <c r="L228" s="18"/>
      <c r="M228" s="1"/>
      <c r="N228" s="18" t="str">
        <f>IF(ISNUMBER(SEARCH("ANALOG",Table24[[#This Row],[Type]]))=TRUE,1,"")</f>
        <v/>
      </c>
      <c r="O228" s="18" t="str">
        <f>IF(ISNUMBER(SEARCH("BINARY",Table24[[#This Row],[Type]]))=TRUE,1,"")</f>
        <v/>
      </c>
      <c r="P228" s="7" t="str">
        <f>IF(Table24[[#This Row],[Type]]="","",LEFT(Table24[[#This Row],[Type]],1)&amp;LEFT(#REF!,1))</f>
        <v/>
      </c>
      <c r="Q228" s="18" t="str">
        <f>IF(Table24[[#This Row],[Type]]="","",LEFT(Table24[[#This Row],[Type]],1)&amp;LEFT(#REF!,1))</f>
        <v/>
      </c>
      <c r="R228" s="18"/>
      <c r="S228" s="7" t="str">
        <f>IF(Table24[[#This Row],[A Counter]]=1,"AI"&amp;#REF!+SUM($N$35:N228),IF(Table24[[#This Row],[B Counter]]=1,"BI"&amp;#REF!+SUM($O$35:O228),""))</f>
        <v/>
      </c>
      <c r="T228" s="18" t="s">
        <v>34</v>
      </c>
      <c r="U228" s="7"/>
    </row>
    <row r="229" spans="1:21" x14ac:dyDescent="0.25">
      <c r="A229">
        <f t="shared" si="7"/>
        <v>220</v>
      </c>
      <c r="B229" s="93" t="str">
        <f>IFERROR(RIGHT(Table24[[#This Row],[Controller Input '#]],3)*1,"")</f>
        <v/>
      </c>
      <c r="C229" s="99"/>
      <c r="D229" s="1"/>
      <c r="E229" s="1"/>
      <c r="F229" s="1"/>
      <c r="G229" s="1"/>
      <c r="H229" s="8"/>
      <c r="I229" s="1"/>
      <c r="J229" s="1"/>
      <c r="K229" s="1"/>
      <c r="L229" s="1"/>
      <c r="M229" s="1"/>
      <c r="N229" s="18" t="str">
        <f>IF(ISNUMBER(SEARCH("ANALOG",Table24[[#This Row],[Type]]))=TRUE,1,"")</f>
        <v/>
      </c>
      <c r="O229" s="18" t="str">
        <f>IF(ISNUMBER(SEARCH("BINARY",Table24[[#This Row],[Type]]))=TRUE,1,"")</f>
        <v/>
      </c>
      <c r="P229" s="7" t="str">
        <f>IF(Table24[[#This Row],[Type]]="","",LEFT(Table24[[#This Row],[Type]],1)&amp;LEFT(#REF!,1))</f>
        <v/>
      </c>
      <c r="Q229" s="18" t="str">
        <f>IF(Table24[[#This Row],[Type]]="","",LEFT(Table24[[#This Row],[Type]],1)&amp;LEFT(#REF!,1))</f>
        <v/>
      </c>
      <c r="R229" s="18"/>
      <c r="S229" s="7" t="str">
        <f>IF(Table24[[#This Row],[A Counter]]=1,"AI"&amp;#REF!+SUM($N$35:N229),IF(Table24[[#This Row],[B Counter]]=1,"BI"&amp;#REF!+SUM($O$35:O229),""))</f>
        <v/>
      </c>
      <c r="T229" s="18" t="s">
        <v>34</v>
      </c>
      <c r="U229" s="7"/>
    </row>
    <row r="230" spans="1:21" x14ac:dyDescent="0.25">
      <c r="A230">
        <f t="shared" si="7"/>
        <v>221</v>
      </c>
      <c r="B230" s="93" t="str">
        <f>IFERROR(RIGHT(Table24[[#This Row],[Controller Input '#]],3)*1,"")</f>
        <v/>
      </c>
      <c r="C230" s="99"/>
      <c r="D230" s="1"/>
      <c r="E230" s="1"/>
      <c r="F230" s="1"/>
      <c r="G230" s="1"/>
      <c r="H230" s="8"/>
      <c r="I230" s="1"/>
      <c r="J230" s="1"/>
      <c r="K230" s="1"/>
      <c r="L230" s="1"/>
      <c r="M230" s="1"/>
      <c r="N230" s="18" t="str">
        <f>IF(ISNUMBER(SEARCH("ANALOG",Table24[[#This Row],[Type]]))=TRUE,1,"")</f>
        <v/>
      </c>
      <c r="O230" s="18" t="str">
        <f>IF(ISNUMBER(SEARCH("BINARY",Table24[[#This Row],[Type]]))=TRUE,1,"")</f>
        <v/>
      </c>
      <c r="P230" s="7" t="str">
        <f>IF(Table24[[#This Row],[Type]]="","",LEFT(Table24[[#This Row],[Type]],1)&amp;LEFT(#REF!,1))</f>
        <v/>
      </c>
      <c r="Q230" s="18" t="str">
        <f>IF(Table24[[#This Row],[Type]]="","",LEFT(Table24[[#This Row],[Type]],1)&amp;LEFT(#REF!,1))</f>
        <v/>
      </c>
      <c r="R230" s="18"/>
      <c r="S230" s="7" t="str">
        <f>IF(Table24[[#This Row],[A Counter]]=1,"AI"&amp;#REF!+SUM($N$35:N230),IF(Table24[[#This Row],[B Counter]]=1,"BI"&amp;#REF!+SUM($O$35:O230),""))</f>
        <v/>
      </c>
      <c r="T230" s="18" t="s">
        <v>34</v>
      </c>
      <c r="U230" s="7"/>
    </row>
    <row r="231" spans="1:21" x14ac:dyDescent="0.25">
      <c r="A231">
        <f t="shared" si="7"/>
        <v>222</v>
      </c>
      <c r="B231" s="93" t="str">
        <f>IFERROR(RIGHT(Table24[[#This Row],[Controller Input '#]],3)*1,"")</f>
        <v/>
      </c>
      <c r="C231" s="99"/>
      <c r="D231" s="1"/>
      <c r="E231" s="1"/>
      <c r="F231" s="1"/>
      <c r="G231" s="1"/>
      <c r="H231" s="8"/>
      <c r="I231" s="1"/>
      <c r="J231" s="1"/>
      <c r="K231" s="1"/>
      <c r="L231" s="1"/>
      <c r="M231" s="1"/>
      <c r="N231" s="18" t="str">
        <f>IF(ISNUMBER(SEARCH("ANALOG",Table24[[#This Row],[Type]]))=TRUE,1,"")</f>
        <v/>
      </c>
      <c r="O231" s="18" t="str">
        <f>IF(ISNUMBER(SEARCH("BINARY",Table24[[#This Row],[Type]]))=TRUE,1,"")</f>
        <v/>
      </c>
      <c r="P231" s="7" t="str">
        <f>IF(Table24[[#This Row],[Type]]="","",LEFT(Table24[[#This Row],[Type]],1)&amp;LEFT(#REF!,1))</f>
        <v/>
      </c>
      <c r="Q231" s="18" t="str">
        <f>IF(Table24[[#This Row],[Type]]="","",LEFT(Table24[[#This Row],[Type]],1)&amp;LEFT(#REF!,1))</f>
        <v/>
      </c>
      <c r="R231" s="18"/>
      <c r="S231" s="7" t="str">
        <f>IF(Table24[[#This Row],[A Counter]]=1,"AI"&amp;#REF!+SUM($N$35:N231),IF(Table24[[#This Row],[B Counter]]=1,"BI"&amp;#REF!+SUM($O$35:O231),""))</f>
        <v/>
      </c>
      <c r="T231" s="18" t="s">
        <v>34</v>
      </c>
      <c r="U231" s="7"/>
    </row>
    <row r="232" spans="1:21" x14ac:dyDescent="0.25">
      <c r="A232">
        <f t="shared" si="7"/>
        <v>223</v>
      </c>
      <c r="B232" s="93" t="str">
        <f>IFERROR(RIGHT(Table24[[#This Row],[Controller Input '#]],3)*1,"")</f>
        <v/>
      </c>
      <c r="C232" s="99"/>
      <c r="D232" s="1"/>
      <c r="E232" s="1"/>
      <c r="F232" s="1"/>
      <c r="G232" s="1"/>
      <c r="H232" s="8"/>
      <c r="I232" s="1"/>
      <c r="J232" s="1"/>
      <c r="K232" s="1"/>
      <c r="L232" s="1"/>
      <c r="M232" s="1"/>
      <c r="N232" s="18" t="str">
        <f>IF(ISNUMBER(SEARCH("ANALOG",Table24[[#This Row],[Type]]))=TRUE,1,"")</f>
        <v/>
      </c>
      <c r="O232" s="18" t="str">
        <f>IF(ISNUMBER(SEARCH("BINARY",Table24[[#This Row],[Type]]))=TRUE,1,"")</f>
        <v/>
      </c>
      <c r="P232" s="7" t="str">
        <f>IF(Table24[[#This Row],[Type]]="","",LEFT(Table24[[#This Row],[Type]],1)&amp;LEFT(#REF!,1))</f>
        <v/>
      </c>
      <c r="Q232" s="18" t="str">
        <f>IF(Table24[[#This Row],[Type]]="","",LEFT(Table24[[#This Row],[Type]],1)&amp;LEFT(#REF!,1))</f>
        <v/>
      </c>
      <c r="R232" s="18"/>
      <c r="S232" s="7" t="str">
        <f>IF(Table24[[#This Row],[A Counter]]=1,"AI"&amp;#REF!+SUM($N$35:N232),IF(Table24[[#This Row],[B Counter]]=1,"BI"&amp;#REF!+SUM($O$35:O232),""))</f>
        <v/>
      </c>
      <c r="T232" s="18" t="s">
        <v>34</v>
      </c>
      <c r="U232" s="7"/>
    </row>
    <row r="233" spans="1:21" x14ac:dyDescent="0.25">
      <c r="A233">
        <f t="shared" si="7"/>
        <v>224</v>
      </c>
      <c r="B233" s="93" t="str">
        <f>IFERROR(RIGHT(Table24[[#This Row],[Controller Input '#]],3)*1,"")</f>
        <v/>
      </c>
      <c r="C233" s="99"/>
      <c r="D233" s="1"/>
      <c r="E233" s="1"/>
      <c r="F233" s="1"/>
      <c r="G233" s="1"/>
      <c r="H233" s="8"/>
      <c r="I233" s="1"/>
      <c r="J233" s="1"/>
      <c r="K233" s="1"/>
      <c r="L233" s="11"/>
      <c r="M233" s="11"/>
      <c r="N233" s="18" t="str">
        <f>IF(ISNUMBER(SEARCH("ANALOG",Table24[[#This Row],[Type]]))=TRUE,1,"")</f>
        <v/>
      </c>
      <c r="O233" s="18" t="str">
        <f>IF(ISNUMBER(SEARCH("BINARY",Table24[[#This Row],[Type]]))=TRUE,1,"")</f>
        <v/>
      </c>
      <c r="P233" s="7" t="str">
        <f>IF(Table24[[#This Row],[Type]]="","",LEFT(Table24[[#This Row],[Type]],1)&amp;LEFT(#REF!,1))</f>
        <v/>
      </c>
      <c r="Q233" s="18" t="str">
        <f>IF(Table24[[#This Row],[Type]]="","",LEFT(Table24[[#This Row],[Type]],1)&amp;LEFT(#REF!,1))</f>
        <v/>
      </c>
      <c r="R233" s="18"/>
      <c r="S233" s="7" t="str">
        <f>IF(Table24[[#This Row],[A Counter]]=1,"AI"&amp;#REF!+SUM($N$35:N233),IF(Table24[[#This Row],[B Counter]]=1,"BI"&amp;#REF!+SUM($O$35:O233),""))</f>
        <v/>
      </c>
      <c r="T233" s="18" t="s">
        <v>34</v>
      </c>
      <c r="U233" s="7"/>
    </row>
    <row r="234" spans="1:21" x14ac:dyDescent="0.25">
      <c r="A234">
        <f t="shared" si="7"/>
        <v>225</v>
      </c>
      <c r="B234" s="93" t="str">
        <f>IFERROR(RIGHT(Table24[[#This Row],[Controller Input '#]],3)*1,"")</f>
        <v/>
      </c>
      <c r="C234" s="99"/>
      <c r="D234" s="1"/>
      <c r="E234" s="1"/>
      <c r="F234" s="1"/>
      <c r="G234" s="1"/>
      <c r="H234" s="8"/>
      <c r="I234" s="1"/>
      <c r="J234" s="1"/>
      <c r="K234" s="1"/>
      <c r="L234" s="11"/>
      <c r="M234" s="11"/>
      <c r="N234" s="18" t="str">
        <f>IF(ISNUMBER(SEARCH("ANALOG",Table24[[#This Row],[Type]]))=TRUE,1,"")</f>
        <v/>
      </c>
      <c r="O234" s="18" t="str">
        <f>IF(ISNUMBER(SEARCH("BINARY",Table24[[#This Row],[Type]]))=TRUE,1,"")</f>
        <v/>
      </c>
      <c r="P234" s="7" t="str">
        <f>IF(Table24[[#This Row],[Type]]="","",LEFT(Table24[[#This Row],[Type]],1)&amp;LEFT(#REF!,1))</f>
        <v/>
      </c>
      <c r="Q234" s="18" t="str">
        <f>IF(Table24[[#This Row],[Type]]="","",LEFT(Table24[[#This Row],[Type]],1)&amp;LEFT(#REF!,1))</f>
        <v/>
      </c>
      <c r="R234" s="18"/>
      <c r="S234" s="7" t="str">
        <f>IF(Table24[[#This Row],[A Counter]]=1,"AI"&amp;#REF!+SUM($N$35:N234),IF(Table24[[#This Row],[B Counter]]=1,"BI"&amp;#REF!+SUM($O$35:O234),""))</f>
        <v/>
      </c>
      <c r="T234" s="18" t="s">
        <v>34</v>
      </c>
      <c r="U234" s="7"/>
    </row>
    <row r="235" spans="1:21" x14ac:dyDescent="0.25">
      <c r="A235">
        <f t="shared" si="7"/>
        <v>226</v>
      </c>
      <c r="B235" s="93" t="str">
        <f>IFERROR(RIGHT(Table24[[#This Row],[Controller Input '#]],3)*1,"")</f>
        <v/>
      </c>
      <c r="C235" s="99"/>
      <c r="D235" s="1"/>
      <c r="E235" s="1"/>
      <c r="F235" s="1"/>
      <c r="G235" s="11"/>
      <c r="H235" s="21"/>
      <c r="I235" s="1"/>
      <c r="J235" s="1"/>
      <c r="K235" s="1"/>
      <c r="L235" s="11"/>
      <c r="M235" s="11"/>
      <c r="N235" s="18" t="str">
        <f>IF(ISNUMBER(SEARCH("ANALOG",Table24[[#This Row],[Type]]))=TRUE,1,"")</f>
        <v/>
      </c>
      <c r="O235" s="18" t="str">
        <f>IF(ISNUMBER(SEARCH("BINARY",Table24[[#This Row],[Type]]))=TRUE,1,"")</f>
        <v/>
      </c>
      <c r="P235" s="7" t="str">
        <f>IF(Table24[[#This Row],[Type]]="","",LEFT(Table24[[#This Row],[Type]],1)&amp;LEFT(#REF!,1))</f>
        <v/>
      </c>
      <c r="Q235" s="18" t="str">
        <f>IF(Table24[[#This Row],[Type]]="","",LEFT(Table24[[#This Row],[Type]],1)&amp;LEFT(#REF!,1))</f>
        <v/>
      </c>
      <c r="R235" s="18"/>
      <c r="S235" s="7" t="str">
        <f>IF(Table24[[#This Row],[A Counter]]=1,"AI"&amp;#REF!+SUM($N$35:N235),IF(Table24[[#This Row],[B Counter]]=1,"BI"&amp;#REF!+SUM($O$35:O235),""))</f>
        <v/>
      </c>
      <c r="T235" s="18" t="s">
        <v>34</v>
      </c>
      <c r="U235" s="7"/>
    </row>
    <row r="236" spans="1:21" x14ac:dyDescent="0.25">
      <c r="A236">
        <f t="shared" si="7"/>
        <v>227</v>
      </c>
      <c r="B236" s="93" t="str">
        <f>IFERROR(RIGHT(Table24[[#This Row],[Controller Input '#]],3)*1,"")</f>
        <v/>
      </c>
      <c r="C236" s="99"/>
      <c r="D236" s="1"/>
      <c r="E236" s="1"/>
      <c r="F236" s="1"/>
      <c r="G236" s="1"/>
      <c r="H236" s="8"/>
      <c r="I236" s="1"/>
      <c r="J236" s="1"/>
      <c r="K236" s="1"/>
      <c r="L236" s="1"/>
      <c r="M236" s="1"/>
      <c r="N236" s="18" t="str">
        <f>IF(ISNUMBER(SEARCH("ANALOG",Table24[[#This Row],[Type]]))=TRUE,1,"")</f>
        <v/>
      </c>
      <c r="O236" s="18" t="str">
        <f>IF(ISNUMBER(SEARCH("BINARY",Table24[[#This Row],[Type]]))=TRUE,1,"")</f>
        <v/>
      </c>
      <c r="P236" s="7" t="str">
        <f>IF(Table24[[#This Row],[Type]]="","",LEFT(Table24[[#This Row],[Type]],1)&amp;LEFT(#REF!,1))</f>
        <v/>
      </c>
      <c r="Q236" s="18" t="str">
        <f>IF(Table24[[#This Row],[Type]]="","",LEFT(Table24[[#This Row],[Type]],1)&amp;LEFT(#REF!,1))</f>
        <v/>
      </c>
      <c r="R236" s="18"/>
      <c r="S236" s="7" t="str">
        <f>IF(Table24[[#This Row],[A Counter]]=1,"AI"&amp;#REF!+SUM($N$35:N236),IF(Table24[[#This Row],[B Counter]]=1,"BI"&amp;#REF!+SUM($O$35:O236),""))</f>
        <v/>
      </c>
      <c r="T236" s="18" t="s">
        <v>34</v>
      </c>
      <c r="U236" s="7"/>
    </row>
    <row r="237" spans="1:21" x14ac:dyDescent="0.25">
      <c r="A237">
        <f t="shared" si="7"/>
        <v>228</v>
      </c>
      <c r="B237" s="93" t="str">
        <f>IFERROR(RIGHT(Table24[[#This Row],[Controller Input '#]],3)*1,"")</f>
        <v/>
      </c>
      <c r="C237" s="99"/>
      <c r="D237" s="1"/>
      <c r="E237" s="1"/>
      <c r="F237" s="1"/>
      <c r="G237" s="1"/>
      <c r="H237" s="8"/>
      <c r="I237" s="1"/>
      <c r="J237" s="1"/>
      <c r="K237" s="1"/>
      <c r="L237" s="1"/>
      <c r="M237" s="1"/>
      <c r="N237" s="18" t="str">
        <f>IF(ISNUMBER(SEARCH("ANALOG",Table24[[#This Row],[Type]]))=TRUE,1,"")</f>
        <v/>
      </c>
      <c r="O237" s="18" t="str">
        <f>IF(ISNUMBER(SEARCH("BINARY",Table24[[#This Row],[Type]]))=TRUE,1,"")</f>
        <v/>
      </c>
      <c r="P237" s="7" t="str">
        <f>IF(Table24[[#This Row],[Type]]="","",LEFT(Table24[[#This Row],[Type]],1)&amp;LEFT(#REF!,1))</f>
        <v/>
      </c>
      <c r="Q237" s="18" t="str">
        <f>IF(Table24[[#This Row],[Type]]="","",LEFT(Table24[[#This Row],[Type]],1)&amp;LEFT(#REF!,1))</f>
        <v/>
      </c>
      <c r="R237" s="18"/>
      <c r="S237" s="7" t="str">
        <f>IF(Table24[[#This Row],[A Counter]]=1,"AI"&amp;#REF!+SUM($N$35:N237),IF(Table24[[#This Row],[B Counter]]=1,"BI"&amp;#REF!+SUM($O$35:O237),""))</f>
        <v/>
      </c>
      <c r="T237" s="18" t="s">
        <v>34</v>
      </c>
      <c r="U237" s="7"/>
    </row>
    <row r="238" spans="1:21" x14ac:dyDescent="0.25">
      <c r="A238">
        <f t="shared" si="7"/>
        <v>229</v>
      </c>
      <c r="B238" s="93" t="str">
        <f>IFERROR(RIGHT(Table24[[#This Row],[Controller Input '#]],3)*1,"")</f>
        <v/>
      </c>
      <c r="C238" s="99"/>
      <c r="D238" s="1"/>
      <c r="E238" s="11"/>
      <c r="F238" s="11"/>
      <c r="G238" s="11"/>
      <c r="H238" s="21"/>
      <c r="I238" s="11"/>
      <c r="J238" s="11"/>
      <c r="K238" s="11"/>
      <c r="L238" s="11"/>
      <c r="M238" s="11"/>
      <c r="N238" s="18" t="str">
        <f>IF(ISNUMBER(SEARCH("ANALOG",Table24[[#This Row],[Type]]))=TRUE,1,"")</f>
        <v/>
      </c>
      <c r="O238" s="18" t="str">
        <f>IF(ISNUMBER(SEARCH("BINARY",Table24[[#This Row],[Type]]))=TRUE,1,"")</f>
        <v/>
      </c>
      <c r="P238" s="7" t="str">
        <f>IF(Table24[[#This Row],[Type]]="","",LEFT(Table24[[#This Row],[Type]],1)&amp;LEFT(#REF!,1))</f>
        <v/>
      </c>
      <c r="Q238" s="18" t="str">
        <f>IF(Table24[[#This Row],[Type]]="","",LEFT(Table24[[#This Row],[Type]],1)&amp;LEFT(#REF!,1))</f>
        <v/>
      </c>
      <c r="R238" s="18"/>
      <c r="S238" s="7" t="str">
        <f>IF(Table24[[#This Row],[A Counter]]=1,"AI"&amp;#REF!+SUM($N$35:N238),IF(Table24[[#This Row],[B Counter]]=1,"BI"&amp;#REF!+SUM($O$35:O238),""))</f>
        <v/>
      </c>
      <c r="T238" s="26" t="s">
        <v>34</v>
      </c>
      <c r="U238" s="7"/>
    </row>
    <row r="239" spans="1:21" x14ac:dyDescent="0.25">
      <c r="A239">
        <f t="shared" si="7"/>
        <v>230</v>
      </c>
      <c r="B239" s="93" t="str">
        <f>IFERROR(RIGHT(Table24[[#This Row],[Controller Input '#]],3)*1,"")</f>
        <v/>
      </c>
      <c r="C239" s="99"/>
      <c r="D239" s="1"/>
      <c r="E239" s="11"/>
      <c r="F239" s="11"/>
      <c r="G239" s="11"/>
      <c r="H239" s="21"/>
      <c r="I239" s="11"/>
      <c r="J239" s="11"/>
      <c r="K239" s="11"/>
      <c r="L239" s="11"/>
      <c r="M239" s="11"/>
      <c r="N239" s="18" t="str">
        <f>IF(ISNUMBER(SEARCH("ANALOG",Table24[[#This Row],[Type]]))=TRUE,1,"")</f>
        <v/>
      </c>
      <c r="O239" s="18" t="str">
        <f>IF(ISNUMBER(SEARCH("BINARY",Table24[[#This Row],[Type]]))=TRUE,1,"")</f>
        <v/>
      </c>
      <c r="P239" s="7" t="str">
        <f>IF(Table24[[#This Row],[Type]]="","",LEFT(Table24[[#This Row],[Type]],1)&amp;LEFT(#REF!,1))</f>
        <v/>
      </c>
      <c r="Q239" s="18" t="str">
        <f>IF(Table24[[#This Row],[Type]]="","",LEFT(Table24[[#This Row],[Type]],1)&amp;LEFT(#REF!,1))</f>
        <v/>
      </c>
      <c r="R239" s="18"/>
      <c r="S239" s="7" t="str">
        <f>IF(Table24[[#This Row],[A Counter]]=1,"AI"&amp;#REF!+SUM($N$35:N239),IF(Table24[[#This Row],[B Counter]]=1,"BI"&amp;#REF!+SUM($O$35:O239),""))</f>
        <v/>
      </c>
      <c r="T239" s="26" t="s">
        <v>34</v>
      </c>
      <c r="U239" s="7"/>
    </row>
    <row r="240" spans="1:21" x14ac:dyDescent="0.25">
      <c r="A240">
        <f t="shared" si="7"/>
        <v>231</v>
      </c>
      <c r="B240" s="93" t="str">
        <f>IFERROR(RIGHT(Table24[[#This Row],[Controller Input '#]],3)*1,"")</f>
        <v/>
      </c>
      <c r="C240" s="99"/>
      <c r="D240" s="1"/>
      <c r="E240" s="11"/>
      <c r="F240" s="11"/>
      <c r="G240" s="11"/>
      <c r="H240" s="21"/>
      <c r="I240" s="11"/>
      <c r="J240" s="11"/>
      <c r="K240" s="11"/>
      <c r="L240" s="11"/>
      <c r="M240" s="11"/>
      <c r="N240" s="18" t="str">
        <f>IF(ISNUMBER(SEARCH("ANALOG",Table24[[#This Row],[Type]]))=TRUE,1,"")</f>
        <v/>
      </c>
      <c r="O240" s="18" t="str">
        <f>IF(ISNUMBER(SEARCH("BINARY",Table24[[#This Row],[Type]]))=TRUE,1,"")</f>
        <v/>
      </c>
      <c r="P240" s="7" t="str">
        <f>IF(Table24[[#This Row],[Type]]="","",LEFT(Table24[[#This Row],[Type]],1)&amp;LEFT(#REF!,1))</f>
        <v/>
      </c>
      <c r="Q240" s="18" t="str">
        <f>IF(Table24[[#This Row],[Type]]="","",LEFT(Table24[[#This Row],[Type]],1)&amp;LEFT(#REF!,1))</f>
        <v/>
      </c>
      <c r="R240" s="18"/>
      <c r="S240" s="7" t="str">
        <f>IF(Table24[[#This Row],[A Counter]]=1,"AI"&amp;#REF!+SUM($N$35:N240),IF(Table24[[#This Row],[B Counter]]=1,"BI"&amp;#REF!+SUM($O$35:O240),""))</f>
        <v/>
      </c>
      <c r="T240" s="26" t="s">
        <v>34</v>
      </c>
      <c r="U240" s="7"/>
    </row>
    <row r="241" spans="1:21" x14ac:dyDescent="0.25">
      <c r="A241">
        <f t="shared" si="7"/>
        <v>232</v>
      </c>
      <c r="B241" s="93" t="str">
        <f>IFERROR(RIGHT(Table24[[#This Row],[Controller Input '#]],3)*1,"")</f>
        <v/>
      </c>
      <c r="C241" s="99"/>
      <c r="D241" s="1"/>
      <c r="E241" s="23"/>
      <c r="F241" s="23"/>
      <c r="G241" s="23"/>
      <c r="H241" s="27"/>
      <c r="I241" s="23"/>
      <c r="J241" s="23"/>
      <c r="K241" s="23"/>
      <c r="L241" s="23"/>
      <c r="M241" s="23"/>
      <c r="N241" s="18" t="str">
        <f>IF(ISNUMBER(SEARCH("ANALOG",Table24[[#This Row],[Type]]))=TRUE,1,"")</f>
        <v/>
      </c>
      <c r="O241" s="18" t="str">
        <f>IF(ISNUMBER(SEARCH("BINARY",Table24[[#This Row],[Type]]))=TRUE,1,"")</f>
        <v/>
      </c>
      <c r="P241" s="7" t="str">
        <f>IF(Table24[[#This Row],[Type]]="","",LEFT(Table24[[#This Row],[Type]],1)&amp;LEFT(#REF!,1))</f>
        <v/>
      </c>
      <c r="Q241" s="18" t="str">
        <f>IF(Table24[[#This Row],[Type]]="","",LEFT(Table24[[#This Row],[Type]],1)&amp;LEFT(#REF!,1))</f>
        <v/>
      </c>
      <c r="R241" s="18"/>
      <c r="S241" s="7" t="str">
        <f>IF(Table24[[#This Row],[A Counter]]=1,"AI"&amp;#REF!+SUM($N$35:N241),IF(Table24[[#This Row],[B Counter]]=1,"BI"&amp;#REF!+SUM($O$35:O241),""))</f>
        <v/>
      </c>
      <c r="T241" s="28" t="s">
        <v>34</v>
      </c>
      <c r="U241" s="7"/>
    </row>
    <row r="242" spans="1:21" x14ac:dyDescent="0.25">
      <c r="A242">
        <f t="shared" si="7"/>
        <v>233</v>
      </c>
      <c r="B242" s="93" t="str">
        <f>IFERROR(RIGHT(Table24[[#This Row],[Controller Input '#]],3)*1,"")</f>
        <v/>
      </c>
      <c r="C242" s="99"/>
      <c r="D242" s="1"/>
      <c r="E242" s="11"/>
      <c r="F242" s="11"/>
      <c r="G242" s="11"/>
      <c r="H242" s="21"/>
      <c r="I242" s="11"/>
      <c r="J242" s="11"/>
      <c r="K242" s="11"/>
      <c r="L242" s="11"/>
      <c r="M242" s="11"/>
      <c r="N242" s="18" t="str">
        <f>IF(ISNUMBER(SEARCH("ANALOG",Table24[[#This Row],[Type]]))=TRUE,1,"")</f>
        <v/>
      </c>
      <c r="O242" s="18" t="str">
        <f>IF(ISNUMBER(SEARCH("BINARY",Table24[[#This Row],[Type]]))=TRUE,1,"")</f>
        <v/>
      </c>
      <c r="P242" s="7" t="str">
        <f>IF(Table24[[#This Row],[Type]]="","",LEFT(Table24[[#This Row],[Type]],1)&amp;LEFT(#REF!,1))</f>
        <v/>
      </c>
      <c r="Q242" s="18" t="str">
        <f>IF(Table24[[#This Row],[Type]]="","",LEFT(Table24[[#This Row],[Type]],1)&amp;LEFT(#REF!,1))</f>
        <v/>
      </c>
      <c r="R242" s="18"/>
      <c r="S242" s="7" t="str">
        <f>IF(Table24[[#This Row],[A Counter]]=1,"AI"&amp;#REF!+SUM($N$35:N242),IF(Table24[[#This Row],[B Counter]]=1,"BI"&amp;#REF!+SUM($O$35:O242),""))</f>
        <v/>
      </c>
      <c r="T242" s="26" t="s">
        <v>34</v>
      </c>
      <c r="U242" s="7"/>
    </row>
    <row r="243" spans="1:21" x14ac:dyDescent="0.25">
      <c r="A243">
        <f t="shared" si="7"/>
        <v>234</v>
      </c>
      <c r="B243" s="93" t="str">
        <f>IFERROR(RIGHT(Table24[[#This Row],[Controller Input '#]],3)*1,"")</f>
        <v/>
      </c>
      <c r="C243" s="99"/>
      <c r="D243" s="1"/>
      <c r="E243" s="11"/>
      <c r="F243" s="11"/>
      <c r="G243" s="11"/>
      <c r="H243" s="21"/>
      <c r="I243" s="11"/>
      <c r="J243" s="11"/>
      <c r="K243" s="11"/>
      <c r="L243" s="11"/>
      <c r="M243" s="11"/>
      <c r="N243" s="18" t="str">
        <f>IF(ISNUMBER(SEARCH("ANALOG",Table24[[#This Row],[Type]]))=TRUE,1,"")</f>
        <v/>
      </c>
      <c r="O243" s="18" t="str">
        <f>IF(ISNUMBER(SEARCH("BINARY",Table24[[#This Row],[Type]]))=TRUE,1,"")</f>
        <v/>
      </c>
      <c r="P243" s="7" t="str">
        <f>IF(Table24[[#This Row],[Type]]="","",LEFT(Table24[[#This Row],[Type]],1)&amp;LEFT(#REF!,1))</f>
        <v/>
      </c>
      <c r="Q243" s="18" t="str">
        <f>IF(Table24[[#This Row],[Type]]="","",LEFT(Table24[[#This Row],[Type]],1)&amp;LEFT(#REF!,1))</f>
        <v/>
      </c>
      <c r="R243" s="18"/>
      <c r="S243" s="7" t="str">
        <f>IF(Table24[[#This Row],[A Counter]]=1,"AI"&amp;#REF!+SUM($N$35:N243),IF(Table24[[#This Row],[B Counter]]=1,"BI"&amp;#REF!+SUM($O$35:O243),""))</f>
        <v/>
      </c>
      <c r="T243" s="26" t="s">
        <v>34</v>
      </c>
      <c r="U243" s="7"/>
    </row>
    <row r="244" spans="1:21" x14ac:dyDescent="0.25">
      <c r="A244">
        <f t="shared" si="7"/>
        <v>235</v>
      </c>
      <c r="B244" s="93" t="str">
        <f>IFERROR(RIGHT(Table24[[#This Row],[Controller Input '#]],3)*1,"")</f>
        <v/>
      </c>
      <c r="C244" s="99"/>
      <c r="D244" s="1"/>
      <c r="E244" s="11"/>
      <c r="F244" s="11"/>
      <c r="G244" s="11"/>
      <c r="H244" s="21"/>
      <c r="I244" s="11"/>
      <c r="J244" s="11"/>
      <c r="K244" s="11"/>
      <c r="L244" s="11"/>
      <c r="M244" s="11"/>
      <c r="N244" s="18" t="str">
        <f>IF(ISNUMBER(SEARCH("ANALOG",Table24[[#This Row],[Type]]))=TRUE,1,"")</f>
        <v/>
      </c>
      <c r="O244" s="18" t="str">
        <f>IF(ISNUMBER(SEARCH("BINARY",Table24[[#This Row],[Type]]))=TRUE,1,"")</f>
        <v/>
      </c>
      <c r="P244" s="7" t="str">
        <f>IF(Table24[[#This Row],[Type]]="","",LEFT(Table24[[#This Row],[Type]],1)&amp;LEFT(#REF!,1))</f>
        <v/>
      </c>
      <c r="Q244" s="18" t="str">
        <f>IF(Table24[[#This Row],[Type]]="","",LEFT(Table24[[#This Row],[Type]],1)&amp;LEFT(#REF!,1))</f>
        <v/>
      </c>
      <c r="R244" s="18"/>
      <c r="S244" s="7" t="str">
        <f>IF(Table24[[#This Row],[A Counter]]=1,"AI"&amp;#REF!+SUM($N$35:N244),IF(Table24[[#This Row],[B Counter]]=1,"BI"&amp;#REF!+SUM($O$35:O244),""))</f>
        <v/>
      </c>
      <c r="T244" s="26" t="s">
        <v>34</v>
      </c>
      <c r="U244" s="7"/>
    </row>
    <row r="245" spans="1:21" x14ac:dyDescent="0.25">
      <c r="A245">
        <f t="shared" si="7"/>
        <v>236</v>
      </c>
      <c r="B245" s="93" t="str">
        <f>IFERROR(RIGHT(Table24[[#This Row],[Controller Input '#]],3)*1,"")</f>
        <v/>
      </c>
      <c r="C245" s="99"/>
      <c r="D245" s="1"/>
      <c r="E245" s="11"/>
      <c r="F245" s="11"/>
      <c r="G245" s="11"/>
      <c r="H245" s="21"/>
      <c r="I245" s="11"/>
      <c r="J245" s="11"/>
      <c r="K245" s="11"/>
      <c r="L245" s="11"/>
      <c r="M245" s="11"/>
      <c r="N245" s="18" t="str">
        <f>IF(ISNUMBER(SEARCH("ANALOG",Table24[[#This Row],[Type]]))=TRUE,1,"")</f>
        <v/>
      </c>
      <c r="O245" s="18" t="str">
        <f>IF(ISNUMBER(SEARCH("BINARY",Table24[[#This Row],[Type]]))=TRUE,1,"")</f>
        <v/>
      </c>
      <c r="P245" s="7" t="str">
        <f>IF(Table24[[#This Row],[Type]]="","",LEFT(Table24[[#This Row],[Type]],1)&amp;LEFT(#REF!,1))</f>
        <v/>
      </c>
      <c r="Q245" s="18" t="str">
        <f>IF(Table24[[#This Row],[Type]]="","",LEFT(Table24[[#This Row],[Type]],1)&amp;LEFT(#REF!,1))</f>
        <v/>
      </c>
      <c r="R245" s="18"/>
      <c r="S245" s="7" t="str">
        <f>IF(Table24[[#This Row],[A Counter]]=1,"AI"&amp;#REF!+SUM($N$35:N245),IF(Table24[[#This Row],[B Counter]]=1,"BI"&amp;#REF!+SUM($O$35:O245),""))</f>
        <v/>
      </c>
      <c r="T245" s="26" t="s">
        <v>34</v>
      </c>
      <c r="U245" s="7"/>
    </row>
    <row r="246" spans="1:21" x14ac:dyDescent="0.25">
      <c r="A246">
        <f t="shared" si="7"/>
        <v>237</v>
      </c>
      <c r="B246" s="93" t="str">
        <f>IFERROR(RIGHT(Table24[[#This Row],[Controller Input '#]],3)*1,"")</f>
        <v/>
      </c>
      <c r="C246" s="99"/>
      <c r="D246" s="1"/>
      <c r="E246" s="23"/>
      <c r="F246" s="23"/>
      <c r="G246" s="23"/>
      <c r="H246" s="27"/>
      <c r="I246" s="23"/>
      <c r="J246" s="23"/>
      <c r="K246" s="23"/>
      <c r="L246" s="23"/>
      <c r="M246" s="23"/>
      <c r="N246" s="18" t="str">
        <f>IF(ISNUMBER(SEARCH("ANALOG",Table24[[#This Row],[Type]]))=TRUE,1,"")</f>
        <v/>
      </c>
      <c r="O246" s="18" t="str">
        <f>IF(ISNUMBER(SEARCH("BINARY",Table24[[#This Row],[Type]]))=TRUE,1,"")</f>
        <v/>
      </c>
      <c r="P246" s="7" t="str">
        <f>IF(Table24[[#This Row],[Type]]="","",LEFT(Table24[[#This Row],[Type]],1)&amp;LEFT(#REF!,1))</f>
        <v/>
      </c>
      <c r="Q246" s="18" t="str">
        <f>IF(Table24[[#This Row],[Type]]="","",LEFT(Table24[[#This Row],[Type]],1)&amp;LEFT(#REF!,1))</f>
        <v/>
      </c>
      <c r="R246" s="18"/>
      <c r="S246" s="7" t="str">
        <f>IF(Table24[[#This Row],[A Counter]]=1,"AI"&amp;#REF!+SUM($N$35:N246),IF(Table24[[#This Row],[B Counter]]=1,"BI"&amp;#REF!+SUM($O$35:O246),""))</f>
        <v/>
      </c>
      <c r="T246" s="28" t="s">
        <v>34</v>
      </c>
      <c r="U246" s="7"/>
    </row>
    <row r="247" spans="1:21" x14ac:dyDescent="0.25">
      <c r="A247">
        <f t="shared" si="7"/>
        <v>238</v>
      </c>
      <c r="B247" s="93" t="str">
        <f>IFERROR(RIGHT(Table24[[#This Row],[Controller Input '#]],3)*1,"")</f>
        <v/>
      </c>
      <c r="C247" s="99"/>
      <c r="D247" s="1"/>
      <c r="E247" s="11"/>
      <c r="F247" s="11"/>
      <c r="G247" s="11"/>
      <c r="H247" s="21"/>
      <c r="I247" s="11"/>
      <c r="J247" s="11"/>
      <c r="K247" s="11"/>
      <c r="L247" s="11"/>
      <c r="M247" s="11"/>
      <c r="N247" s="18" t="str">
        <f>IF(ISNUMBER(SEARCH("ANALOG",Table24[[#This Row],[Type]]))=TRUE,1,"")</f>
        <v/>
      </c>
      <c r="O247" s="18" t="str">
        <f>IF(ISNUMBER(SEARCH("BINARY",Table24[[#This Row],[Type]]))=TRUE,1,"")</f>
        <v/>
      </c>
      <c r="P247" s="7" t="str">
        <f>IF(Table24[[#This Row],[Type]]="","",LEFT(Table24[[#This Row],[Type]],1)&amp;LEFT(#REF!,1))</f>
        <v/>
      </c>
      <c r="Q247" s="18" t="str">
        <f>IF(Table24[[#This Row],[Type]]="","",LEFT(Table24[[#This Row],[Type]],1)&amp;LEFT(#REF!,1))</f>
        <v/>
      </c>
      <c r="R247" s="18"/>
      <c r="S247" s="7" t="str">
        <f>IF(Table24[[#This Row],[A Counter]]=1,"AI"&amp;#REF!+SUM($N$35:N247),IF(Table24[[#This Row],[B Counter]]=1,"BI"&amp;#REF!+SUM($O$35:O247),""))</f>
        <v/>
      </c>
      <c r="T247" s="26" t="s">
        <v>34</v>
      </c>
      <c r="U247" s="7"/>
    </row>
    <row r="248" spans="1:21" x14ac:dyDescent="0.25">
      <c r="A248">
        <f t="shared" si="7"/>
        <v>239</v>
      </c>
      <c r="B248" s="93" t="str">
        <f>IFERROR(RIGHT(Table24[[#This Row],[Controller Input '#]],3)*1,"")</f>
        <v/>
      </c>
      <c r="C248" s="99"/>
      <c r="D248" s="1"/>
      <c r="E248" s="11"/>
      <c r="F248" s="11"/>
      <c r="G248" s="11"/>
      <c r="H248" s="21"/>
      <c r="I248" s="11"/>
      <c r="J248" s="11"/>
      <c r="K248" s="11"/>
      <c r="L248" s="11"/>
      <c r="M248" s="11"/>
      <c r="N248" s="18" t="str">
        <f>IF(ISNUMBER(SEARCH("ANALOG",Table24[[#This Row],[Type]]))=TRUE,1,"")</f>
        <v/>
      </c>
      <c r="O248" s="18" t="str">
        <f>IF(ISNUMBER(SEARCH("BINARY",Table24[[#This Row],[Type]]))=TRUE,1,"")</f>
        <v/>
      </c>
      <c r="P248" s="7" t="str">
        <f>IF(Table24[[#This Row],[Type]]="","",LEFT(Table24[[#This Row],[Type]],1)&amp;LEFT(#REF!,1))</f>
        <v/>
      </c>
      <c r="Q248" s="18" t="str">
        <f>IF(Table24[[#This Row],[Type]]="","",LEFT(Table24[[#This Row],[Type]],1)&amp;LEFT(#REF!,1))</f>
        <v/>
      </c>
      <c r="R248" s="18"/>
      <c r="S248" s="7" t="str">
        <f>IF(Table24[[#This Row],[A Counter]]=1,"AI"&amp;#REF!+SUM($N$35:N248),IF(Table24[[#This Row],[B Counter]]=1,"BI"&amp;#REF!+SUM($O$35:O248),""))</f>
        <v/>
      </c>
      <c r="T248" s="26" t="s">
        <v>34</v>
      </c>
      <c r="U248" s="7"/>
    </row>
    <row r="249" spans="1:21" x14ac:dyDescent="0.25">
      <c r="A249">
        <f t="shared" si="7"/>
        <v>240</v>
      </c>
      <c r="B249" s="93" t="str">
        <f>IFERROR(RIGHT(Table24[[#This Row],[Controller Input '#]],3)*1,"")</f>
        <v/>
      </c>
      <c r="C249" s="99"/>
      <c r="D249" s="1"/>
      <c r="E249" s="11"/>
      <c r="F249" s="11"/>
      <c r="G249" s="11"/>
      <c r="H249" s="21"/>
      <c r="I249" s="11"/>
      <c r="J249" s="11"/>
      <c r="K249" s="11"/>
      <c r="L249" s="11"/>
      <c r="M249" s="11"/>
      <c r="N249" s="18" t="str">
        <f>IF(ISNUMBER(SEARCH("ANALOG",Table24[[#This Row],[Type]]))=TRUE,1,"")</f>
        <v/>
      </c>
      <c r="O249" s="18" t="str">
        <f>IF(ISNUMBER(SEARCH("BINARY",Table24[[#This Row],[Type]]))=TRUE,1,"")</f>
        <v/>
      </c>
      <c r="P249" s="7" t="str">
        <f>IF(Table24[[#This Row],[Type]]="","",LEFT(Table24[[#This Row],[Type]],1)&amp;LEFT(#REF!,1))</f>
        <v/>
      </c>
      <c r="Q249" s="18" t="str">
        <f>IF(Table24[[#This Row],[Type]]="","",LEFT(Table24[[#This Row],[Type]],1)&amp;LEFT(#REF!,1))</f>
        <v/>
      </c>
      <c r="R249" s="18"/>
      <c r="S249" s="7" t="str">
        <f>IF(Table24[[#This Row],[A Counter]]=1,"AI"&amp;#REF!+SUM($N$35:N249),IF(Table24[[#This Row],[B Counter]]=1,"BI"&amp;#REF!+SUM($O$35:O249),""))</f>
        <v/>
      </c>
      <c r="T249" s="26" t="s">
        <v>34</v>
      </c>
      <c r="U249" s="7"/>
    </row>
    <row r="250" spans="1:21" x14ac:dyDescent="0.25">
      <c r="A250">
        <f t="shared" si="7"/>
        <v>241</v>
      </c>
      <c r="B250" s="93" t="str">
        <f>IFERROR(RIGHT(Table24[[#This Row],[Controller Input '#]],3)*1,"")</f>
        <v/>
      </c>
      <c r="C250" s="99"/>
      <c r="D250" s="1"/>
      <c r="E250" s="11"/>
      <c r="F250" s="11"/>
      <c r="G250" s="11"/>
      <c r="H250" s="21"/>
      <c r="I250" s="11"/>
      <c r="J250" s="11"/>
      <c r="K250" s="11"/>
      <c r="L250" s="11"/>
      <c r="M250" s="11"/>
      <c r="N250" s="18" t="str">
        <f>IF(ISNUMBER(SEARCH("ANALOG",Table24[[#This Row],[Type]]))=TRUE,1,"")</f>
        <v/>
      </c>
      <c r="O250" s="18" t="str">
        <f>IF(ISNUMBER(SEARCH("BINARY",Table24[[#This Row],[Type]]))=TRUE,1,"")</f>
        <v/>
      </c>
      <c r="P250" s="7" t="str">
        <f>IF(Table24[[#This Row],[Type]]="","",LEFT(Table24[[#This Row],[Type]],1)&amp;LEFT(#REF!,1))</f>
        <v/>
      </c>
      <c r="Q250" s="18" t="str">
        <f>IF(Table24[[#This Row],[Type]]="","",LEFT(Table24[[#This Row],[Type]],1)&amp;LEFT(#REF!,1))</f>
        <v/>
      </c>
      <c r="R250" s="18"/>
      <c r="S250" s="7" t="str">
        <f>IF(Table24[[#This Row],[A Counter]]=1,"AI"&amp;#REF!+SUM($N$35:N250),IF(Table24[[#This Row],[B Counter]]=1,"BI"&amp;#REF!+SUM($O$35:O250),""))</f>
        <v/>
      </c>
      <c r="T250" s="26" t="s">
        <v>34</v>
      </c>
      <c r="U250" s="7"/>
    </row>
    <row r="251" spans="1:21" x14ac:dyDescent="0.25">
      <c r="A251">
        <f t="shared" si="7"/>
        <v>242</v>
      </c>
      <c r="B251" s="93" t="str">
        <f>IFERROR(RIGHT(Table24[[#This Row],[Controller Input '#]],3)*1,"")</f>
        <v/>
      </c>
      <c r="C251" s="99"/>
      <c r="D251" s="1"/>
      <c r="E251" s="23"/>
      <c r="F251" s="23"/>
      <c r="G251" s="23"/>
      <c r="H251" s="27"/>
      <c r="I251" s="23"/>
      <c r="J251" s="23"/>
      <c r="K251" s="23"/>
      <c r="L251" s="23"/>
      <c r="M251" s="23"/>
      <c r="N251" s="18" t="str">
        <f>IF(ISNUMBER(SEARCH("ANALOG",Table24[[#This Row],[Type]]))=TRUE,1,"")</f>
        <v/>
      </c>
      <c r="O251" s="18" t="str">
        <f>IF(ISNUMBER(SEARCH("BINARY",Table24[[#This Row],[Type]]))=TRUE,1,"")</f>
        <v/>
      </c>
      <c r="P251" s="7" t="str">
        <f>IF(Table24[[#This Row],[Type]]="","",LEFT(Table24[[#This Row],[Type]],1)&amp;LEFT(#REF!,1))</f>
        <v/>
      </c>
      <c r="Q251" s="18" t="str">
        <f>IF(Table24[[#This Row],[Type]]="","",LEFT(Table24[[#This Row],[Type]],1)&amp;LEFT(#REF!,1))</f>
        <v/>
      </c>
      <c r="R251" s="18"/>
      <c r="S251" s="7" t="str">
        <f>IF(Table24[[#This Row],[A Counter]]=1,"AI"&amp;#REF!+SUM($N$35:N251),IF(Table24[[#This Row],[B Counter]]=1,"BI"&amp;#REF!+SUM($O$35:O251),""))</f>
        <v/>
      </c>
      <c r="T251" s="28" t="s">
        <v>34</v>
      </c>
      <c r="U251" s="7"/>
    </row>
    <row r="252" spans="1:21" x14ac:dyDescent="0.25">
      <c r="A252">
        <f t="shared" si="7"/>
        <v>243</v>
      </c>
      <c r="B252" s="93" t="str">
        <f>IFERROR(RIGHT(Table24[[#This Row],[Controller Input '#]],3)*1,"")</f>
        <v/>
      </c>
      <c r="C252" s="99"/>
      <c r="D252" s="1"/>
      <c r="E252" s="11"/>
      <c r="F252" s="11"/>
      <c r="G252" s="11"/>
      <c r="H252" s="21"/>
      <c r="I252" s="11"/>
      <c r="J252" s="11"/>
      <c r="K252" s="11"/>
      <c r="L252" s="11"/>
      <c r="M252" s="11"/>
      <c r="N252" s="18" t="str">
        <f>IF(ISNUMBER(SEARCH("ANALOG",Table24[[#This Row],[Type]]))=TRUE,1,"")</f>
        <v/>
      </c>
      <c r="O252" s="18" t="str">
        <f>IF(ISNUMBER(SEARCH("BINARY",Table24[[#This Row],[Type]]))=TRUE,1,"")</f>
        <v/>
      </c>
      <c r="P252" s="7" t="str">
        <f>IF(Table24[[#This Row],[Type]]="","",LEFT(Table24[[#This Row],[Type]],1)&amp;LEFT(#REF!,1))</f>
        <v/>
      </c>
      <c r="Q252" s="18" t="str">
        <f>IF(Table24[[#This Row],[Type]]="","",LEFT(Table24[[#This Row],[Type]],1)&amp;LEFT(#REF!,1))</f>
        <v/>
      </c>
      <c r="R252" s="18"/>
      <c r="S252" s="7" t="str">
        <f>IF(Table24[[#This Row],[A Counter]]=1,"AI"&amp;#REF!+SUM($N$35:N252),IF(Table24[[#This Row],[B Counter]]=1,"BI"&amp;#REF!+SUM($O$35:O252),""))</f>
        <v/>
      </c>
      <c r="T252" s="26" t="s">
        <v>34</v>
      </c>
      <c r="U252" s="7"/>
    </row>
    <row r="253" spans="1:21" x14ac:dyDescent="0.25">
      <c r="A253">
        <f t="shared" si="7"/>
        <v>244</v>
      </c>
      <c r="B253" s="93" t="str">
        <f>IFERROR(RIGHT(Table24[[#This Row],[Controller Input '#]],3)*1,"")</f>
        <v/>
      </c>
      <c r="C253" s="99"/>
      <c r="D253" s="1"/>
      <c r="E253" s="1"/>
      <c r="F253" s="1"/>
      <c r="G253" s="1"/>
      <c r="H253" s="8"/>
      <c r="I253" s="1"/>
      <c r="J253" s="1"/>
      <c r="K253" s="1"/>
      <c r="L253" s="1"/>
      <c r="M253" s="1"/>
      <c r="N253" s="18" t="str">
        <f>IF(ISNUMBER(SEARCH("ANALOG",Table24[[#This Row],[Type]]))=TRUE,1,"")</f>
        <v/>
      </c>
      <c r="O253" s="18" t="str">
        <f>IF(ISNUMBER(SEARCH("BINARY",Table24[[#This Row],[Type]]))=TRUE,1,"")</f>
        <v/>
      </c>
      <c r="P253" s="7" t="str">
        <f>IF(Table24[[#This Row],[Type]]="","",LEFT(Table24[[#This Row],[Type]],1)&amp;LEFT(#REF!,1))</f>
        <v/>
      </c>
      <c r="Q253" s="18" t="str">
        <f>IF(Table24[[#This Row],[Type]]="","",LEFT(Table24[[#This Row],[Type]],1)&amp;LEFT(#REF!,1))</f>
        <v/>
      </c>
      <c r="R253" s="18"/>
      <c r="S253" s="7" t="str">
        <f>IF(Table24[[#This Row],[A Counter]]=1,"AI"&amp;#REF!+SUM($N$35:N253),IF(Table24[[#This Row],[B Counter]]=1,"BI"&amp;#REF!+SUM($O$35:O253),""))</f>
        <v/>
      </c>
      <c r="T253" s="18" t="s">
        <v>34</v>
      </c>
      <c r="U253" s="7"/>
    </row>
    <row r="254" spans="1:21" x14ac:dyDescent="0.25">
      <c r="A254">
        <f t="shared" ref="A254:A278" si="8">A253+1</f>
        <v>245</v>
      </c>
      <c r="B254" s="93" t="str">
        <f>IFERROR(RIGHT(Table24[[#This Row],[Controller Input '#]],3)*1,"")</f>
        <v/>
      </c>
      <c r="C254" s="99"/>
      <c r="D254" s="1"/>
      <c r="E254" s="1"/>
      <c r="F254" s="1"/>
      <c r="G254" s="1"/>
      <c r="H254" s="8"/>
      <c r="I254" s="1"/>
      <c r="J254" s="1"/>
      <c r="K254" s="1"/>
      <c r="L254" s="1"/>
      <c r="M254" s="1"/>
      <c r="N254" s="18" t="str">
        <f>IF(ISNUMBER(SEARCH("ANALOG",Table24[[#This Row],[Type]]))=TRUE,1,"")</f>
        <v/>
      </c>
      <c r="O254" s="18" t="str">
        <f>IF(ISNUMBER(SEARCH("BINARY",Table24[[#This Row],[Type]]))=TRUE,1,"")</f>
        <v/>
      </c>
      <c r="P254" s="7" t="str">
        <f>IF(Table24[[#This Row],[Type]]="","",LEFT(Table24[[#This Row],[Type]],1)&amp;LEFT(#REF!,1))</f>
        <v/>
      </c>
      <c r="Q254" s="18" t="str">
        <f>IF(Table24[[#This Row],[Type]]="","",LEFT(Table24[[#This Row],[Type]],1)&amp;LEFT(#REF!,1))</f>
        <v/>
      </c>
      <c r="R254" s="18"/>
      <c r="S254" s="7" t="str">
        <f>IF(Table24[[#This Row],[A Counter]]=1,"AI"&amp;#REF!+SUM($N$35:N254),IF(Table24[[#This Row],[B Counter]]=1,"BI"&amp;#REF!+SUM($O$35:O254),""))</f>
        <v/>
      </c>
      <c r="T254" s="18" t="s">
        <v>34</v>
      </c>
      <c r="U254" s="7"/>
    </row>
    <row r="255" spans="1:21" x14ac:dyDescent="0.25">
      <c r="A255">
        <f t="shared" si="8"/>
        <v>246</v>
      </c>
      <c r="B255" s="93" t="str">
        <f>IFERROR(RIGHT(Table24[[#This Row],[Controller Input '#]],3)*1,"")</f>
        <v/>
      </c>
      <c r="C255" s="98"/>
      <c r="D255" s="1"/>
      <c r="E255" s="1"/>
      <c r="F255" s="1"/>
      <c r="G255" s="1"/>
      <c r="H255" s="8"/>
      <c r="I255" s="1"/>
      <c r="J255" s="1"/>
      <c r="K255" s="1"/>
      <c r="L255" s="1"/>
      <c r="M255" s="1"/>
      <c r="N255" s="18" t="str">
        <f>IF(ISNUMBER(SEARCH("ANALOG",Table24[[#This Row],[Type]]))=TRUE,1,"")</f>
        <v/>
      </c>
      <c r="O255" s="18" t="str">
        <f>IF(ISNUMBER(SEARCH("BINARY",Table24[[#This Row],[Type]]))=TRUE,1,"")</f>
        <v/>
      </c>
      <c r="P255" s="7" t="str">
        <f>IF(Table24[[#This Row],[Type]]="","",LEFT(Table24[[#This Row],[Type]],1)&amp;LEFT(#REF!,1))</f>
        <v/>
      </c>
      <c r="Q255" s="18" t="str">
        <f>IF(Table24[[#This Row],[Type]]="","",LEFT(Table24[[#This Row],[Type]],1)&amp;LEFT(#REF!,1))</f>
        <v/>
      </c>
      <c r="R255" s="18"/>
      <c r="S255" s="7" t="str">
        <f>IF(Table24[[#This Row],[A Counter]]=1,"AI"&amp;#REF!+SUM($N$35:N255),IF(Table24[[#This Row],[B Counter]]=1,"BI"&amp;#REF!+SUM($O$35:O255),""))</f>
        <v/>
      </c>
      <c r="T255" s="18" t="s">
        <v>34</v>
      </c>
      <c r="U255" s="7"/>
    </row>
    <row r="256" spans="1:21" x14ac:dyDescent="0.25">
      <c r="A256">
        <f t="shared" si="8"/>
        <v>247</v>
      </c>
      <c r="B256" s="93" t="str">
        <f>IFERROR(RIGHT(Table24[[#This Row],[Controller Input '#]],3)*1,"")</f>
        <v/>
      </c>
      <c r="C256" s="98"/>
      <c r="D256" s="1"/>
      <c r="E256" s="1"/>
      <c r="F256" s="1"/>
      <c r="G256" s="11"/>
      <c r="H256" s="21"/>
      <c r="I256" s="1"/>
      <c r="J256" s="1"/>
      <c r="K256" s="1"/>
      <c r="L256" s="1"/>
      <c r="M256" s="1"/>
      <c r="N256" s="18" t="str">
        <f>IF(ISNUMBER(SEARCH("ANALOG",Table24[[#This Row],[Type]]))=TRUE,1,"")</f>
        <v/>
      </c>
      <c r="O256" s="18" t="str">
        <f>IF(ISNUMBER(SEARCH("BINARY",Table24[[#This Row],[Type]]))=TRUE,1,"")</f>
        <v/>
      </c>
      <c r="P256" s="7" t="str">
        <f>IF(Table24[[#This Row],[Type]]="","",LEFT(Table24[[#This Row],[Type]],1)&amp;LEFT(#REF!,1))</f>
        <v/>
      </c>
      <c r="Q256" s="18" t="str">
        <f>IF(Table24[[#This Row],[Type]]="","",LEFT(Table24[[#This Row],[Type]],1)&amp;LEFT(#REF!,1))</f>
        <v/>
      </c>
      <c r="R256" s="18"/>
      <c r="S256" s="7" t="str">
        <f>IF(Table24[[#This Row],[A Counter]]=1,"AI"&amp;#REF!+SUM($N$35:N256),IF(Table24[[#This Row],[B Counter]]=1,"BI"&amp;#REF!+SUM($O$35:O256),""))</f>
        <v/>
      </c>
      <c r="T256" s="18" t="s">
        <v>34</v>
      </c>
      <c r="U256" s="7"/>
    </row>
    <row r="257" spans="1:21" x14ac:dyDescent="0.25">
      <c r="A257">
        <f t="shared" si="8"/>
        <v>248</v>
      </c>
      <c r="B257" s="93" t="str">
        <f>IFERROR(RIGHT(Table24[[#This Row],[Controller Input '#]],3)*1,"")</f>
        <v/>
      </c>
      <c r="C257" s="98"/>
      <c r="D257" s="1"/>
      <c r="E257" s="1"/>
      <c r="F257" s="1"/>
      <c r="G257" s="11"/>
      <c r="H257" s="21"/>
      <c r="I257" s="1"/>
      <c r="J257" s="1"/>
      <c r="K257" s="1"/>
      <c r="L257" s="1"/>
      <c r="M257" s="1"/>
      <c r="N257" s="18" t="str">
        <f>IF(ISNUMBER(SEARCH("ANALOG",Table24[[#This Row],[Type]]))=TRUE,1,"")</f>
        <v/>
      </c>
      <c r="O257" s="18" t="str">
        <f>IF(ISNUMBER(SEARCH("BINARY",Table24[[#This Row],[Type]]))=TRUE,1,"")</f>
        <v/>
      </c>
      <c r="P257" s="7" t="str">
        <f>IF(Table24[[#This Row],[Type]]="","",LEFT(Table24[[#This Row],[Type]],1)&amp;LEFT(#REF!,1))</f>
        <v/>
      </c>
      <c r="Q257" s="18" t="str">
        <f>IF(Table24[[#This Row],[Type]]="","",LEFT(Table24[[#This Row],[Type]],1)&amp;LEFT(#REF!,1))</f>
        <v/>
      </c>
      <c r="R257" s="18"/>
      <c r="S257" s="7" t="str">
        <f>IF(Table24[[#This Row],[A Counter]]=1,"AI"&amp;#REF!+SUM($N$35:N257),IF(Table24[[#This Row],[B Counter]]=1,"BI"&amp;#REF!+SUM($O$35:O257),""))</f>
        <v/>
      </c>
      <c r="T257" s="18" t="s">
        <v>34</v>
      </c>
      <c r="U257" s="7"/>
    </row>
    <row r="258" spans="1:21" x14ac:dyDescent="0.25">
      <c r="A258">
        <f t="shared" si="8"/>
        <v>249</v>
      </c>
      <c r="B258" s="93" t="str">
        <f>IFERROR(RIGHT(Table24[[#This Row],[Controller Input '#]],3)*1,"")</f>
        <v/>
      </c>
      <c r="C258" s="98"/>
      <c r="D258" s="1"/>
      <c r="E258" s="1"/>
      <c r="F258" s="1"/>
      <c r="G258" s="11"/>
      <c r="H258" s="21"/>
      <c r="I258" s="1"/>
      <c r="J258" s="1"/>
      <c r="K258" s="1"/>
      <c r="L258" s="1"/>
      <c r="M258" s="1"/>
      <c r="N258" s="18" t="str">
        <f>IF(ISNUMBER(SEARCH("ANALOG",Table24[[#This Row],[Type]]))=TRUE,1,"")</f>
        <v/>
      </c>
      <c r="O258" s="18" t="str">
        <f>IF(ISNUMBER(SEARCH("BINARY",Table24[[#This Row],[Type]]))=TRUE,1,"")</f>
        <v/>
      </c>
      <c r="P258" s="7" t="str">
        <f>IF(Table24[[#This Row],[Type]]="","",LEFT(Table24[[#This Row],[Type]],1)&amp;LEFT(#REF!,1))</f>
        <v/>
      </c>
      <c r="Q258" s="18" t="str">
        <f>IF(Table24[[#This Row],[Type]]="","",LEFT(Table24[[#This Row],[Type]],1)&amp;LEFT(#REF!,1))</f>
        <v/>
      </c>
      <c r="R258" s="18"/>
      <c r="S258" s="7" t="str">
        <f>IF(Table24[[#This Row],[A Counter]]=1,"AI"&amp;#REF!+SUM($N$35:N258),IF(Table24[[#This Row],[B Counter]]=1,"BI"&amp;#REF!+SUM($O$35:O258),""))</f>
        <v/>
      </c>
      <c r="T258" s="18" t="s">
        <v>34</v>
      </c>
      <c r="U258" s="7"/>
    </row>
    <row r="259" spans="1:21" x14ac:dyDescent="0.25">
      <c r="A259">
        <f t="shared" si="8"/>
        <v>250</v>
      </c>
      <c r="B259" s="93" t="str">
        <f>IFERROR(RIGHT(Table24[[#This Row],[Controller Input '#]],3)*1,"")</f>
        <v/>
      </c>
      <c r="C259" s="98"/>
      <c r="D259" s="1"/>
      <c r="E259" s="1"/>
      <c r="F259" s="1"/>
      <c r="G259" s="11"/>
      <c r="H259" s="21"/>
      <c r="I259" s="1"/>
      <c r="J259" s="1"/>
      <c r="K259" s="1"/>
      <c r="L259" s="1"/>
      <c r="M259" s="1"/>
      <c r="N259" s="18" t="str">
        <f>IF(ISNUMBER(SEARCH("ANALOG",Table24[[#This Row],[Type]]))=TRUE,1,"")</f>
        <v/>
      </c>
      <c r="O259" s="18" t="str">
        <f>IF(ISNUMBER(SEARCH("BINARY",Table24[[#This Row],[Type]]))=TRUE,1,"")</f>
        <v/>
      </c>
      <c r="P259" s="7" t="str">
        <f>IF(Table24[[#This Row],[Type]]="","",LEFT(Table24[[#This Row],[Type]],1)&amp;LEFT(#REF!,1))</f>
        <v/>
      </c>
      <c r="Q259" s="18" t="str">
        <f>IF(Table24[[#This Row],[Type]]="","",LEFT(Table24[[#This Row],[Type]],1)&amp;LEFT(#REF!,1))</f>
        <v/>
      </c>
      <c r="R259" s="18"/>
      <c r="S259" s="7" t="str">
        <f>IF(Table24[[#This Row],[A Counter]]=1,"AI"&amp;#REF!+SUM($N$35:N259),IF(Table24[[#This Row],[B Counter]]=1,"BI"&amp;#REF!+SUM($O$35:O259),""))</f>
        <v/>
      </c>
      <c r="T259" s="18" t="s">
        <v>34</v>
      </c>
      <c r="U259" s="7"/>
    </row>
    <row r="260" spans="1:21" x14ac:dyDescent="0.25">
      <c r="A260">
        <f t="shared" si="8"/>
        <v>251</v>
      </c>
      <c r="B260" s="93" t="str">
        <f>IFERROR(RIGHT(Table24[[#This Row],[Controller Input '#]],3)*1,"")</f>
        <v/>
      </c>
      <c r="C260" s="98"/>
      <c r="D260" s="1"/>
      <c r="E260" s="1"/>
      <c r="F260" s="1"/>
      <c r="G260" s="1"/>
      <c r="H260" s="8"/>
      <c r="I260" s="1"/>
      <c r="J260" s="1"/>
      <c r="K260" s="1"/>
      <c r="L260" s="1"/>
      <c r="M260" s="1"/>
      <c r="N260" s="18" t="str">
        <f>IF(ISNUMBER(SEARCH("ANALOG",Table24[[#This Row],[Type]]))=TRUE,1,"")</f>
        <v/>
      </c>
      <c r="O260" s="18" t="str">
        <f>IF(ISNUMBER(SEARCH("BINARY",Table24[[#This Row],[Type]]))=TRUE,1,"")</f>
        <v/>
      </c>
      <c r="P260" s="7" t="str">
        <f>IF(Table24[[#This Row],[Type]]="","",LEFT(Table24[[#This Row],[Type]],1)&amp;LEFT(#REF!,1))</f>
        <v/>
      </c>
      <c r="Q260" s="18" t="str">
        <f>IF(Table24[[#This Row],[Type]]="","",LEFT(Table24[[#This Row],[Type]],1)&amp;LEFT(#REF!,1))</f>
        <v/>
      </c>
      <c r="R260" s="18"/>
      <c r="S260" s="7" t="str">
        <f>IF(Table24[[#This Row],[A Counter]]=1,"AI"&amp;#REF!+SUM($N$35:N260),IF(Table24[[#This Row],[B Counter]]=1,"BI"&amp;#REF!+SUM($O$35:O260),""))</f>
        <v/>
      </c>
      <c r="T260" s="18" t="s">
        <v>34</v>
      </c>
      <c r="U260" s="7"/>
    </row>
    <row r="261" spans="1:21" x14ac:dyDescent="0.25">
      <c r="A261">
        <f t="shared" si="8"/>
        <v>252</v>
      </c>
      <c r="B261" s="93" t="str">
        <f>IFERROR(RIGHT(Table24[[#This Row],[Controller Input '#]],3)*1,"")</f>
        <v/>
      </c>
      <c r="C261" s="99"/>
      <c r="D261" s="1"/>
      <c r="E261" s="1"/>
      <c r="F261" s="1"/>
      <c r="G261" s="1"/>
      <c r="H261" s="8"/>
      <c r="I261" s="1"/>
      <c r="J261" s="1"/>
      <c r="K261" s="1"/>
      <c r="L261" s="1"/>
      <c r="M261" s="1"/>
      <c r="N261" s="18" t="str">
        <f>IF(ISNUMBER(SEARCH("ANALOG",Table24[[#This Row],[Type]]))=TRUE,1,"")</f>
        <v/>
      </c>
      <c r="O261" s="18" t="str">
        <f>IF(ISNUMBER(SEARCH("BINARY",Table24[[#This Row],[Type]]))=TRUE,1,"")</f>
        <v/>
      </c>
      <c r="P261" s="7" t="str">
        <f>IF(Table24[[#This Row],[Type]]="","",LEFT(Table24[[#This Row],[Type]],1)&amp;LEFT(#REF!,1))</f>
        <v/>
      </c>
      <c r="Q261" s="18" t="str">
        <f>IF(Table24[[#This Row],[Type]]="","",LEFT(Table24[[#This Row],[Type]],1)&amp;LEFT(#REF!,1))</f>
        <v/>
      </c>
      <c r="R261" s="18"/>
      <c r="S261" s="7" t="str">
        <f>IF(Table24[[#This Row],[A Counter]]=1,"AI"&amp;#REF!+SUM($N$35:N261),IF(Table24[[#This Row],[B Counter]]=1,"BI"&amp;#REF!+SUM($O$35:O261),""))</f>
        <v/>
      </c>
      <c r="T261" s="18" t="s">
        <v>34</v>
      </c>
      <c r="U261" s="7"/>
    </row>
    <row r="262" spans="1:21" x14ac:dyDescent="0.25">
      <c r="A262">
        <f t="shared" si="8"/>
        <v>253</v>
      </c>
      <c r="B262" s="93" t="str">
        <f>IFERROR(RIGHT(Table24[[#This Row],[Controller Input '#]],3)*1,"")</f>
        <v/>
      </c>
      <c r="C262" s="99"/>
      <c r="D262" s="1"/>
      <c r="E262" s="1"/>
      <c r="F262" s="1"/>
      <c r="G262" s="1"/>
      <c r="H262" s="8"/>
      <c r="I262" s="1"/>
      <c r="J262" s="1"/>
      <c r="K262" s="1"/>
      <c r="L262" s="1"/>
      <c r="M262" s="1"/>
      <c r="N262" s="18" t="str">
        <f>IF(ISNUMBER(SEARCH("ANALOG",Table24[[#This Row],[Type]]))=TRUE,1,"")</f>
        <v/>
      </c>
      <c r="O262" s="18" t="str">
        <f>IF(ISNUMBER(SEARCH("BINARY",Table24[[#This Row],[Type]]))=TRUE,1,"")</f>
        <v/>
      </c>
      <c r="P262" s="7" t="str">
        <f>IF(Table24[[#This Row],[Type]]="","",LEFT(Table24[[#This Row],[Type]],1)&amp;LEFT(#REF!,1))</f>
        <v/>
      </c>
      <c r="Q262" s="18" t="str">
        <f>IF(Table24[[#This Row],[Type]]="","",LEFT(Table24[[#This Row],[Type]],1)&amp;LEFT(#REF!,1))</f>
        <v/>
      </c>
      <c r="R262" s="18"/>
      <c r="S262" s="7" t="str">
        <f>IF(Table24[[#This Row],[A Counter]]=1,"AI"&amp;#REF!+SUM($N$35:N262),IF(Table24[[#This Row],[B Counter]]=1,"BI"&amp;#REF!+SUM($O$35:O262),""))</f>
        <v/>
      </c>
      <c r="T262" s="18" t="s">
        <v>34</v>
      </c>
      <c r="U262" s="7"/>
    </row>
    <row r="263" spans="1:21" x14ac:dyDescent="0.25">
      <c r="A263">
        <f t="shared" si="8"/>
        <v>254</v>
      </c>
      <c r="B263" s="93" t="str">
        <f>IFERROR(RIGHT(Table24[[#This Row],[Controller Input '#]],3)*1,"")</f>
        <v/>
      </c>
      <c r="C263" s="98"/>
      <c r="D263" s="1"/>
      <c r="E263" s="11"/>
      <c r="F263" s="11"/>
      <c r="G263" s="11"/>
      <c r="H263" s="21"/>
      <c r="I263" s="11"/>
      <c r="J263" s="11"/>
      <c r="K263" s="11"/>
      <c r="L263" s="11"/>
      <c r="M263" s="1"/>
      <c r="N263" s="18" t="str">
        <f>IF(ISNUMBER(SEARCH("ANALOG",Table24[[#This Row],[Type]]))=TRUE,1,"")</f>
        <v/>
      </c>
      <c r="O263" s="18" t="str">
        <f>IF(ISNUMBER(SEARCH("BINARY",Table24[[#This Row],[Type]]))=TRUE,1,"")</f>
        <v/>
      </c>
      <c r="P263" s="7" t="str">
        <f>IF(Table24[[#This Row],[Type]]="","",LEFT(Table24[[#This Row],[Type]],1)&amp;LEFT(#REF!,1))</f>
        <v/>
      </c>
      <c r="Q263" s="18" t="str">
        <f>IF(Table24[[#This Row],[Type]]="","",LEFT(Table24[[#This Row],[Type]],1)&amp;LEFT(#REF!,1))</f>
        <v/>
      </c>
      <c r="R263" s="18"/>
      <c r="S263" s="7" t="str">
        <f>IF(Table24[[#This Row],[A Counter]]=1,"AI"&amp;#REF!+SUM($N$35:N263),IF(Table24[[#This Row],[B Counter]]=1,"BI"&amp;#REF!+SUM($O$35:O263),""))</f>
        <v/>
      </c>
      <c r="T263" s="18" t="s">
        <v>34</v>
      </c>
      <c r="U263" s="7"/>
    </row>
    <row r="264" spans="1:21" x14ac:dyDescent="0.25">
      <c r="A264">
        <f t="shared" si="8"/>
        <v>255</v>
      </c>
      <c r="B264" s="93" t="str">
        <f>IFERROR(RIGHT(Table24[[#This Row],[Controller Input '#]],3)*1,"")</f>
        <v/>
      </c>
      <c r="C264" s="98"/>
      <c r="D264" s="1"/>
      <c r="E264" s="11"/>
      <c r="F264" s="11"/>
      <c r="G264" s="11"/>
      <c r="H264" s="21"/>
      <c r="I264" s="11"/>
      <c r="J264" s="11"/>
      <c r="K264" s="11"/>
      <c r="L264" s="11"/>
      <c r="M264" s="1"/>
      <c r="N264" s="18" t="str">
        <f>IF(ISNUMBER(SEARCH("ANALOG",Table24[[#This Row],[Type]]))=TRUE,1,"")</f>
        <v/>
      </c>
      <c r="O264" s="18" t="str">
        <f>IF(ISNUMBER(SEARCH("BINARY",Table24[[#This Row],[Type]]))=TRUE,1,"")</f>
        <v/>
      </c>
      <c r="P264" s="7" t="str">
        <f>IF(Table24[[#This Row],[Type]]="","",LEFT(Table24[[#This Row],[Type]],1)&amp;LEFT(#REF!,1))</f>
        <v/>
      </c>
      <c r="Q264" s="18" t="str">
        <f>IF(Table24[[#This Row],[Type]]="","",LEFT(Table24[[#This Row],[Type]],1)&amp;LEFT(#REF!,1))</f>
        <v/>
      </c>
      <c r="R264" s="18"/>
      <c r="S264" s="7" t="str">
        <f>IF(Table24[[#This Row],[A Counter]]=1,"AI"&amp;#REF!+SUM($N$35:N264),IF(Table24[[#This Row],[B Counter]]=1,"BI"&amp;#REF!+SUM($O$35:O264),""))</f>
        <v/>
      </c>
      <c r="T264" s="18" t="s">
        <v>34</v>
      </c>
      <c r="U264" s="7"/>
    </row>
    <row r="265" spans="1:21" x14ac:dyDescent="0.25">
      <c r="A265">
        <f t="shared" si="8"/>
        <v>256</v>
      </c>
      <c r="B265" s="93" t="str">
        <f>IFERROR(RIGHT(Table24[[#This Row],[Controller Input '#]],3)*1,"")</f>
        <v/>
      </c>
      <c r="C265" s="99"/>
      <c r="D265" s="1"/>
      <c r="E265" s="11"/>
      <c r="F265" s="11"/>
      <c r="G265" s="11"/>
      <c r="H265" s="21"/>
      <c r="I265" s="11"/>
      <c r="J265" s="11"/>
      <c r="K265" s="11"/>
      <c r="L265" s="11"/>
      <c r="M265" s="1"/>
      <c r="N265" s="18" t="str">
        <f>IF(ISNUMBER(SEARCH("ANALOG",Table24[[#This Row],[Type]]))=TRUE,1,"")</f>
        <v/>
      </c>
      <c r="O265" s="18" t="str">
        <f>IF(ISNUMBER(SEARCH("BINARY",Table24[[#This Row],[Type]]))=TRUE,1,"")</f>
        <v/>
      </c>
      <c r="P265" s="7" t="str">
        <f>IF(Table24[[#This Row],[Type]]="","",LEFT(Table24[[#This Row],[Type]],1)&amp;LEFT(#REF!,1))</f>
        <v/>
      </c>
      <c r="Q265" s="18" t="str">
        <f>IF(Table24[[#This Row],[Type]]="","",LEFT(Table24[[#This Row],[Type]],1)&amp;LEFT(#REF!,1))</f>
        <v/>
      </c>
      <c r="R265" s="18"/>
      <c r="S265" s="7" t="str">
        <f>IF(Table24[[#This Row],[A Counter]]=1,"AI"&amp;#REF!+SUM($N$35:N265),IF(Table24[[#This Row],[B Counter]]=1,"BI"&amp;#REF!+SUM($O$35:O265),""))</f>
        <v/>
      </c>
      <c r="T265" s="18" t="s">
        <v>34</v>
      </c>
      <c r="U265" s="7"/>
    </row>
    <row r="266" spans="1:21" x14ac:dyDescent="0.25">
      <c r="A266">
        <f t="shared" si="8"/>
        <v>257</v>
      </c>
      <c r="B266" s="93" t="str">
        <f>IFERROR(RIGHT(Table24[[#This Row],[Controller Input '#]],3)*1,"")</f>
        <v/>
      </c>
      <c r="C266" s="99"/>
      <c r="D266" s="1"/>
      <c r="E266" s="11"/>
      <c r="F266" s="11"/>
      <c r="G266" s="11"/>
      <c r="H266" s="21"/>
      <c r="I266" s="11"/>
      <c r="J266" s="11"/>
      <c r="K266" s="11"/>
      <c r="L266" s="11"/>
      <c r="M266" s="1"/>
      <c r="N266" s="18" t="str">
        <f>IF(ISNUMBER(SEARCH("ANALOG",Table24[[#This Row],[Type]]))=TRUE,1,"")</f>
        <v/>
      </c>
      <c r="O266" s="18" t="str">
        <f>IF(ISNUMBER(SEARCH("BINARY",Table24[[#This Row],[Type]]))=TRUE,1,"")</f>
        <v/>
      </c>
      <c r="P266" s="7" t="str">
        <f>IF(Table24[[#This Row],[Type]]="","",LEFT(Table24[[#This Row],[Type]],1)&amp;LEFT(#REF!,1))</f>
        <v/>
      </c>
      <c r="Q266" s="18" t="str">
        <f>IF(Table24[[#This Row],[Type]]="","",LEFT(Table24[[#This Row],[Type]],1)&amp;LEFT(#REF!,1))</f>
        <v/>
      </c>
      <c r="R266" s="18"/>
      <c r="S266" s="7" t="str">
        <f>IF(Table24[[#This Row],[A Counter]]=1,"AI"&amp;#REF!+SUM($N$35:N266),IF(Table24[[#This Row],[B Counter]]=1,"BI"&amp;#REF!+SUM($O$35:O266),""))</f>
        <v/>
      </c>
      <c r="T266" s="18" t="s">
        <v>34</v>
      </c>
      <c r="U266" s="7"/>
    </row>
    <row r="267" spans="1:21" x14ac:dyDescent="0.25">
      <c r="A267">
        <f t="shared" si="8"/>
        <v>258</v>
      </c>
      <c r="B267" s="93" t="str">
        <f>IFERROR(RIGHT(Table24[[#This Row],[Controller Input '#]],3)*1,"")</f>
        <v/>
      </c>
      <c r="C267" s="99"/>
      <c r="D267" s="1"/>
      <c r="E267" s="11"/>
      <c r="F267" s="11"/>
      <c r="G267" s="11"/>
      <c r="H267" s="21"/>
      <c r="I267" s="11"/>
      <c r="J267" s="11"/>
      <c r="K267" s="11"/>
      <c r="L267" s="11"/>
      <c r="M267" s="1"/>
      <c r="N267" s="18" t="str">
        <f>IF(ISNUMBER(SEARCH("ANALOG",Table24[[#This Row],[Type]]))=TRUE,1,"")</f>
        <v/>
      </c>
      <c r="O267" s="18" t="str">
        <f>IF(ISNUMBER(SEARCH("BINARY",Table24[[#This Row],[Type]]))=TRUE,1,"")</f>
        <v/>
      </c>
      <c r="P267" s="7" t="str">
        <f>IF(Table24[[#This Row],[Type]]="","",LEFT(Table24[[#This Row],[Type]],1)&amp;LEFT(#REF!,1))</f>
        <v/>
      </c>
      <c r="Q267" s="18" t="str">
        <f>IF(Table24[[#This Row],[Type]]="","",LEFT(Table24[[#This Row],[Type]],1)&amp;LEFT(#REF!,1))</f>
        <v/>
      </c>
      <c r="R267" s="18"/>
      <c r="S267" s="7" t="str">
        <f>IF(Table24[[#This Row],[A Counter]]=1,"AI"&amp;#REF!+SUM($N$35:N267),IF(Table24[[#This Row],[B Counter]]=1,"BI"&amp;#REF!+SUM($O$35:O267),""))</f>
        <v/>
      </c>
      <c r="T267" s="18" t="s">
        <v>34</v>
      </c>
      <c r="U267" s="7"/>
    </row>
    <row r="268" spans="1:21" x14ac:dyDescent="0.25">
      <c r="A268">
        <f t="shared" si="8"/>
        <v>259</v>
      </c>
      <c r="B268" s="93" t="str">
        <f>IFERROR(RIGHT(Table24[[#This Row],[Controller Input '#]],3)*1,"")</f>
        <v/>
      </c>
      <c r="C268" s="99"/>
      <c r="D268" s="1"/>
      <c r="E268" s="11"/>
      <c r="F268" s="11"/>
      <c r="G268" s="11"/>
      <c r="H268" s="21"/>
      <c r="I268" s="11"/>
      <c r="J268" s="11"/>
      <c r="K268" s="11"/>
      <c r="L268" s="11"/>
      <c r="M268" s="1"/>
      <c r="N268" s="18" t="str">
        <f>IF(ISNUMBER(SEARCH("ANALOG",Table24[[#This Row],[Type]]))=TRUE,1,"")</f>
        <v/>
      </c>
      <c r="O268" s="18" t="str">
        <f>IF(ISNUMBER(SEARCH("BINARY",Table24[[#This Row],[Type]]))=TRUE,1,"")</f>
        <v/>
      </c>
      <c r="P268" s="7" t="str">
        <f>IF(Table24[[#This Row],[Type]]="","",LEFT(Table24[[#This Row],[Type]],1)&amp;LEFT(#REF!,1))</f>
        <v/>
      </c>
      <c r="Q268" s="18" t="str">
        <f>IF(Table24[[#This Row],[Type]]="","",LEFT(Table24[[#This Row],[Type]],1)&amp;LEFT(#REF!,1))</f>
        <v/>
      </c>
      <c r="R268" s="18"/>
      <c r="S268" s="7" t="str">
        <f>IF(Table24[[#This Row],[A Counter]]=1,"AI"&amp;#REF!+SUM($N$35:N268),IF(Table24[[#This Row],[B Counter]]=1,"BI"&amp;#REF!+SUM($O$35:O268),""))</f>
        <v/>
      </c>
      <c r="T268" s="18"/>
      <c r="U268" s="7"/>
    </row>
    <row r="269" spans="1:21" x14ac:dyDescent="0.25">
      <c r="A269">
        <f t="shared" si="8"/>
        <v>260</v>
      </c>
      <c r="B269" s="93" t="str">
        <f>IFERROR(RIGHT(Table24[[#This Row],[Controller Input '#]],3)*1,"")</f>
        <v/>
      </c>
      <c r="C269" s="99"/>
      <c r="D269" s="1"/>
      <c r="E269" s="11"/>
      <c r="F269" s="11"/>
      <c r="G269" s="11"/>
      <c r="H269" s="21"/>
      <c r="I269" s="11"/>
      <c r="J269" s="11"/>
      <c r="K269" s="11"/>
      <c r="L269" s="11"/>
      <c r="M269" s="1"/>
      <c r="N269" s="18" t="str">
        <f>IF(ISNUMBER(SEARCH("ANALOG",Table24[[#This Row],[Type]]))=TRUE,1,"")</f>
        <v/>
      </c>
      <c r="O269" s="18" t="str">
        <f>IF(ISNUMBER(SEARCH("BINARY",Table24[[#This Row],[Type]]))=TRUE,1,"")</f>
        <v/>
      </c>
      <c r="P269" s="7" t="str">
        <f>IF(Table24[[#This Row],[Type]]="","",LEFT(Table24[[#This Row],[Type]],1)&amp;LEFT(#REF!,1))</f>
        <v/>
      </c>
      <c r="Q269" s="18" t="str">
        <f>IF(Table24[[#This Row],[Type]]="","",LEFT(Table24[[#This Row],[Type]],1)&amp;LEFT(#REF!,1))</f>
        <v/>
      </c>
      <c r="R269" s="18"/>
      <c r="S269" s="7" t="str">
        <f>IF(Table24[[#This Row],[A Counter]]=1,"AI"&amp;#REF!+SUM($N$35:N269),IF(Table24[[#This Row],[B Counter]]=1,"BI"&amp;#REF!+SUM($O$35:O269),""))</f>
        <v/>
      </c>
      <c r="T269" s="18"/>
      <c r="U269" s="7"/>
    </row>
    <row r="270" spans="1:21" x14ac:dyDescent="0.25">
      <c r="A270">
        <f t="shared" si="8"/>
        <v>261</v>
      </c>
      <c r="B270" s="93" t="str">
        <f>IFERROR(RIGHT(Table24[[#This Row],[Controller Input '#]],3)*1,"")</f>
        <v/>
      </c>
      <c r="C270" s="99"/>
      <c r="D270" s="1"/>
      <c r="E270" s="11"/>
      <c r="F270" s="11"/>
      <c r="G270" s="11"/>
      <c r="H270" s="21"/>
      <c r="I270" s="11"/>
      <c r="J270" s="11"/>
      <c r="K270" s="11"/>
      <c r="L270" s="11"/>
      <c r="M270" s="1"/>
      <c r="N270" s="18" t="str">
        <f>IF(ISNUMBER(SEARCH("ANALOG",Table24[[#This Row],[Type]]))=TRUE,1,"")</f>
        <v/>
      </c>
      <c r="O270" s="18" t="str">
        <f>IF(ISNUMBER(SEARCH("BINARY",Table24[[#This Row],[Type]]))=TRUE,1,"")</f>
        <v/>
      </c>
      <c r="P270" s="7" t="str">
        <f>IF(Table24[[#This Row],[Type]]="","",LEFT(Table24[[#This Row],[Type]],1)&amp;LEFT(#REF!,1))</f>
        <v/>
      </c>
      <c r="Q270" s="18" t="str">
        <f>IF(Table24[[#This Row],[Type]]="","",LEFT(Table24[[#This Row],[Type]],1)&amp;LEFT(#REF!,1))</f>
        <v/>
      </c>
      <c r="R270" s="18"/>
      <c r="S270" s="7" t="str">
        <f>IF(Table24[[#This Row],[A Counter]]=1,"AI"&amp;#REF!+SUM($N$35:N270),IF(Table24[[#This Row],[B Counter]]=1,"BI"&amp;#REF!+SUM($O$35:O270),""))</f>
        <v/>
      </c>
      <c r="T270" s="18"/>
      <c r="U270" s="68"/>
    </row>
    <row r="271" spans="1:21" x14ac:dyDescent="0.25">
      <c r="A271">
        <f t="shared" si="8"/>
        <v>262</v>
      </c>
      <c r="B271" s="93" t="str">
        <f>IFERROR(RIGHT(Table24[[#This Row],[Controller Input '#]],3)*1,"")</f>
        <v/>
      </c>
      <c r="C271" s="99"/>
      <c r="D271" s="1"/>
      <c r="E271" s="11"/>
      <c r="F271" s="11"/>
      <c r="G271" s="11"/>
      <c r="H271" s="21"/>
      <c r="I271" s="11"/>
      <c r="J271" s="11"/>
      <c r="K271" s="11"/>
      <c r="L271" s="11"/>
      <c r="M271" s="1"/>
      <c r="N271" s="18" t="str">
        <f>IF(ISNUMBER(SEARCH("ANALOG",Table24[[#This Row],[Type]]))=TRUE,1,"")</f>
        <v/>
      </c>
      <c r="O271" s="18" t="str">
        <f>IF(ISNUMBER(SEARCH("BINARY",Table24[[#This Row],[Type]]))=TRUE,1,"")</f>
        <v/>
      </c>
      <c r="P271" s="7" t="str">
        <f>IF(Table24[[#This Row],[Type]]="","",LEFT(Table24[[#This Row],[Type]],1)&amp;LEFT(#REF!,1))</f>
        <v/>
      </c>
      <c r="Q271" s="18" t="str">
        <f>IF(Table24[[#This Row],[Type]]="","",LEFT(Table24[[#This Row],[Type]],1)&amp;LEFT(#REF!,1))</f>
        <v/>
      </c>
      <c r="R271" s="18"/>
      <c r="S271" s="7" t="str">
        <f>IF(Table24[[#This Row],[A Counter]]=1,"AI"&amp;#REF!+SUM($N$35:N271),IF(Table24[[#This Row],[B Counter]]=1,"BI"&amp;#REF!+SUM($O$35:O271),""))</f>
        <v/>
      </c>
      <c r="T271" s="18"/>
      <c r="U271" s="68"/>
    </row>
    <row r="272" spans="1:21" x14ac:dyDescent="0.25">
      <c r="A272">
        <f t="shared" si="8"/>
        <v>263</v>
      </c>
      <c r="B272" s="93" t="str">
        <f>IFERROR(RIGHT(Table24[[#This Row],[Controller Input '#]],3)*1,"")</f>
        <v/>
      </c>
      <c r="C272" s="99"/>
      <c r="D272" s="1"/>
      <c r="E272" s="11"/>
      <c r="F272" s="11"/>
      <c r="G272" s="11"/>
      <c r="H272" s="21"/>
      <c r="I272" s="11"/>
      <c r="J272" s="11"/>
      <c r="K272" s="11"/>
      <c r="L272" s="11"/>
      <c r="M272" s="1"/>
      <c r="N272" s="18" t="str">
        <f>IF(ISNUMBER(SEARCH("ANALOG",Table24[[#This Row],[Type]]))=TRUE,1,"")</f>
        <v/>
      </c>
      <c r="O272" s="18" t="str">
        <f>IF(ISNUMBER(SEARCH("BINARY",Table24[[#This Row],[Type]]))=TRUE,1,"")</f>
        <v/>
      </c>
      <c r="P272" s="7" t="str">
        <f>IF(Table24[[#This Row],[Type]]="","",LEFT(Table24[[#This Row],[Type]],1)&amp;LEFT(#REF!,1))</f>
        <v/>
      </c>
      <c r="Q272" s="18" t="str">
        <f>IF(Table24[[#This Row],[Type]]="","",LEFT(Table24[[#This Row],[Type]],1)&amp;LEFT(#REF!,1))</f>
        <v/>
      </c>
      <c r="R272" s="18"/>
      <c r="S272" s="7" t="str">
        <f>IF(Table24[[#This Row],[A Counter]]=1,"AI"&amp;#REF!+SUM($N$35:N272),IF(Table24[[#This Row],[B Counter]]=1,"BI"&amp;#REF!+SUM($O$35:O272),""))</f>
        <v/>
      </c>
      <c r="T272" s="18"/>
      <c r="U272" s="68"/>
    </row>
    <row r="273" spans="1:21" x14ac:dyDescent="0.25">
      <c r="A273">
        <f t="shared" si="8"/>
        <v>264</v>
      </c>
      <c r="B273" s="93" t="str">
        <f>IFERROR(RIGHT(Table24[[#This Row],[Controller Input '#]],3)*1,"")</f>
        <v/>
      </c>
      <c r="C273" s="98"/>
      <c r="D273" s="1"/>
      <c r="E273" s="11"/>
      <c r="F273" s="11"/>
      <c r="G273" s="11"/>
      <c r="H273" s="21"/>
      <c r="I273" s="11"/>
      <c r="J273" s="11"/>
      <c r="K273" s="11"/>
      <c r="L273" s="11"/>
      <c r="M273" s="1"/>
      <c r="N273" s="18" t="str">
        <f>IF(ISNUMBER(SEARCH("ANALOG",Table24[[#This Row],[Type]]))=TRUE,1,"")</f>
        <v/>
      </c>
      <c r="O273" s="18" t="str">
        <f>IF(ISNUMBER(SEARCH("BINARY",Table24[[#This Row],[Type]]))=TRUE,1,"")</f>
        <v/>
      </c>
      <c r="P273" s="7" t="str">
        <f>IF(Table24[[#This Row],[Type]]="","",LEFT(Table24[[#This Row],[Type]],1)&amp;LEFT(#REF!,1))</f>
        <v/>
      </c>
      <c r="Q273" s="18" t="str">
        <f>IF(Table24[[#This Row],[Type]]="","",LEFT(Table24[[#This Row],[Type]],1)&amp;LEFT(#REF!,1))</f>
        <v/>
      </c>
      <c r="R273" s="18"/>
      <c r="S273" s="7" t="str">
        <f>IF(Table24[[#This Row],[A Counter]]=1,"AI"&amp;#REF!+SUM($N$35:N273),IF(Table24[[#This Row],[B Counter]]=1,"BI"&amp;#REF!+SUM($O$35:O273),""))</f>
        <v/>
      </c>
      <c r="T273" s="18"/>
      <c r="U273" s="69"/>
    </row>
    <row r="274" spans="1:21" x14ac:dyDescent="0.25">
      <c r="A274">
        <f t="shared" si="8"/>
        <v>265</v>
      </c>
      <c r="B274" s="93" t="str">
        <f>IFERROR(RIGHT(Table24[[#This Row],[Controller Input '#]],3)*1,"")</f>
        <v/>
      </c>
      <c r="C274" s="99"/>
      <c r="D274" s="1"/>
      <c r="E274" s="11"/>
      <c r="F274" s="11"/>
      <c r="G274" s="11"/>
      <c r="H274" s="21"/>
      <c r="I274" s="11"/>
      <c r="J274" s="11"/>
      <c r="K274" s="11"/>
      <c r="L274" s="11"/>
      <c r="M274" s="1"/>
      <c r="N274" s="18" t="str">
        <f>IF(ISNUMBER(SEARCH("ANALOG",Table24[[#This Row],[Type]]))=TRUE,1,"")</f>
        <v/>
      </c>
      <c r="O274" s="18" t="str">
        <f>IF(ISNUMBER(SEARCH("BINARY",Table24[[#This Row],[Type]]))=TRUE,1,"")</f>
        <v/>
      </c>
      <c r="P274" s="7" t="str">
        <f>IF(Table24[[#This Row],[Type]]="","",LEFT(Table24[[#This Row],[Type]],1)&amp;LEFT(#REF!,1))</f>
        <v/>
      </c>
      <c r="Q274" s="18" t="str">
        <f>IF(Table24[[#This Row],[Type]]="","",LEFT(Table24[[#This Row],[Type]],1)&amp;LEFT(#REF!,1))</f>
        <v/>
      </c>
      <c r="R274" s="18"/>
      <c r="S274" s="7" t="str">
        <f>IF(Table24[[#This Row],[A Counter]]=1,"AI"&amp;#REF!+SUM($N$35:N274),IF(Table24[[#This Row],[B Counter]]=1,"BI"&amp;#REF!+SUM($O$35:O274),""))</f>
        <v/>
      </c>
      <c r="T274" s="18"/>
      <c r="U274" s="68"/>
    </row>
    <row r="275" spans="1:21" x14ac:dyDescent="0.25">
      <c r="A275">
        <f t="shared" si="8"/>
        <v>266</v>
      </c>
      <c r="B275" s="93" t="str">
        <f>IFERROR(RIGHT(Table24[[#This Row],[Controller Input '#]],3)*1,"")</f>
        <v/>
      </c>
      <c r="C275" s="99"/>
      <c r="D275" s="1"/>
      <c r="E275" s="11"/>
      <c r="F275" s="11"/>
      <c r="G275" s="11"/>
      <c r="H275" s="21"/>
      <c r="I275" s="11"/>
      <c r="J275" s="11"/>
      <c r="K275" s="11"/>
      <c r="L275" s="11"/>
      <c r="M275" s="1"/>
      <c r="N275" s="18" t="str">
        <f>IF(ISNUMBER(SEARCH("ANALOG",Table24[[#This Row],[Type]]))=TRUE,1,"")</f>
        <v/>
      </c>
      <c r="O275" s="18" t="str">
        <f>IF(ISNUMBER(SEARCH("BINARY",Table24[[#This Row],[Type]]))=TRUE,1,"")</f>
        <v/>
      </c>
      <c r="P275" s="7" t="str">
        <f>IF(Table24[[#This Row],[Type]]="","",LEFT(Table24[[#This Row],[Type]],1)&amp;LEFT(#REF!,1))</f>
        <v/>
      </c>
      <c r="Q275" s="18" t="str">
        <f>IF(Table24[[#This Row],[Type]]="","",LEFT(Table24[[#This Row],[Type]],1)&amp;LEFT(#REF!,1))</f>
        <v/>
      </c>
      <c r="R275" s="18"/>
      <c r="S275" s="7" t="str">
        <f>IF(Table24[[#This Row],[A Counter]]=1,"AI"&amp;#REF!+SUM($N$35:N275),IF(Table24[[#This Row],[B Counter]]=1,"BI"&amp;#REF!+SUM($O$35:O275),""))</f>
        <v/>
      </c>
      <c r="T275" s="18"/>
      <c r="U275" s="68"/>
    </row>
    <row r="276" spans="1:21" x14ac:dyDescent="0.25">
      <c r="A276">
        <f t="shared" si="8"/>
        <v>267</v>
      </c>
      <c r="B276" s="93" t="str">
        <f>IFERROR(RIGHT(Table24[[#This Row],[Controller Input '#]],3)*1,"")</f>
        <v/>
      </c>
      <c r="C276" s="99"/>
      <c r="D276" s="1"/>
      <c r="E276" s="11"/>
      <c r="F276" s="11"/>
      <c r="G276" s="11"/>
      <c r="H276" s="21"/>
      <c r="I276" s="11"/>
      <c r="J276" s="11"/>
      <c r="K276" s="11"/>
      <c r="L276" s="11"/>
      <c r="M276" s="1"/>
      <c r="N276" s="18" t="str">
        <f>IF(ISNUMBER(SEARCH("ANALOG",Table24[[#This Row],[Type]]))=TRUE,1,"")</f>
        <v/>
      </c>
      <c r="O276" s="18" t="str">
        <f>IF(ISNUMBER(SEARCH("BINARY",Table24[[#This Row],[Type]]))=TRUE,1,"")</f>
        <v/>
      </c>
      <c r="P276" s="7" t="str">
        <f>IF(Table24[[#This Row],[Type]]="","",LEFT(Table24[[#This Row],[Type]],1)&amp;LEFT(#REF!,1))</f>
        <v/>
      </c>
      <c r="Q276" s="18" t="str">
        <f>IF(Table24[[#This Row],[Type]]="","",LEFT(Table24[[#This Row],[Type]],1)&amp;LEFT(#REF!,1))</f>
        <v/>
      </c>
      <c r="R276" s="18"/>
      <c r="S276" s="7" t="str">
        <f>IF(Table24[[#This Row],[A Counter]]=1,"AI"&amp;#REF!+SUM($N$35:N276),IF(Table24[[#This Row],[B Counter]]=1,"BI"&amp;#REF!+SUM($O$35:O276),""))</f>
        <v/>
      </c>
      <c r="T276" s="18"/>
      <c r="U276" s="68"/>
    </row>
    <row r="277" spans="1:21" x14ac:dyDescent="0.25">
      <c r="A277">
        <f t="shared" si="8"/>
        <v>268</v>
      </c>
      <c r="B277" s="93" t="str">
        <f>IFERROR(RIGHT(Table24[[#This Row],[Controller Input '#]],3)*1,"")</f>
        <v/>
      </c>
      <c r="C277" s="99"/>
      <c r="D277" s="1"/>
      <c r="E277" s="11"/>
      <c r="F277" s="11"/>
      <c r="G277" s="11"/>
      <c r="H277" s="21"/>
      <c r="I277" s="11"/>
      <c r="J277" s="11"/>
      <c r="K277" s="11"/>
      <c r="L277" s="11"/>
      <c r="M277" s="1"/>
      <c r="N277" s="18" t="str">
        <f>IF(ISNUMBER(SEARCH("ANALOG",Table24[[#This Row],[Type]]))=TRUE,1,"")</f>
        <v/>
      </c>
      <c r="O277" s="18" t="str">
        <f>IF(ISNUMBER(SEARCH("BINARY",Table24[[#This Row],[Type]]))=TRUE,1,"")</f>
        <v/>
      </c>
      <c r="P277" s="7" t="str">
        <f>IF(Table24[[#This Row],[Type]]="","",LEFT(Table24[[#This Row],[Type]],1)&amp;LEFT(#REF!,1))</f>
        <v/>
      </c>
      <c r="Q277" s="18" t="str">
        <f>IF(Table24[[#This Row],[Type]]="","",LEFT(Table24[[#This Row],[Type]],1)&amp;LEFT(#REF!,1))</f>
        <v/>
      </c>
      <c r="R277" s="18"/>
      <c r="S277" s="7" t="str">
        <f>IF(Table24[[#This Row],[A Counter]]=1,"AI"&amp;#REF!+SUM($N$35:N277),IF(Table24[[#This Row],[B Counter]]=1,"BI"&amp;#REF!+SUM($O$35:O277),""))</f>
        <v/>
      </c>
      <c r="T277" s="18"/>
      <c r="U277" s="68"/>
    </row>
    <row r="278" spans="1:21" x14ac:dyDescent="0.25">
      <c r="A278">
        <f t="shared" si="8"/>
        <v>269</v>
      </c>
      <c r="B278" s="93" t="str">
        <f>IFERROR(RIGHT(Table24[[#This Row],[Controller Input '#]],3)*1,"")</f>
        <v/>
      </c>
      <c r="C278" s="98"/>
      <c r="D278" s="1"/>
      <c r="E278" s="11"/>
      <c r="F278" s="11"/>
      <c r="G278" s="11"/>
      <c r="H278" s="21"/>
      <c r="I278" s="11"/>
      <c r="J278" s="11"/>
      <c r="K278" s="11"/>
      <c r="L278" s="11"/>
      <c r="M278" s="1"/>
      <c r="N278" s="18" t="str">
        <f>IF(ISNUMBER(SEARCH("ANALOG",Table24[[#This Row],[Type]]))=TRUE,1,"")</f>
        <v/>
      </c>
      <c r="O278" s="18" t="str">
        <f>IF(ISNUMBER(SEARCH("BINARY",Table24[[#This Row],[Type]]))=TRUE,1,"")</f>
        <v/>
      </c>
      <c r="P278" s="7" t="str">
        <f>IF(Table24[[#This Row],[Type]]="","",LEFT(Table24[[#This Row],[Type]],1)&amp;LEFT(#REF!,1))</f>
        <v/>
      </c>
      <c r="Q278" s="18" t="str">
        <f>IF(Table24[[#This Row],[Type]]="","",LEFT(Table24[[#This Row],[Type]],1)&amp;LEFT(#REF!,1))</f>
        <v/>
      </c>
      <c r="R278" s="18"/>
      <c r="S278" s="7" t="str">
        <f>IF(Table24[[#This Row],[A Counter]]=1,"AI"&amp;#REF!+SUM($N$35:N278),IF(Table24[[#This Row],[B Counter]]=1,"BI"&amp;#REF!+SUM($O$35:O278),""))</f>
        <v/>
      </c>
      <c r="T278" s="18"/>
      <c r="U278" s="69"/>
    </row>
    <row r="279" spans="1:21" x14ac:dyDescent="0.25">
      <c r="A279">
        <f t="shared" ref="A279:A342" si="9">A278+1</f>
        <v>270</v>
      </c>
      <c r="B279" s="93" t="str">
        <f>IFERROR(RIGHT(Table24[[#This Row],[Controller Input '#]],3)*1,"")</f>
        <v/>
      </c>
      <c r="C279" s="99"/>
      <c r="D279" s="1"/>
      <c r="E279" s="11"/>
      <c r="F279" s="11"/>
      <c r="G279" s="11"/>
      <c r="H279" s="21"/>
      <c r="I279" s="11"/>
      <c r="J279" s="11"/>
      <c r="K279" s="11"/>
      <c r="L279" s="11"/>
      <c r="M279" s="1"/>
      <c r="N279" s="18" t="str">
        <f>IF(ISNUMBER(SEARCH("ANALOG",Table24[[#This Row],[Type]]))=TRUE,1,"")</f>
        <v/>
      </c>
      <c r="O279" s="18" t="str">
        <f>IF(ISNUMBER(SEARCH("BINARY",Table24[[#This Row],[Type]]))=TRUE,1,"")</f>
        <v/>
      </c>
      <c r="P279" s="7" t="str">
        <f>IF(Table24[[#This Row],[Type]]="","",LEFT(Table24[[#This Row],[Type]],1)&amp;LEFT(#REF!,1))</f>
        <v/>
      </c>
      <c r="Q279" s="18" t="str">
        <f>IF(Table24[[#This Row],[Type]]="","",LEFT(Table24[[#This Row],[Type]],1)&amp;LEFT(#REF!,1))</f>
        <v/>
      </c>
      <c r="R279" s="18"/>
      <c r="S279" s="7" t="str">
        <f>IF(Table24[[#This Row],[A Counter]]=1,"AI"&amp;#REF!+SUM($N$35:N279),IF(Table24[[#This Row],[B Counter]]=1,"BI"&amp;#REF!+SUM($O$35:O279),""))</f>
        <v/>
      </c>
      <c r="T279" s="18"/>
      <c r="U279" s="68"/>
    </row>
    <row r="280" spans="1:21" x14ac:dyDescent="0.25">
      <c r="A280">
        <f t="shared" si="9"/>
        <v>271</v>
      </c>
      <c r="B280" s="93" t="str">
        <f>IFERROR(RIGHT(Table24[[#This Row],[Controller Input '#]],3)*1,"")</f>
        <v/>
      </c>
      <c r="C280" s="99"/>
      <c r="D280" s="1"/>
      <c r="E280" s="11"/>
      <c r="F280" s="11"/>
      <c r="G280" s="11"/>
      <c r="H280" s="21"/>
      <c r="I280" s="11"/>
      <c r="J280" s="11"/>
      <c r="K280" s="11"/>
      <c r="L280" s="11"/>
      <c r="M280" s="1"/>
      <c r="N280" s="18" t="str">
        <f>IF(ISNUMBER(SEARCH("ANALOG",Table24[[#This Row],[Type]]))=TRUE,1,"")</f>
        <v/>
      </c>
      <c r="O280" s="18" t="str">
        <f>IF(ISNUMBER(SEARCH("BINARY",Table24[[#This Row],[Type]]))=TRUE,1,"")</f>
        <v/>
      </c>
      <c r="P280" s="7" t="str">
        <f>IF(Table24[[#This Row],[Type]]="","",LEFT(Table24[[#This Row],[Type]],1)&amp;LEFT(#REF!,1))</f>
        <v/>
      </c>
      <c r="Q280" s="18" t="str">
        <f>IF(Table24[[#This Row],[Type]]="","",LEFT(Table24[[#This Row],[Type]],1)&amp;LEFT(#REF!,1))</f>
        <v/>
      </c>
      <c r="R280" s="18"/>
      <c r="S280" s="7" t="str">
        <f>IF(Table24[[#This Row],[A Counter]]=1,"AI"&amp;#REF!+SUM($N$35:N280),IF(Table24[[#This Row],[B Counter]]=1,"BI"&amp;#REF!+SUM($O$35:O280),""))</f>
        <v/>
      </c>
      <c r="T280" s="18"/>
      <c r="U280" s="68"/>
    </row>
    <row r="281" spans="1:21" x14ac:dyDescent="0.25">
      <c r="A281">
        <f t="shared" si="9"/>
        <v>272</v>
      </c>
      <c r="B281" s="93" t="str">
        <f>IFERROR(RIGHT(Table24[[#This Row],[Controller Input '#]],3)*1,"")</f>
        <v/>
      </c>
      <c r="C281" s="99"/>
      <c r="D281" s="1"/>
      <c r="E281" s="11"/>
      <c r="F281" s="11"/>
      <c r="G281" s="11"/>
      <c r="H281" s="21"/>
      <c r="I281" s="11"/>
      <c r="J281" s="11"/>
      <c r="K281" s="11"/>
      <c r="L281" s="11"/>
      <c r="M281" s="1"/>
      <c r="N281" s="18" t="str">
        <f>IF(ISNUMBER(SEARCH("ANALOG",Table24[[#This Row],[Type]]))=TRUE,1,"")</f>
        <v/>
      </c>
      <c r="O281" s="18" t="str">
        <f>IF(ISNUMBER(SEARCH("BINARY",Table24[[#This Row],[Type]]))=TRUE,1,"")</f>
        <v/>
      </c>
      <c r="P281" s="7" t="str">
        <f>IF(Table24[[#This Row],[Type]]="","",LEFT(Table24[[#This Row],[Type]],1)&amp;LEFT(#REF!,1))</f>
        <v/>
      </c>
      <c r="Q281" s="18" t="str">
        <f>IF(Table24[[#This Row],[Type]]="","",LEFT(Table24[[#This Row],[Type]],1)&amp;LEFT(#REF!,1))</f>
        <v/>
      </c>
      <c r="R281" s="18"/>
      <c r="S281" s="7" t="str">
        <f>IF(Table24[[#This Row],[A Counter]]=1,"AI"&amp;#REF!+SUM($N$35:N281),IF(Table24[[#This Row],[B Counter]]=1,"BI"&amp;#REF!+SUM($O$35:O281),""))</f>
        <v/>
      </c>
      <c r="T281" s="18"/>
      <c r="U281" s="68"/>
    </row>
    <row r="282" spans="1:21" x14ac:dyDescent="0.25">
      <c r="A282">
        <f t="shared" si="9"/>
        <v>273</v>
      </c>
      <c r="B282" s="93" t="str">
        <f>IFERROR(RIGHT(Table24[[#This Row],[Controller Input '#]],3)*1,"")</f>
        <v/>
      </c>
      <c r="C282" s="99"/>
      <c r="D282" s="1"/>
      <c r="E282" s="11"/>
      <c r="F282" s="11"/>
      <c r="G282" s="11"/>
      <c r="H282" s="21"/>
      <c r="I282" s="11"/>
      <c r="J282" s="11"/>
      <c r="K282" s="11"/>
      <c r="L282" s="11"/>
      <c r="M282" s="1"/>
      <c r="N282" s="18" t="str">
        <f>IF(ISNUMBER(SEARCH("ANALOG",Table24[[#This Row],[Type]]))=TRUE,1,"")</f>
        <v/>
      </c>
      <c r="O282" s="18" t="str">
        <f>IF(ISNUMBER(SEARCH("BINARY",Table24[[#This Row],[Type]]))=TRUE,1,"")</f>
        <v/>
      </c>
      <c r="P282" s="7" t="str">
        <f>IF(Table24[[#This Row],[Type]]="","",LEFT(Table24[[#This Row],[Type]],1)&amp;LEFT(#REF!,1))</f>
        <v/>
      </c>
      <c r="Q282" s="18" t="str">
        <f>IF(Table24[[#This Row],[Type]]="","",LEFT(Table24[[#This Row],[Type]],1)&amp;LEFT(#REF!,1))</f>
        <v/>
      </c>
      <c r="R282" s="18"/>
      <c r="S282" s="7" t="str">
        <f>IF(Table24[[#This Row],[A Counter]]=1,"AI"&amp;#REF!+SUM($N$35:N282),IF(Table24[[#This Row],[B Counter]]=1,"BI"&amp;#REF!+SUM($O$35:O282),""))</f>
        <v/>
      </c>
      <c r="T282" s="18"/>
      <c r="U282" s="68"/>
    </row>
    <row r="283" spans="1:21" x14ac:dyDescent="0.25">
      <c r="A283">
        <f t="shared" si="9"/>
        <v>274</v>
      </c>
      <c r="B283" s="93" t="str">
        <f>IFERROR(RIGHT(Table24[[#This Row],[Controller Input '#]],3)*1,"")</f>
        <v/>
      </c>
      <c r="C283" s="98"/>
      <c r="D283" s="1"/>
      <c r="E283" s="1"/>
      <c r="F283" s="1"/>
      <c r="G283" s="1"/>
      <c r="H283" s="8"/>
      <c r="I283" s="1"/>
      <c r="J283" s="1"/>
      <c r="K283" s="3"/>
      <c r="L283" s="1"/>
      <c r="M283" s="18"/>
      <c r="N283" s="18" t="str">
        <f>IF(ISNUMBER(SEARCH("ANALOG",Table24[[#This Row],[Type]]))=TRUE,1,"")</f>
        <v/>
      </c>
      <c r="O283" s="18" t="str">
        <f>IF(ISNUMBER(SEARCH("BINARY",Table24[[#This Row],[Type]]))=TRUE,1,"")</f>
        <v/>
      </c>
      <c r="P283" s="7" t="str">
        <f>IF(Table24[[#This Row],[Type]]="","",LEFT(Table24[[#This Row],[Type]],1)&amp;LEFT(#REF!,1))</f>
        <v/>
      </c>
      <c r="Q283" s="18" t="str">
        <f>IF(Table24[[#This Row],[Type]]="","",LEFT(Table24[[#This Row],[Type]],1)&amp;LEFT(#REF!,1))</f>
        <v/>
      </c>
      <c r="R283" s="18"/>
      <c r="S283" s="7" t="str">
        <f>IF(Table24[[#This Row],[A Counter]]=1,"AI"&amp;#REF!+SUM($N$35:N283),IF(Table24[[#This Row],[B Counter]]=1,"BI"&amp;#REF!+SUM($O$35:O283),""))</f>
        <v/>
      </c>
      <c r="T283" s="18" t="s">
        <v>34</v>
      </c>
      <c r="U283" s="69"/>
    </row>
    <row r="284" spans="1:21" x14ac:dyDescent="0.25">
      <c r="A284">
        <f t="shared" si="9"/>
        <v>275</v>
      </c>
      <c r="B284" s="93" t="str">
        <f>IFERROR(RIGHT(Table24[[#This Row],[Controller Input '#]],3)*1,"")</f>
        <v/>
      </c>
      <c r="C284" s="99"/>
      <c r="D284" s="1"/>
      <c r="E284" s="1"/>
      <c r="F284" s="1"/>
      <c r="G284" s="1"/>
      <c r="H284" s="8"/>
      <c r="I284" s="1"/>
      <c r="J284" s="1"/>
      <c r="K284" s="3"/>
      <c r="L284" s="1"/>
      <c r="M284" s="1"/>
      <c r="N284" s="18" t="str">
        <f>IF(ISNUMBER(SEARCH("ANALOG",Table24[[#This Row],[Type]]))=TRUE,1,"")</f>
        <v/>
      </c>
      <c r="O284" s="18" t="str">
        <f>IF(ISNUMBER(SEARCH("BINARY",Table24[[#This Row],[Type]]))=TRUE,1,"")</f>
        <v/>
      </c>
      <c r="P284" s="7" t="str">
        <f>IF(Table24[[#This Row],[Type]]="","",LEFT(Table24[[#This Row],[Type]],1)&amp;LEFT(#REF!,1))</f>
        <v/>
      </c>
      <c r="Q284" s="18" t="str">
        <f>IF(Table24[[#This Row],[Type]]="","",LEFT(Table24[[#This Row],[Type]],1)&amp;LEFT(#REF!,1))</f>
        <v/>
      </c>
      <c r="R284" s="18"/>
      <c r="S284" s="7" t="str">
        <f>IF(Table24[[#This Row],[A Counter]]=1,"AI"&amp;#REF!+SUM($N$35:N284),IF(Table24[[#This Row],[B Counter]]=1,"BI"&amp;#REF!+SUM($O$35:O284),""))</f>
        <v/>
      </c>
      <c r="T284" s="18" t="s">
        <v>34</v>
      </c>
      <c r="U284" s="68"/>
    </row>
    <row r="285" spans="1:21" x14ac:dyDescent="0.25">
      <c r="A285">
        <f t="shared" si="9"/>
        <v>276</v>
      </c>
      <c r="B285" s="93" t="str">
        <f>IFERROR(RIGHT(Table24[[#This Row],[Controller Input '#]],3)*1,"")</f>
        <v/>
      </c>
      <c r="C285" s="99"/>
      <c r="D285" s="1"/>
      <c r="E285" s="1"/>
      <c r="F285" s="1"/>
      <c r="G285" s="1"/>
      <c r="H285" s="8"/>
      <c r="I285" s="1"/>
      <c r="J285" s="1"/>
      <c r="K285" s="3"/>
      <c r="L285" s="1"/>
      <c r="M285" s="1"/>
      <c r="N285" s="18" t="str">
        <f>IF(ISNUMBER(SEARCH("ANALOG",Table24[[#This Row],[Type]]))=TRUE,1,"")</f>
        <v/>
      </c>
      <c r="O285" s="18" t="str">
        <f>IF(ISNUMBER(SEARCH("BINARY",Table24[[#This Row],[Type]]))=TRUE,1,"")</f>
        <v/>
      </c>
      <c r="P285" s="7" t="str">
        <f>IF(Table24[[#This Row],[Type]]="","",LEFT(Table24[[#This Row],[Type]],1)&amp;LEFT(#REF!,1))</f>
        <v/>
      </c>
      <c r="Q285" s="18" t="str">
        <f>IF(Table24[[#This Row],[Type]]="","",LEFT(Table24[[#This Row],[Type]],1)&amp;LEFT(#REF!,1))</f>
        <v/>
      </c>
      <c r="R285" s="18"/>
      <c r="S285" s="7" t="str">
        <f>IF(Table24[[#This Row],[A Counter]]=1,"AI"&amp;#REF!+SUM($N$35:N285),IF(Table24[[#This Row],[B Counter]]=1,"BI"&amp;#REF!+SUM($O$35:O285),""))</f>
        <v/>
      </c>
      <c r="T285" s="18" t="s">
        <v>34</v>
      </c>
      <c r="U285" s="7"/>
    </row>
    <row r="286" spans="1:21" x14ac:dyDescent="0.25">
      <c r="A286">
        <f t="shared" si="9"/>
        <v>277</v>
      </c>
      <c r="B286" s="93" t="str">
        <f>IFERROR(RIGHT(Table24[[#This Row],[Controller Input '#]],3)*1,"")</f>
        <v/>
      </c>
      <c r="C286" s="99"/>
      <c r="D286" s="1"/>
      <c r="E286" s="1"/>
      <c r="F286" s="1"/>
      <c r="G286" s="1"/>
      <c r="H286" s="8"/>
      <c r="I286" s="1"/>
      <c r="J286" s="1"/>
      <c r="K286" s="1"/>
      <c r="L286" s="18"/>
      <c r="M286" s="1"/>
      <c r="N286" s="18" t="str">
        <f>IF(ISNUMBER(SEARCH("ANALOG",Table24[[#This Row],[Type]]))=TRUE,1,"")</f>
        <v/>
      </c>
      <c r="O286" s="18" t="str">
        <f>IF(ISNUMBER(SEARCH("BINARY",Table24[[#This Row],[Type]]))=TRUE,1,"")</f>
        <v/>
      </c>
      <c r="P286" s="7" t="str">
        <f>IF(Table24[[#This Row],[Type]]="","",LEFT(Table24[[#This Row],[Type]],1)&amp;LEFT(#REF!,1))</f>
        <v/>
      </c>
      <c r="Q286" s="18" t="str">
        <f>IF(Table24[[#This Row],[Type]]="","",LEFT(Table24[[#This Row],[Type]],1)&amp;LEFT(#REF!,1))</f>
        <v/>
      </c>
      <c r="R286" s="18"/>
      <c r="S286" s="7" t="str">
        <f>IF(Table24[[#This Row],[A Counter]]=1,"AI"&amp;#REF!+SUM($N$35:N286),IF(Table24[[#This Row],[B Counter]]=1,"BI"&amp;#REF!+SUM($O$35:O286),""))</f>
        <v/>
      </c>
      <c r="T286" s="18" t="s">
        <v>34</v>
      </c>
      <c r="U286" s="7"/>
    </row>
    <row r="287" spans="1:21" x14ac:dyDescent="0.25">
      <c r="A287">
        <f t="shared" si="9"/>
        <v>278</v>
      </c>
      <c r="B287" s="93" t="str">
        <f>IFERROR(RIGHT(Table24[[#This Row],[Controller Input '#]],3)*1,"")</f>
        <v/>
      </c>
      <c r="C287" s="99"/>
      <c r="D287" s="1"/>
      <c r="E287" s="1"/>
      <c r="F287" s="1"/>
      <c r="G287" s="1"/>
      <c r="H287" s="8"/>
      <c r="I287" s="1"/>
      <c r="J287" s="1"/>
      <c r="K287" s="1"/>
      <c r="L287" s="18"/>
      <c r="M287" s="1"/>
      <c r="N287" s="18" t="str">
        <f>IF(ISNUMBER(SEARCH("ANALOG",Table24[[#This Row],[Type]]))=TRUE,1,"")</f>
        <v/>
      </c>
      <c r="O287" s="18" t="str">
        <f>IF(ISNUMBER(SEARCH("BINARY",Table24[[#This Row],[Type]]))=TRUE,1,"")</f>
        <v/>
      </c>
      <c r="P287" s="7" t="str">
        <f>IF(Table24[[#This Row],[Type]]="","",LEFT(Table24[[#This Row],[Type]],1)&amp;LEFT(#REF!,1))</f>
        <v/>
      </c>
      <c r="Q287" s="18" t="str">
        <f>IF(Table24[[#This Row],[Type]]="","",LEFT(Table24[[#This Row],[Type]],1)&amp;LEFT(#REF!,1))</f>
        <v/>
      </c>
      <c r="R287" s="18"/>
      <c r="S287" s="7" t="str">
        <f>IF(Table24[[#This Row],[A Counter]]=1,"AI"&amp;#REF!+SUM($N$35:N287),IF(Table24[[#This Row],[B Counter]]=1,"BI"&amp;#REF!+SUM($O$35:O287),""))</f>
        <v/>
      </c>
      <c r="T287" s="18" t="s">
        <v>34</v>
      </c>
      <c r="U287" s="7"/>
    </row>
    <row r="288" spans="1:21" x14ac:dyDescent="0.25">
      <c r="A288">
        <f t="shared" si="9"/>
        <v>279</v>
      </c>
      <c r="B288" s="93" t="str">
        <f>IFERROR(RIGHT(Table24[[#This Row],[Controller Input '#]],3)*1,"")</f>
        <v/>
      </c>
      <c r="C288" s="99"/>
      <c r="D288" s="1"/>
      <c r="E288" s="1"/>
      <c r="F288" s="1"/>
      <c r="G288" s="1"/>
      <c r="H288" s="8"/>
      <c r="I288" s="1"/>
      <c r="J288" s="1"/>
      <c r="K288" s="1"/>
      <c r="L288" s="18"/>
      <c r="M288" s="1"/>
      <c r="N288" s="18" t="str">
        <f>IF(ISNUMBER(SEARCH("ANALOG",Table24[[#This Row],[Type]]))=TRUE,1,"")</f>
        <v/>
      </c>
      <c r="O288" s="18" t="str">
        <f>IF(ISNUMBER(SEARCH("BINARY",Table24[[#This Row],[Type]]))=TRUE,1,"")</f>
        <v/>
      </c>
      <c r="P288" s="7" t="str">
        <f>IF(Table24[[#This Row],[Type]]="","",LEFT(Table24[[#This Row],[Type]],1)&amp;LEFT(#REF!,1))</f>
        <v/>
      </c>
      <c r="Q288" s="18" t="str">
        <f>IF(Table24[[#This Row],[Type]]="","",LEFT(Table24[[#This Row],[Type]],1)&amp;LEFT(#REF!,1))</f>
        <v/>
      </c>
      <c r="R288" s="18"/>
      <c r="S288" s="7" t="str">
        <f>IF(Table24[[#This Row],[A Counter]]=1,"AI"&amp;#REF!+SUM($N$35:N288),IF(Table24[[#This Row],[B Counter]]=1,"BI"&amp;#REF!+SUM($O$35:O288),""))</f>
        <v/>
      </c>
      <c r="T288" s="18" t="s">
        <v>34</v>
      </c>
      <c r="U288" s="7"/>
    </row>
    <row r="289" spans="1:21" x14ac:dyDescent="0.25">
      <c r="A289">
        <f t="shared" si="9"/>
        <v>280</v>
      </c>
      <c r="B289" s="93" t="str">
        <f>IFERROR(RIGHT(Table24[[#This Row],[Controller Input '#]],3)*1,"")</f>
        <v/>
      </c>
      <c r="C289" s="99"/>
      <c r="D289" s="1"/>
      <c r="E289" s="1"/>
      <c r="F289" s="1"/>
      <c r="G289" s="1"/>
      <c r="H289" s="8"/>
      <c r="I289" s="1"/>
      <c r="J289" s="1"/>
      <c r="K289" s="1"/>
      <c r="L289" s="1"/>
      <c r="M289" s="1"/>
      <c r="N289" s="18" t="str">
        <f>IF(ISNUMBER(SEARCH("ANALOG",Table24[[#This Row],[Type]]))=TRUE,1,"")</f>
        <v/>
      </c>
      <c r="O289" s="18" t="str">
        <f>IF(ISNUMBER(SEARCH("BINARY",Table24[[#This Row],[Type]]))=TRUE,1,"")</f>
        <v/>
      </c>
      <c r="P289" s="7" t="str">
        <f>IF(Table24[[#This Row],[Type]]="","",LEFT(Table24[[#This Row],[Type]],1)&amp;LEFT(#REF!,1))</f>
        <v/>
      </c>
      <c r="Q289" s="18" t="str">
        <f>IF(Table24[[#This Row],[Type]]="","",LEFT(Table24[[#This Row],[Type]],1)&amp;LEFT(#REF!,1))</f>
        <v/>
      </c>
      <c r="R289" s="18"/>
      <c r="S289" s="7" t="str">
        <f>IF(Table24[[#This Row],[A Counter]]=1,"AI"&amp;#REF!+SUM($N$35:N289),IF(Table24[[#This Row],[B Counter]]=1,"BI"&amp;#REF!+SUM($O$35:O289),""))</f>
        <v/>
      </c>
      <c r="T289" s="18" t="s">
        <v>34</v>
      </c>
      <c r="U289" s="7"/>
    </row>
    <row r="290" spans="1:21" x14ac:dyDescent="0.25">
      <c r="A290">
        <f t="shared" si="9"/>
        <v>281</v>
      </c>
      <c r="B290" s="93" t="str">
        <f>IFERROR(RIGHT(Table24[[#This Row],[Controller Input '#]],3)*1,"")</f>
        <v/>
      </c>
      <c r="C290" s="99"/>
      <c r="D290" s="1"/>
      <c r="E290" s="1"/>
      <c r="F290" s="1"/>
      <c r="G290" s="1"/>
      <c r="H290" s="8"/>
      <c r="I290" s="1"/>
      <c r="J290" s="1"/>
      <c r="K290" s="1"/>
      <c r="L290" s="1"/>
      <c r="M290" s="1"/>
      <c r="N290" s="18" t="str">
        <f>IF(ISNUMBER(SEARCH("ANALOG",Table24[[#This Row],[Type]]))=TRUE,1,"")</f>
        <v/>
      </c>
      <c r="O290" s="18" t="str">
        <f>IF(ISNUMBER(SEARCH("BINARY",Table24[[#This Row],[Type]]))=TRUE,1,"")</f>
        <v/>
      </c>
      <c r="P290" s="7" t="str">
        <f>IF(Table24[[#This Row],[Type]]="","",LEFT(Table24[[#This Row],[Type]],1)&amp;LEFT(#REF!,1))</f>
        <v/>
      </c>
      <c r="Q290" s="18" t="str">
        <f>IF(Table24[[#This Row],[Type]]="","",LEFT(Table24[[#This Row],[Type]],1)&amp;LEFT(#REF!,1))</f>
        <v/>
      </c>
      <c r="R290" s="18"/>
      <c r="S290" s="7" t="str">
        <f>IF(Table24[[#This Row],[A Counter]]=1,"AI"&amp;#REF!+SUM($N$35:N290),IF(Table24[[#This Row],[B Counter]]=1,"BI"&amp;#REF!+SUM($O$35:O290),""))</f>
        <v/>
      </c>
      <c r="T290" s="18" t="s">
        <v>34</v>
      </c>
      <c r="U290" s="7"/>
    </row>
    <row r="291" spans="1:21" x14ac:dyDescent="0.25">
      <c r="A291">
        <f t="shared" si="9"/>
        <v>282</v>
      </c>
      <c r="B291" s="93" t="str">
        <f>IFERROR(RIGHT(Table24[[#This Row],[Controller Input '#]],3)*1,"")</f>
        <v/>
      </c>
      <c r="C291" s="99"/>
      <c r="D291" s="1"/>
      <c r="E291" s="1"/>
      <c r="F291" s="1"/>
      <c r="G291" s="1"/>
      <c r="H291" s="8"/>
      <c r="I291" s="1"/>
      <c r="J291" s="1"/>
      <c r="K291" s="1"/>
      <c r="L291" s="1"/>
      <c r="M291" s="1"/>
      <c r="N291" s="18" t="str">
        <f>IF(ISNUMBER(SEARCH("ANALOG",Table24[[#This Row],[Type]]))=TRUE,1,"")</f>
        <v/>
      </c>
      <c r="O291" s="18" t="str">
        <f>IF(ISNUMBER(SEARCH("BINARY",Table24[[#This Row],[Type]]))=TRUE,1,"")</f>
        <v/>
      </c>
      <c r="P291" s="7" t="str">
        <f>IF(Table24[[#This Row],[Type]]="","",LEFT(Table24[[#This Row],[Type]],1)&amp;LEFT(#REF!,1))</f>
        <v/>
      </c>
      <c r="Q291" s="18" t="str">
        <f>IF(Table24[[#This Row],[Type]]="","",LEFT(Table24[[#This Row],[Type]],1)&amp;LEFT(#REF!,1))</f>
        <v/>
      </c>
      <c r="R291" s="18"/>
      <c r="S291" s="7" t="str">
        <f>IF(Table24[[#This Row],[A Counter]]=1,"AI"&amp;#REF!+SUM($N$35:N291),IF(Table24[[#This Row],[B Counter]]=1,"BI"&amp;#REF!+SUM($O$35:O291),""))</f>
        <v/>
      </c>
      <c r="T291" s="18" t="s">
        <v>34</v>
      </c>
      <c r="U291" s="7"/>
    </row>
    <row r="292" spans="1:21" x14ac:dyDescent="0.25">
      <c r="A292">
        <f t="shared" si="9"/>
        <v>283</v>
      </c>
      <c r="B292" s="93" t="str">
        <f>IFERROR(RIGHT(Table24[[#This Row],[Controller Input '#]],3)*1,"")</f>
        <v/>
      </c>
      <c r="C292" s="99"/>
      <c r="D292" s="1"/>
      <c r="E292" s="1"/>
      <c r="F292" s="1"/>
      <c r="G292" s="1"/>
      <c r="H292" s="8"/>
      <c r="I292" s="1"/>
      <c r="J292" s="1"/>
      <c r="K292" s="1"/>
      <c r="L292" s="1"/>
      <c r="M292" s="1"/>
      <c r="N292" s="18" t="str">
        <f>IF(ISNUMBER(SEARCH("ANALOG",Table24[[#This Row],[Type]]))=TRUE,1,"")</f>
        <v/>
      </c>
      <c r="O292" s="18" t="str">
        <f>IF(ISNUMBER(SEARCH("BINARY",Table24[[#This Row],[Type]]))=TRUE,1,"")</f>
        <v/>
      </c>
      <c r="P292" s="7" t="str">
        <f>IF(Table24[[#This Row],[Type]]="","",LEFT(Table24[[#This Row],[Type]],1)&amp;LEFT(#REF!,1))</f>
        <v/>
      </c>
      <c r="Q292" s="18" t="str">
        <f>IF(Table24[[#This Row],[Type]]="","",LEFT(Table24[[#This Row],[Type]],1)&amp;LEFT(#REF!,1))</f>
        <v/>
      </c>
      <c r="R292" s="18"/>
      <c r="S292" s="7" t="str">
        <f>IF(Table24[[#This Row],[A Counter]]=1,"AI"&amp;#REF!+SUM($N$35:N292),IF(Table24[[#This Row],[B Counter]]=1,"BI"&amp;#REF!+SUM($O$35:O292),""))</f>
        <v/>
      </c>
      <c r="T292" s="18" t="s">
        <v>34</v>
      </c>
      <c r="U292" s="7"/>
    </row>
    <row r="293" spans="1:21" x14ac:dyDescent="0.25">
      <c r="A293">
        <f t="shared" si="9"/>
        <v>284</v>
      </c>
      <c r="B293" s="93" t="str">
        <f>IFERROR(RIGHT(Table24[[#This Row],[Controller Input '#]],3)*1,"")</f>
        <v/>
      </c>
      <c r="C293" s="99"/>
      <c r="D293" s="1"/>
      <c r="E293" s="1"/>
      <c r="F293" s="1"/>
      <c r="G293" s="1"/>
      <c r="H293" s="8"/>
      <c r="I293" s="1"/>
      <c r="J293" s="1"/>
      <c r="K293" s="1"/>
      <c r="L293" s="11"/>
      <c r="M293" s="11"/>
      <c r="N293" s="18" t="str">
        <f>IF(ISNUMBER(SEARCH("ANALOG",Table24[[#This Row],[Type]]))=TRUE,1,"")</f>
        <v/>
      </c>
      <c r="O293" s="18" t="str">
        <f>IF(ISNUMBER(SEARCH("BINARY",Table24[[#This Row],[Type]]))=TRUE,1,"")</f>
        <v/>
      </c>
      <c r="P293" s="7" t="str">
        <f>IF(Table24[[#This Row],[Type]]="","",LEFT(Table24[[#This Row],[Type]],1)&amp;LEFT(#REF!,1))</f>
        <v/>
      </c>
      <c r="Q293" s="18" t="str">
        <f>IF(Table24[[#This Row],[Type]]="","",LEFT(Table24[[#This Row],[Type]],1)&amp;LEFT(#REF!,1))</f>
        <v/>
      </c>
      <c r="R293" s="18"/>
      <c r="S293" s="7" t="str">
        <f>IF(Table24[[#This Row],[A Counter]]=1,"AI"&amp;#REF!+SUM($N$35:N293),IF(Table24[[#This Row],[B Counter]]=1,"BI"&amp;#REF!+SUM($O$35:O293),""))</f>
        <v/>
      </c>
      <c r="T293" s="18" t="s">
        <v>34</v>
      </c>
      <c r="U293" s="7"/>
    </row>
    <row r="294" spans="1:21" x14ac:dyDescent="0.25">
      <c r="A294">
        <f t="shared" si="9"/>
        <v>285</v>
      </c>
      <c r="B294" s="93" t="str">
        <f>IFERROR(RIGHT(Table24[[#This Row],[Controller Input '#]],3)*1,"")</f>
        <v/>
      </c>
      <c r="C294" s="99"/>
      <c r="D294" s="1"/>
      <c r="E294" s="1"/>
      <c r="F294" s="1"/>
      <c r="G294" s="1"/>
      <c r="H294" s="8"/>
      <c r="I294" s="1"/>
      <c r="J294" s="1"/>
      <c r="K294" s="1"/>
      <c r="L294" s="11"/>
      <c r="M294" s="11"/>
      <c r="N294" s="18" t="str">
        <f>IF(ISNUMBER(SEARCH("ANALOG",Table24[[#This Row],[Type]]))=TRUE,1,"")</f>
        <v/>
      </c>
      <c r="O294" s="18" t="str">
        <f>IF(ISNUMBER(SEARCH("BINARY",Table24[[#This Row],[Type]]))=TRUE,1,"")</f>
        <v/>
      </c>
      <c r="P294" s="7" t="str">
        <f>IF(Table24[[#This Row],[Type]]="","",LEFT(Table24[[#This Row],[Type]],1)&amp;LEFT(#REF!,1))</f>
        <v/>
      </c>
      <c r="Q294" s="18" t="str">
        <f>IF(Table24[[#This Row],[Type]]="","",LEFT(Table24[[#This Row],[Type]],1)&amp;LEFT(#REF!,1))</f>
        <v/>
      </c>
      <c r="R294" s="18"/>
      <c r="S294" s="7" t="str">
        <f>IF(Table24[[#This Row],[A Counter]]=1,"AI"&amp;#REF!+SUM($N$35:N294),IF(Table24[[#This Row],[B Counter]]=1,"BI"&amp;#REF!+SUM($O$35:O294),""))</f>
        <v/>
      </c>
      <c r="T294" s="18" t="s">
        <v>34</v>
      </c>
      <c r="U294" s="7"/>
    </row>
    <row r="295" spans="1:21" x14ac:dyDescent="0.25">
      <c r="A295">
        <f t="shared" si="9"/>
        <v>286</v>
      </c>
      <c r="B295" s="93" t="str">
        <f>IFERROR(RIGHT(Table24[[#This Row],[Controller Input '#]],3)*1,"")</f>
        <v/>
      </c>
      <c r="C295" s="99"/>
      <c r="D295" s="1"/>
      <c r="E295" s="1"/>
      <c r="F295" s="1"/>
      <c r="G295" s="11"/>
      <c r="H295" s="21"/>
      <c r="I295" s="1"/>
      <c r="J295" s="1"/>
      <c r="K295" s="1"/>
      <c r="L295" s="11"/>
      <c r="M295" s="11"/>
      <c r="N295" s="18" t="str">
        <f>IF(ISNUMBER(SEARCH("ANALOG",Table24[[#This Row],[Type]]))=TRUE,1,"")</f>
        <v/>
      </c>
      <c r="O295" s="18" t="str">
        <f>IF(ISNUMBER(SEARCH("BINARY",Table24[[#This Row],[Type]]))=TRUE,1,"")</f>
        <v/>
      </c>
      <c r="P295" s="7" t="str">
        <f>IF(Table24[[#This Row],[Type]]="","",LEFT(Table24[[#This Row],[Type]],1)&amp;LEFT(#REF!,1))</f>
        <v/>
      </c>
      <c r="Q295" s="18" t="str">
        <f>IF(Table24[[#This Row],[Type]]="","",LEFT(Table24[[#This Row],[Type]],1)&amp;LEFT(#REF!,1))</f>
        <v/>
      </c>
      <c r="R295" s="18"/>
      <c r="S295" s="7" t="str">
        <f>IF(Table24[[#This Row],[A Counter]]=1,"AI"&amp;#REF!+SUM($N$35:N295),IF(Table24[[#This Row],[B Counter]]=1,"BI"&amp;#REF!+SUM($O$35:O295),""))</f>
        <v/>
      </c>
      <c r="T295" s="18" t="s">
        <v>34</v>
      </c>
      <c r="U295" s="7"/>
    </row>
    <row r="296" spans="1:21" x14ac:dyDescent="0.25">
      <c r="A296">
        <f t="shared" si="9"/>
        <v>287</v>
      </c>
      <c r="B296" s="93" t="str">
        <f>IFERROR(RIGHT(Table24[[#This Row],[Controller Input '#]],3)*1,"")</f>
        <v/>
      </c>
      <c r="C296" s="99"/>
      <c r="D296" s="1"/>
      <c r="E296" s="1"/>
      <c r="F296" s="1"/>
      <c r="G296" s="1"/>
      <c r="H296" s="8"/>
      <c r="I296" s="1"/>
      <c r="J296" s="1"/>
      <c r="K296" s="1"/>
      <c r="L296" s="1"/>
      <c r="M296" s="1"/>
      <c r="N296" s="18" t="str">
        <f>IF(ISNUMBER(SEARCH("ANALOG",Table24[[#This Row],[Type]]))=TRUE,1,"")</f>
        <v/>
      </c>
      <c r="O296" s="18" t="str">
        <f>IF(ISNUMBER(SEARCH("BINARY",Table24[[#This Row],[Type]]))=TRUE,1,"")</f>
        <v/>
      </c>
      <c r="P296" s="7" t="str">
        <f>IF(Table24[[#This Row],[Type]]="","",LEFT(Table24[[#This Row],[Type]],1)&amp;LEFT(#REF!,1))</f>
        <v/>
      </c>
      <c r="Q296" s="18" t="str">
        <f>IF(Table24[[#This Row],[Type]]="","",LEFT(Table24[[#This Row],[Type]],1)&amp;LEFT(#REF!,1))</f>
        <v/>
      </c>
      <c r="R296" s="18"/>
      <c r="S296" s="7" t="str">
        <f>IF(Table24[[#This Row],[A Counter]]=1,"AI"&amp;#REF!+SUM($N$35:N296),IF(Table24[[#This Row],[B Counter]]=1,"BI"&amp;#REF!+SUM($O$35:O296),""))</f>
        <v/>
      </c>
      <c r="T296" s="18" t="s">
        <v>34</v>
      </c>
      <c r="U296" s="7"/>
    </row>
    <row r="297" spans="1:21" x14ac:dyDescent="0.25">
      <c r="A297">
        <f t="shared" si="9"/>
        <v>288</v>
      </c>
      <c r="B297" s="93" t="str">
        <f>IFERROR(RIGHT(Table24[[#This Row],[Controller Input '#]],3)*1,"")</f>
        <v/>
      </c>
      <c r="C297" s="99"/>
      <c r="D297" s="1"/>
      <c r="E297" s="1"/>
      <c r="F297" s="1"/>
      <c r="G297" s="1"/>
      <c r="H297" s="8"/>
      <c r="I297" s="1"/>
      <c r="J297" s="1"/>
      <c r="K297" s="1"/>
      <c r="L297" s="1"/>
      <c r="M297" s="1"/>
      <c r="N297" s="18" t="str">
        <f>IF(ISNUMBER(SEARCH("ANALOG",Table24[[#This Row],[Type]]))=TRUE,1,"")</f>
        <v/>
      </c>
      <c r="O297" s="18" t="str">
        <f>IF(ISNUMBER(SEARCH("BINARY",Table24[[#This Row],[Type]]))=TRUE,1,"")</f>
        <v/>
      </c>
      <c r="P297" s="7" t="str">
        <f>IF(Table24[[#This Row],[Type]]="","",LEFT(Table24[[#This Row],[Type]],1)&amp;LEFT(#REF!,1))</f>
        <v/>
      </c>
      <c r="Q297" s="18" t="str">
        <f>IF(Table24[[#This Row],[Type]]="","",LEFT(Table24[[#This Row],[Type]],1)&amp;LEFT(#REF!,1))</f>
        <v/>
      </c>
      <c r="R297" s="18"/>
      <c r="S297" s="7" t="str">
        <f>IF(Table24[[#This Row],[A Counter]]=1,"AI"&amp;#REF!+SUM($N$35:N297),IF(Table24[[#This Row],[B Counter]]=1,"BI"&amp;#REF!+SUM($O$35:O297),""))</f>
        <v/>
      </c>
      <c r="T297" s="18" t="s">
        <v>34</v>
      </c>
      <c r="U297" s="7"/>
    </row>
    <row r="298" spans="1:21" x14ac:dyDescent="0.25">
      <c r="A298">
        <f t="shared" si="9"/>
        <v>289</v>
      </c>
      <c r="B298" s="93" t="str">
        <f>IFERROR(RIGHT(Table24[[#This Row],[Controller Input '#]],3)*1,"")</f>
        <v/>
      </c>
      <c r="C298" s="99"/>
      <c r="D298" s="1"/>
      <c r="E298" s="11"/>
      <c r="F298" s="11"/>
      <c r="G298" s="11"/>
      <c r="H298" s="21"/>
      <c r="I298" s="11"/>
      <c r="J298" s="11"/>
      <c r="K298" s="11"/>
      <c r="L298" s="11"/>
      <c r="M298" s="11"/>
      <c r="N298" s="18" t="str">
        <f>IF(ISNUMBER(SEARCH("ANALOG",Table24[[#This Row],[Type]]))=TRUE,1,"")</f>
        <v/>
      </c>
      <c r="O298" s="18" t="str">
        <f>IF(ISNUMBER(SEARCH("BINARY",Table24[[#This Row],[Type]]))=TRUE,1,"")</f>
        <v/>
      </c>
      <c r="P298" s="7" t="str">
        <f>IF(Table24[[#This Row],[Type]]="","",LEFT(Table24[[#This Row],[Type]],1)&amp;LEFT(#REF!,1))</f>
        <v/>
      </c>
      <c r="Q298" s="18" t="str">
        <f>IF(Table24[[#This Row],[Type]]="","",LEFT(Table24[[#This Row],[Type]],1)&amp;LEFT(#REF!,1))</f>
        <v/>
      </c>
      <c r="R298" s="18"/>
      <c r="S298" s="7" t="str">
        <f>IF(Table24[[#This Row],[A Counter]]=1,"AI"&amp;#REF!+SUM($N$35:N298),IF(Table24[[#This Row],[B Counter]]=1,"BI"&amp;#REF!+SUM($O$35:O298),""))</f>
        <v/>
      </c>
      <c r="T298" s="26" t="s">
        <v>34</v>
      </c>
      <c r="U298" s="7"/>
    </row>
    <row r="299" spans="1:21" x14ac:dyDescent="0.25">
      <c r="A299">
        <f t="shared" si="9"/>
        <v>290</v>
      </c>
      <c r="B299" s="93" t="str">
        <f>IFERROR(RIGHT(Table24[[#This Row],[Controller Input '#]],3)*1,"")</f>
        <v/>
      </c>
      <c r="C299" s="99"/>
      <c r="D299" s="1"/>
      <c r="E299" s="11"/>
      <c r="F299" s="11"/>
      <c r="G299" s="11"/>
      <c r="H299" s="21"/>
      <c r="I299" s="11"/>
      <c r="J299" s="11"/>
      <c r="K299" s="11"/>
      <c r="L299" s="11"/>
      <c r="M299" s="11"/>
      <c r="N299" s="18" t="str">
        <f>IF(ISNUMBER(SEARCH("ANALOG",Table24[[#This Row],[Type]]))=TRUE,1,"")</f>
        <v/>
      </c>
      <c r="O299" s="18" t="str">
        <f>IF(ISNUMBER(SEARCH("BINARY",Table24[[#This Row],[Type]]))=TRUE,1,"")</f>
        <v/>
      </c>
      <c r="P299" s="7" t="str">
        <f>IF(Table24[[#This Row],[Type]]="","",LEFT(Table24[[#This Row],[Type]],1)&amp;LEFT(#REF!,1))</f>
        <v/>
      </c>
      <c r="Q299" s="18" t="str">
        <f>IF(Table24[[#This Row],[Type]]="","",LEFT(Table24[[#This Row],[Type]],1)&amp;LEFT(#REF!,1))</f>
        <v/>
      </c>
      <c r="R299" s="18"/>
      <c r="S299" s="7" t="str">
        <f>IF(Table24[[#This Row],[A Counter]]=1,"AI"&amp;#REF!+SUM($N$35:N299),IF(Table24[[#This Row],[B Counter]]=1,"BI"&amp;#REF!+SUM($O$35:O299),""))</f>
        <v/>
      </c>
      <c r="T299" s="26" t="s">
        <v>34</v>
      </c>
      <c r="U299" s="7"/>
    </row>
    <row r="300" spans="1:21" x14ac:dyDescent="0.25">
      <c r="A300">
        <f t="shared" si="9"/>
        <v>291</v>
      </c>
      <c r="B300" s="93" t="str">
        <f>IFERROR(RIGHT(Table24[[#This Row],[Controller Input '#]],3)*1,"")</f>
        <v/>
      </c>
      <c r="C300" s="99"/>
      <c r="D300" s="1"/>
      <c r="E300" s="11"/>
      <c r="F300" s="11"/>
      <c r="G300" s="11"/>
      <c r="H300" s="21"/>
      <c r="I300" s="11"/>
      <c r="J300" s="11"/>
      <c r="K300" s="11"/>
      <c r="L300" s="11"/>
      <c r="M300" s="11"/>
      <c r="N300" s="18" t="str">
        <f>IF(ISNUMBER(SEARCH("ANALOG",Table24[[#This Row],[Type]]))=TRUE,1,"")</f>
        <v/>
      </c>
      <c r="O300" s="18" t="str">
        <f>IF(ISNUMBER(SEARCH("BINARY",Table24[[#This Row],[Type]]))=TRUE,1,"")</f>
        <v/>
      </c>
      <c r="P300" s="7" t="str">
        <f>IF(Table24[[#This Row],[Type]]="","",LEFT(Table24[[#This Row],[Type]],1)&amp;LEFT(#REF!,1))</f>
        <v/>
      </c>
      <c r="Q300" s="18" t="str">
        <f>IF(Table24[[#This Row],[Type]]="","",LEFT(Table24[[#This Row],[Type]],1)&amp;LEFT(#REF!,1))</f>
        <v/>
      </c>
      <c r="R300" s="18"/>
      <c r="S300" s="7" t="str">
        <f>IF(Table24[[#This Row],[A Counter]]=1,"AI"&amp;#REF!+SUM($N$35:N300),IF(Table24[[#This Row],[B Counter]]=1,"BI"&amp;#REF!+SUM($O$35:O300),""))</f>
        <v/>
      </c>
      <c r="T300" s="26" t="s">
        <v>34</v>
      </c>
      <c r="U300" s="7"/>
    </row>
    <row r="301" spans="1:21" x14ac:dyDescent="0.25">
      <c r="A301">
        <f t="shared" si="9"/>
        <v>292</v>
      </c>
      <c r="B301" s="93" t="str">
        <f>IFERROR(RIGHT(Table24[[#This Row],[Controller Input '#]],3)*1,"")</f>
        <v/>
      </c>
      <c r="C301" s="99"/>
      <c r="D301" s="1"/>
      <c r="E301" s="23"/>
      <c r="F301" s="23"/>
      <c r="G301" s="23"/>
      <c r="H301" s="27"/>
      <c r="I301" s="23"/>
      <c r="J301" s="23"/>
      <c r="K301" s="23"/>
      <c r="L301" s="23"/>
      <c r="M301" s="23"/>
      <c r="N301" s="18" t="str">
        <f>IF(ISNUMBER(SEARCH("ANALOG",Table24[[#This Row],[Type]]))=TRUE,1,"")</f>
        <v/>
      </c>
      <c r="O301" s="18" t="str">
        <f>IF(ISNUMBER(SEARCH("BINARY",Table24[[#This Row],[Type]]))=TRUE,1,"")</f>
        <v/>
      </c>
      <c r="P301" s="7" t="str">
        <f>IF(Table24[[#This Row],[Type]]="","",LEFT(Table24[[#This Row],[Type]],1)&amp;LEFT(#REF!,1))</f>
        <v/>
      </c>
      <c r="Q301" s="18" t="str">
        <f>IF(Table24[[#This Row],[Type]]="","",LEFT(Table24[[#This Row],[Type]],1)&amp;LEFT(#REF!,1))</f>
        <v/>
      </c>
      <c r="R301" s="18"/>
      <c r="S301" s="7" t="str">
        <f>IF(Table24[[#This Row],[A Counter]]=1,"AI"&amp;#REF!+SUM($N$35:N301),IF(Table24[[#This Row],[B Counter]]=1,"BI"&amp;#REF!+SUM($O$35:O301),""))</f>
        <v/>
      </c>
      <c r="T301" s="28" t="s">
        <v>34</v>
      </c>
      <c r="U301" s="7"/>
    </row>
    <row r="302" spans="1:21" x14ac:dyDescent="0.25">
      <c r="A302">
        <f t="shared" si="9"/>
        <v>293</v>
      </c>
      <c r="B302" s="93" t="str">
        <f>IFERROR(RIGHT(Table24[[#This Row],[Controller Input '#]],3)*1,"")</f>
        <v/>
      </c>
      <c r="C302" s="99"/>
      <c r="D302" s="1"/>
      <c r="E302" s="11"/>
      <c r="F302" s="11"/>
      <c r="G302" s="11"/>
      <c r="H302" s="21"/>
      <c r="I302" s="11"/>
      <c r="J302" s="11"/>
      <c r="K302" s="11"/>
      <c r="L302" s="11"/>
      <c r="M302" s="11"/>
      <c r="N302" s="18" t="str">
        <f>IF(ISNUMBER(SEARCH("ANALOG",Table24[[#This Row],[Type]]))=TRUE,1,"")</f>
        <v/>
      </c>
      <c r="O302" s="18" t="str">
        <f>IF(ISNUMBER(SEARCH("BINARY",Table24[[#This Row],[Type]]))=TRUE,1,"")</f>
        <v/>
      </c>
      <c r="P302" s="7" t="str">
        <f>IF(Table24[[#This Row],[Type]]="","",LEFT(Table24[[#This Row],[Type]],1)&amp;LEFT(#REF!,1))</f>
        <v/>
      </c>
      <c r="Q302" s="18" t="str">
        <f>IF(Table24[[#This Row],[Type]]="","",LEFT(Table24[[#This Row],[Type]],1)&amp;LEFT(#REF!,1))</f>
        <v/>
      </c>
      <c r="R302" s="18"/>
      <c r="S302" s="7" t="str">
        <f>IF(Table24[[#This Row],[A Counter]]=1,"AI"&amp;#REF!+SUM($N$35:N302),IF(Table24[[#This Row],[B Counter]]=1,"BI"&amp;#REF!+SUM($O$35:O302),""))</f>
        <v/>
      </c>
      <c r="T302" s="26" t="s">
        <v>34</v>
      </c>
      <c r="U302" s="7"/>
    </row>
    <row r="303" spans="1:21" x14ac:dyDescent="0.25">
      <c r="A303">
        <f t="shared" si="9"/>
        <v>294</v>
      </c>
      <c r="B303" s="93" t="str">
        <f>IFERROR(RIGHT(Table24[[#This Row],[Controller Input '#]],3)*1,"")</f>
        <v/>
      </c>
      <c r="C303" s="99"/>
      <c r="D303" s="1"/>
      <c r="E303" s="11"/>
      <c r="F303" s="11"/>
      <c r="G303" s="11"/>
      <c r="H303" s="21"/>
      <c r="I303" s="11"/>
      <c r="J303" s="11"/>
      <c r="K303" s="11"/>
      <c r="L303" s="11"/>
      <c r="M303" s="11"/>
      <c r="N303" s="18" t="str">
        <f>IF(ISNUMBER(SEARCH("ANALOG",Table24[[#This Row],[Type]]))=TRUE,1,"")</f>
        <v/>
      </c>
      <c r="O303" s="18" t="str">
        <f>IF(ISNUMBER(SEARCH("BINARY",Table24[[#This Row],[Type]]))=TRUE,1,"")</f>
        <v/>
      </c>
      <c r="P303" s="7" t="str">
        <f>IF(Table24[[#This Row],[Type]]="","",LEFT(Table24[[#This Row],[Type]],1)&amp;LEFT(#REF!,1))</f>
        <v/>
      </c>
      <c r="Q303" s="18" t="str">
        <f>IF(Table24[[#This Row],[Type]]="","",LEFT(Table24[[#This Row],[Type]],1)&amp;LEFT(#REF!,1))</f>
        <v/>
      </c>
      <c r="R303" s="18"/>
      <c r="S303" s="7" t="str">
        <f>IF(Table24[[#This Row],[A Counter]]=1,"AI"&amp;#REF!+SUM($N$35:N303),IF(Table24[[#This Row],[B Counter]]=1,"BI"&amp;#REF!+SUM($O$35:O303),""))</f>
        <v/>
      </c>
      <c r="T303" s="26" t="s">
        <v>34</v>
      </c>
      <c r="U303" s="7"/>
    </row>
    <row r="304" spans="1:21" x14ac:dyDescent="0.25">
      <c r="A304">
        <f t="shared" si="9"/>
        <v>295</v>
      </c>
      <c r="B304" s="93" t="str">
        <f>IFERROR(RIGHT(Table24[[#This Row],[Controller Input '#]],3)*1,"")</f>
        <v/>
      </c>
      <c r="C304" s="99"/>
      <c r="D304" s="1"/>
      <c r="E304" s="11"/>
      <c r="F304" s="11"/>
      <c r="G304" s="11"/>
      <c r="H304" s="21"/>
      <c r="I304" s="11"/>
      <c r="J304" s="11"/>
      <c r="K304" s="11"/>
      <c r="L304" s="11"/>
      <c r="M304" s="11"/>
      <c r="N304" s="18" t="str">
        <f>IF(ISNUMBER(SEARCH("ANALOG",Table24[[#This Row],[Type]]))=TRUE,1,"")</f>
        <v/>
      </c>
      <c r="O304" s="18" t="str">
        <f>IF(ISNUMBER(SEARCH("BINARY",Table24[[#This Row],[Type]]))=TRUE,1,"")</f>
        <v/>
      </c>
      <c r="P304" s="7" t="str">
        <f>IF(Table24[[#This Row],[Type]]="","",LEFT(Table24[[#This Row],[Type]],1)&amp;LEFT(#REF!,1))</f>
        <v/>
      </c>
      <c r="Q304" s="18" t="str">
        <f>IF(Table24[[#This Row],[Type]]="","",LEFT(Table24[[#This Row],[Type]],1)&amp;LEFT(#REF!,1))</f>
        <v/>
      </c>
      <c r="R304" s="18"/>
      <c r="S304" s="7" t="str">
        <f>IF(Table24[[#This Row],[A Counter]]=1,"AI"&amp;#REF!+SUM($N$35:N304),IF(Table24[[#This Row],[B Counter]]=1,"BI"&amp;#REF!+SUM($O$35:O304),""))</f>
        <v/>
      </c>
      <c r="T304" s="26" t="s">
        <v>34</v>
      </c>
      <c r="U304" s="7"/>
    </row>
    <row r="305" spans="1:21" x14ac:dyDescent="0.25">
      <c r="A305">
        <f t="shared" si="9"/>
        <v>296</v>
      </c>
      <c r="B305" s="93" t="str">
        <f>IFERROR(RIGHT(Table24[[#This Row],[Controller Input '#]],3)*1,"")</f>
        <v/>
      </c>
      <c r="C305" s="99"/>
      <c r="D305" s="1"/>
      <c r="E305" s="11"/>
      <c r="F305" s="11"/>
      <c r="G305" s="11"/>
      <c r="H305" s="21"/>
      <c r="I305" s="11"/>
      <c r="J305" s="11"/>
      <c r="K305" s="11"/>
      <c r="L305" s="11"/>
      <c r="M305" s="11"/>
      <c r="N305" s="18" t="str">
        <f>IF(ISNUMBER(SEARCH("ANALOG",Table24[[#This Row],[Type]]))=TRUE,1,"")</f>
        <v/>
      </c>
      <c r="O305" s="18" t="str">
        <f>IF(ISNUMBER(SEARCH("BINARY",Table24[[#This Row],[Type]]))=TRUE,1,"")</f>
        <v/>
      </c>
      <c r="P305" s="7" t="str">
        <f>IF(Table24[[#This Row],[Type]]="","",LEFT(Table24[[#This Row],[Type]],1)&amp;LEFT(#REF!,1))</f>
        <v/>
      </c>
      <c r="Q305" s="18" t="str">
        <f>IF(Table24[[#This Row],[Type]]="","",LEFT(Table24[[#This Row],[Type]],1)&amp;LEFT(#REF!,1))</f>
        <v/>
      </c>
      <c r="R305" s="18"/>
      <c r="S305" s="7" t="str">
        <f>IF(Table24[[#This Row],[A Counter]]=1,"AI"&amp;#REF!+SUM($N$35:N305),IF(Table24[[#This Row],[B Counter]]=1,"BI"&amp;#REF!+SUM($O$35:O305),""))</f>
        <v/>
      </c>
      <c r="T305" s="26" t="s">
        <v>34</v>
      </c>
      <c r="U305" s="7"/>
    </row>
    <row r="306" spans="1:21" x14ac:dyDescent="0.25">
      <c r="A306">
        <f t="shared" si="9"/>
        <v>297</v>
      </c>
      <c r="B306" s="93" t="str">
        <f>IFERROR(RIGHT(Table24[[#This Row],[Controller Input '#]],3)*1,"")</f>
        <v/>
      </c>
      <c r="C306" s="99"/>
      <c r="D306" s="1"/>
      <c r="E306" s="23"/>
      <c r="F306" s="23"/>
      <c r="G306" s="23"/>
      <c r="H306" s="27"/>
      <c r="I306" s="23"/>
      <c r="J306" s="23"/>
      <c r="K306" s="23"/>
      <c r="L306" s="23"/>
      <c r="M306" s="23"/>
      <c r="N306" s="18" t="str">
        <f>IF(ISNUMBER(SEARCH("ANALOG",Table24[[#This Row],[Type]]))=TRUE,1,"")</f>
        <v/>
      </c>
      <c r="O306" s="18" t="str">
        <f>IF(ISNUMBER(SEARCH("BINARY",Table24[[#This Row],[Type]]))=TRUE,1,"")</f>
        <v/>
      </c>
      <c r="P306" s="7" t="str">
        <f>IF(Table24[[#This Row],[Type]]="","",LEFT(Table24[[#This Row],[Type]],1)&amp;LEFT(#REF!,1))</f>
        <v/>
      </c>
      <c r="Q306" s="18" t="str">
        <f>IF(Table24[[#This Row],[Type]]="","",LEFT(Table24[[#This Row],[Type]],1)&amp;LEFT(#REF!,1))</f>
        <v/>
      </c>
      <c r="R306" s="18"/>
      <c r="S306" s="7" t="str">
        <f>IF(Table24[[#This Row],[A Counter]]=1,"AI"&amp;#REF!+SUM($N$35:N306),IF(Table24[[#This Row],[B Counter]]=1,"BI"&amp;#REF!+SUM($O$35:O306),""))</f>
        <v/>
      </c>
      <c r="T306" s="28" t="s">
        <v>34</v>
      </c>
      <c r="U306" s="7"/>
    </row>
    <row r="307" spans="1:21" x14ac:dyDescent="0.25">
      <c r="A307">
        <f t="shared" si="9"/>
        <v>298</v>
      </c>
      <c r="B307" s="93" t="str">
        <f>IFERROR(RIGHT(Table24[[#This Row],[Controller Input '#]],3)*1,"")</f>
        <v/>
      </c>
      <c r="C307" s="99"/>
      <c r="D307" s="1"/>
      <c r="E307" s="11"/>
      <c r="F307" s="11"/>
      <c r="G307" s="11"/>
      <c r="H307" s="21"/>
      <c r="I307" s="11"/>
      <c r="J307" s="11"/>
      <c r="K307" s="11"/>
      <c r="L307" s="11"/>
      <c r="M307" s="11"/>
      <c r="N307" s="18" t="str">
        <f>IF(ISNUMBER(SEARCH("ANALOG",Table24[[#This Row],[Type]]))=TRUE,1,"")</f>
        <v/>
      </c>
      <c r="O307" s="18" t="str">
        <f>IF(ISNUMBER(SEARCH("BINARY",Table24[[#This Row],[Type]]))=TRUE,1,"")</f>
        <v/>
      </c>
      <c r="P307" s="7" t="str">
        <f>IF(Table24[[#This Row],[Type]]="","",LEFT(Table24[[#This Row],[Type]],1)&amp;LEFT(#REF!,1))</f>
        <v/>
      </c>
      <c r="Q307" s="18" t="str">
        <f>IF(Table24[[#This Row],[Type]]="","",LEFT(Table24[[#This Row],[Type]],1)&amp;LEFT(#REF!,1))</f>
        <v/>
      </c>
      <c r="R307" s="18"/>
      <c r="S307" s="7" t="str">
        <f>IF(Table24[[#This Row],[A Counter]]=1,"AI"&amp;#REF!+SUM($N$35:N307),IF(Table24[[#This Row],[B Counter]]=1,"BI"&amp;#REF!+SUM($O$35:O307),""))</f>
        <v/>
      </c>
      <c r="T307" s="26" t="s">
        <v>34</v>
      </c>
      <c r="U307" s="7"/>
    </row>
    <row r="308" spans="1:21" x14ac:dyDescent="0.25">
      <c r="A308">
        <f t="shared" si="9"/>
        <v>299</v>
      </c>
      <c r="B308" s="93" t="str">
        <f>IFERROR(RIGHT(Table24[[#This Row],[Controller Input '#]],3)*1,"")</f>
        <v/>
      </c>
      <c r="C308" s="99"/>
      <c r="D308" s="1"/>
      <c r="E308" s="11"/>
      <c r="F308" s="11"/>
      <c r="G308" s="11"/>
      <c r="H308" s="21"/>
      <c r="I308" s="11"/>
      <c r="J308" s="11"/>
      <c r="K308" s="11"/>
      <c r="L308" s="11"/>
      <c r="M308" s="11"/>
      <c r="N308" s="18" t="str">
        <f>IF(ISNUMBER(SEARCH("ANALOG",Table24[[#This Row],[Type]]))=TRUE,1,"")</f>
        <v/>
      </c>
      <c r="O308" s="18" t="str">
        <f>IF(ISNUMBER(SEARCH("BINARY",Table24[[#This Row],[Type]]))=TRUE,1,"")</f>
        <v/>
      </c>
      <c r="P308" s="7" t="str">
        <f>IF(Table24[[#This Row],[Type]]="","",LEFT(Table24[[#This Row],[Type]],1)&amp;LEFT(#REF!,1))</f>
        <v/>
      </c>
      <c r="Q308" s="18" t="str">
        <f>IF(Table24[[#This Row],[Type]]="","",LEFT(Table24[[#This Row],[Type]],1)&amp;LEFT(#REF!,1))</f>
        <v/>
      </c>
      <c r="R308" s="18"/>
      <c r="S308" s="7" t="str">
        <f>IF(Table24[[#This Row],[A Counter]]=1,"AI"&amp;#REF!+SUM($N$35:N308),IF(Table24[[#This Row],[B Counter]]=1,"BI"&amp;#REF!+SUM($O$35:O308),""))</f>
        <v/>
      </c>
      <c r="T308" s="26" t="s">
        <v>34</v>
      </c>
      <c r="U308" s="7"/>
    </row>
    <row r="309" spans="1:21" x14ac:dyDescent="0.25">
      <c r="A309">
        <f t="shared" si="9"/>
        <v>300</v>
      </c>
      <c r="B309" s="93" t="str">
        <f>IFERROR(RIGHT(Table24[[#This Row],[Controller Input '#]],3)*1,"")</f>
        <v/>
      </c>
      <c r="C309" s="99"/>
      <c r="D309" s="1"/>
      <c r="E309" s="11"/>
      <c r="F309" s="11"/>
      <c r="G309" s="11"/>
      <c r="H309" s="21"/>
      <c r="I309" s="11"/>
      <c r="J309" s="11"/>
      <c r="K309" s="11"/>
      <c r="L309" s="11"/>
      <c r="M309" s="11"/>
      <c r="N309" s="18" t="str">
        <f>IF(ISNUMBER(SEARCH("ANALOG",Table24[[#This Row],[Type]]))=TRUE,1,"")</f>
        <v/>
      </c>
      <c r="O309" s="18" t="str">
        <f>IF(ISNUMBER(SEARCH("BINARY",Table24[[#This Row],[Type]]))=TRUE,1,"")</f>
        <v/>
      </c>
      <c r="P309" s="7" t="str">
        <f>IF(Table24[[#This Row],[Type]]="","",LEFT(Table24[[#This Row],[Type]],1)&amp;LEFT(#REF!,1))</f>
        <v/>
      </c>
      <c r="Q309" s="18" t="str">
        <f>IF(Table24[[#This Row],[Type]]="","",LEFT(Table24[[#This Row],[Type]],1)&amp;LEFT(#REF!,1))</f>
        <v/>
      </c>
      <c r="R309" s="18"/>
      <c r="S309" s="7" t="str">
        <f>IF(Table24[[#This Row],[A Counter]]=1,"AI"&amp;#REF!+SUM($N$35:N309),IF(Table24[[#This Row],[B Counter]]=1,"BI"&amp;#REF!+SUM($O$35:O309),""))</f>
        <v/>
      </c>
      <c r="T309" s="26" t="s">
        <v>34</v>
      </c>
      <c r="U309" s="7"/>
    </row>
    <row r="310" spans="1:21" x14ac:dyDescent="0.25">
      <c r="A310">
        <f t="shared" si="9"/>
        <v>301</v>
      </c>
      <c r="B310" s="93" t="str">
        <f>IFERROR(RIGHT(Table24[[#This Row],[Controller Input '#]],3)*1,"")</f>
        <v/>
      </c>
      <c r="C310" s="99"/>
      <c r="D310" s="1"/>
      <c r="E310" s="11"/>
      <c r="F310" s="11"/>
      <c r="G310" s="11"/>
      <c r="H310" s="21"/>
      <c r="I310" s="11"/>
      <c r="J310" s="11"/>
      <c r="K310" s="11"/>
      <c r="L310" s="11"/>
      <c r="M310" s="11"/>
      <c r="N310" s="18" t="str">
        <f>IF(ISNUMBER(SEARCH("ANALOG",Table24[[#This Row],[Type]]))=TRUE,1,"")</f>
        <v/>
      </c>
      <c r="O310" s="18" t="str">
        <f>IF(ISNUMBER(SEARCH("BINARY",Table24[[#This Row],[Type]]))=TRUE,1,"")</f>
        <v/>
      </c>
      <c r="P310" s="7" t="str">
        <f>IF(Table24[[#This Row],[Type]]="","",LEFT(Table24[[#This Row],[Type]],1)&amp;LEFT(#REF!,1))</f>
        <v/>
      </c>
      <c r="Q310" s="18" t="str">
        <f>IF(Table24[[#This Row],[Type]]="","",LEFT(Table24[[#This Row],[Type]],1)&amp;LEFT(#REF!,1))</f>
        <v/>
      </c>
      <c r="R310" s="18"/>
      <c r="S310" s="7" t="str">
        <f>IF(Table24[[#This Row],[A Counter]]=1,"AI"&amp;#REF!+SUM($N$35:N310),IF(Table24[[#This Row],[B Counter]]=1,"BI"&amp;#REF!+SUM($O$35:O310),""))</f>
        <v/>
      </c>
      <c r="T310" s="26" t="s">
        <v>34</v>
      </c>
      <c r="U310" s="7"/>
    </row>
    <row r="311" spans="1:21" x14ac:dyDescent="0.25">
      <c r="A311">
        <f t="shared" si="9"/>
        <v>302</v>
      </c>
      <c r="B311" s="93" t="str">
        <f>IFERROR(RIGHT(Table24[[#This Row],[Controller Input '#]],3)*1,"")</f>
        <v/>
      </c>
      <c r="C311" s="99"/>
      <c r="D311" s="1"/>
      <c r="E311" s="23"/>
      <c r="F311" s="23"/>
      <c r="G311" s="23"/>
      <c r="H311" s="27"/>
      <c r="I311" s="23"/>
      <c r="J311" s="23"/>
      <c r="K311" s="23"/>
      <c r="L311" s="23"/>
      <c r="M311" s="23"/>
      <c r="N311" s="18" t="str">
        <f>IF(ISNUMBER(SEARCH("ANALOG",Table24[[#This Row],[Type]]))=TRUE,1,"")</f>
        <v/>
      </c>
      <c r="O311" s="18" t="str">
        <f>IF(ISNUMBER(SEARCH("BINARY",Table24[[#This Row],[Type]]))=TRUE,1,"")</f>
        <v/>
      </c>
      <c r="P311" s="7" t="str">
        <f>IF(Table24[[#This Row],[Type]]="","",LEFT(Table24[[#This Row],[Type]],1)&amp;LEFT(#REF!,1))</f>
        <v/>
      </c>
      <c r="Q311" s="18" t="str">
        <f>IF(Table24[[#This Row],[Type]]="","",LEFT(Table24[[#This Row],[Type]],1)&amp;LEFT(#REF!,1))</f>
        <v/>
      </c>
      <c r="R311" s="18"/>
      <c r="S311" s="7" t="str">
        <f>IF(Table24[[#This Row],[A Counter]]=1,"AI"&amp;#REF!+SUM($N$35:N311),IF(Table24[[#This Row],[B Counter]]=1,"BI"&amp;#REF!+SUM($O$35:O311),""))</f>
        <v/>
      </c>
      <c r="T311" s="28" t="s">
        <v>34</v>
      </c>
      <c r="U311" s="7"/>
    </row>
    <row r="312" spans="1:21" x14ac:dyDescent="0.25">
      <c r="A312">
        <f t="shared" si="9"/>
        <v>303</v>
      </c>
      <c r="B312" s="93" t="str">
        <f>IFERROR(RIGHT(Table24[[#This Row],[Controller Input '#]],3)*1,"")</f>
        <v/>
      </c>
      <c r="C312" s="99"/>
      <c r="D312" s="1"/>
      <c r="E312" s="11"/>
      <c r="F312" s="11"/>
      <c r="G312" s="11"/>
      <c r="H312" s="21"/>
      <c r="I312" s="11"/>
      <c r="J312" s="11"/>
      <c r="K312" s="11"/>
      <c r="L312" s="11"/>
      <c r="M312" s="11"/>
      <c r="N312" s="18" t="str">
        <f>IF(ISNUMBER(SEARCH("ANALOG",Table24[[#This Row],[Type]]))=TRUE,1,"")</f>
        <v/>
      </c>
      <c r="O312" s="18" t="str">
        <f>IF(ISNUMBER(SEARCH("BINARY",Table24[[#This Row],[Type]]))=TRUE,1,"")</f>
        <v/>
      </c>
      <c r="P312" s="7" t="str">
        <f>IF(Table24[[#This Row],[Type]]="","",LEFT(Table24[[#This Row],[Type]],1)&amp;LEFT(#REF!,1))</f>
        <v/>
      </c>
      <c r="Q312" s="18" t="str">
        <f>IF(Table24[[#This Row],[Type]]="","",LEFT(Table24[[#This Row],[Type]],1)&amp;LEFT(#REF!,1))</f>
        <v/>
      </c>
      <c r="R312" s="18"/>
      <c r="S312" s="7" t="str">
        <f>IF(Table24[[#This Row],[A Counter]]=1,"AI"&amp;#REF!+SUM($N$35:N312),IF(Table24[[#This Row],[B Counter]]=1,"BI"&amp;#REF!+SUM($O$35:O312),""))</f>
        <v/>
      </c>
      <c r="T312" s="26" t="s">
        <v>34</v>
      </c>
      <c r="U312" s="7"/>
    </row>
    <row r="313" spans="1:21" x14ac:dyDescent="0.25">
      <c r="A313">
        <f t="shared" si="9"/>
        <v>304</v>
      </c>
      <c r="B313" s="93" t="str">
        <f>IFERROR(RIGHT(Table24[[#This Row],[Controller Input '#]],3)*1,"")</f>
        <v/>
      </c>
      <c r="C313" s="99"/>
      <c r="D313" s="1"/>
      <c r="E313" s="1"/>
      <c r="F313" s="1"/>
      <c r="G313" s="1"/>
      <c r="H313" s="8"/>
      <c r="I313" s="1"/>
      <c r="J313" s="1"/>
      <c r="K313" s="1"/>
      <c r="L313" s="1"/>
      <c r="M313" s="1"/>
      <c r="N313" s="18" t="str">
        <f>IF(ISNUMBER(SEARCH("ANALOG",Table24[[#This Row],[Type]]))=TRUE,1,"")</f>
        <v/>
      </c>
      <c r="O313" s="18" t="str">
        <f>IF(ISNUMBER(SEARCH("BINARY",Table24[[#This Row],[Type]]))=TRUE,1,"")</f>
        <v/>
      </c>
      <c r="P313" s="7" t="str">
        <f>IF(Table24[[#This Row],[Type]]="","",LEFT(Table24[[#This Row],[Type]],1)&amp;LEFT(#REF!,1))</f>
        <v/>
      </c>
      <c r="Q313" s="18" t="str">
        <f>IF(Table24[[#This Row],[Type]]="","",LEFT(Table24[[#This Row],[Type]],1)&amp;LEFT(#REF!,1))</f>
        <v/>
      </c>
      <c r="R313" s="18"/>
      <c r="S313" s="7" t="str">
        <f>IF(Table24[[#This Row],[A Counter]]=1,"AI"&amp;#REF!+SUM($N$35:N313),IF(Table24[[#This Row],[B Counter]]=1,"BI"&amp;#REF!+SUM($O$35:O313),""))</f>
        <v/>
      </c>
      <c r="T313" s="18" t="s">
        <v>34</v>
      </c>
      <c r="U313" s="7"/>
    </row>
    <row r="314" spans="1:21" x14ac:dyDescent="0.25">
      <c r="A314">
        <f t="shared" si="9"/>
        <v>305</v>
      </c>
      <c r="B314" s="93" t="str">
        <f>IFERROR(RIGHT(Table24[[#This Row],[Controller Input '#]],3)*1,"")</f>
        <v/>
      </c>
      <c r="C314" s="99"/>
      <c r="D314" s="1"/>
      <c r="E314" s="1"/>
      <c r="F314" s="1"/>
      <c r="G314" s="1"/>
      <c r="H314" s="8"/>
      <c r="I314" s="1"/>
      <c r="J314" s="1"/>
      <c r="K314" s="1"/>
      <c r="L314" s="1"/>
      <c r="M314" s="1"/>
      <c r="N314" s="18" t="str">
        <f>IF(ISNUMBER(SEARCH("ANALOG",Table24[[#This Row],[Type]]))=TRUE,1,"")</f>
        <v/>
      </c>
      <c r="O314" s="18" t="str">
        <f>IF(ISNUMBER(SEARCH("BINARY",Table24[[#This Row],[Type]]))=TRUE,1,"")</f>
        <v/>
      </c>
      <c r="P314" s="7" t="str">
        <f>IF(Table24[[#This Row],[Type]]="","",LEFT(Table24[[#This Row],[Type]],1)&amp;LEFT(#REF!,1))</f>
        <v/>
      </c>
      <c r="Q314" s="18" t="str">
        <f>IF(Table24[[#This Row],[Type]]="","",LEFT(Table24[[#This Row],[Type]],1)&amp;LEFT(#REF!,1))</f>
        <v/>
      </c>
      <c r="R314" s="18"/>
      <c r="S314" s="7" t="str">
        <f>IF(Table24[[#This Row],[A Counter]]=1,"AI"&amp;#REF!+SUM($N$35:N314),IF(Table24[[#This Row],[B Counter]]=1,"BI"&amp;#REF!+SUM($O$35:O314),""))</f>
        <v/>
      </c>
      <c r="T314" s="18" t="s">
        <v>34</v>
      </c>
      <c r="U314" s="7"/>
    </row>
    <row r="315" spans="1:21" x14ac:dyDescent="0.25">
      <c r="A315">
        <f t="shared" si="9"/>
        <v>306</v>
      </c>
      <c r="B315" s="93" t="str">
        <f>IFERROR(RIGHT(Table24[[#This Row],[Controller Input '#]],3)*1,"")</f>
        <v/>
      </c>
      <c r="C315" s="98"/>
      <c r="D315" s="1"/>
      <c r="E315" s="1"/>
      <c r="F315" s="1"/>
      <c r="G315" s="1"/>
      <c r="H315" s="8"/>
      <c r="I315" s="1"/>
      <c r="J315" s="1"/>
      <c r="K315" s="1"/>
      <c r="L315" s="1"/>
      <c r="M315" s="1"/>
      <c r="N315" s="18" t="str">
        <f>IF(ISNUMBER(SEARCH("ANALOG",Table24[[#This Row],[Type]]))=TRUE,1,"")</f>
        <v/>
      </c>
      <c r="O315" s="18" t="str">
        <f>IF(ISNUMBER(SEARCH("BINARY",Table24[[#This Row],[Type]]))=TRUE,1,"")</f>
        <v/>
      </c>
      <c r="P315" s="7" t="str">
        <f>IF(Table24[[#This Row],[Type]]="","",LEFT(Table24[[#This Row],[Type]],1)&amp;LEFT(#REF!,1))</f>
        <v/>
      </c>
      <c r="Q315" s="18" t="str">
        <f>IF(Table24[[#This Row],[Type]]="","",LEFT(Table24[[#This Row],[Type]],1)&amp;LEFT(#REF!,1))</f>
        <v/>
      </c>
      <c r="R315" s="18"/>
      <c r="S315" s="7" t="str">
        <f>IF(Table24[[#This Row],[A Counter]]=1,"AI"&amp;#REF!+SUM($N$35:N315),IF(Table24[[#This Row],[B Counter]]=1,"BI"&amp;#REF!+SUM($O$35:O315),""))</f>
        <v/>
      </c>
      <c r="T315" s="18" t="s">
        <v>34</v>
      </c>
      <c r="U315" s="7"/>
    </row>
    <row r="316" spans="1:21" x14ac:dyDescent="0.25">
      <c r="A316">
        <f t="shared" si="9"/>
        <v>307</v>
      </c>
      <c r="B316" s="93" t="str">
        <f>IFERROR(RIGHT(Table24[[#This Row],[Controller Input '#]],3)*1,"")</f>
        <v/>
      </c>
      <c r="C316" s="98"/>
      <c r="D316" s="1"/>
      <c r="E316" s="1"/>
      <c r="F316" s="1"/>
      <c r="G316" s="11"/>
      <c r="H316" s="21"/>
      <c r="I316" s="1"/>
      <c r="J316" s="1"/>
      <c r="K316" s="1"/>
      <c r="L316" s="1"/>
      <c r="M316" s="1"/>
      <c r="N316" s="18" t="str">
        <f>IF(ISNUMBER(SEARCH("ANALOG",Table24[[#This Row],[Type]]))=TRUE,1,"")</f>
        <v/>
      </c>
      <c r="O316" s="18" t="str">
        <f>IF(ISNUMBER(SEARCH("BINARY",Table24[[#This Row],[Type]]))=TRUE,1,"")</f>
        <v/>
      </c>
      <c r="P316" s="7" t="str">
        <f>IF(Table24[[#This Row],[Type]]="","",LEFT(Table24[[#This Row],[Type]],1)&amp;LEFT(#REF!,1))</f>
        <v/>
      </c>
      <c r="Q316" s="18" t="str">
        <f>IF(Table24[[#This Row],[Type]]="","",LEFT(Table24[[#This Row],[Type]],1)&amp;LEFT(#REF!,1))</f>
        <v/>
      </c>
      <c r="R316" s="18"/>
      <c r="S316" s="7" t="str">
        <f>IF(Table24[[#This Row],[A Counter]]=1,"AI"&amp;#REF!+SUM($N$35:N316),IF(Table24[[#This Row],[B Counter]]=1,"BI"&amp;#REF!+SUM($O$35:O316),""))</f>
        <v/>
      </c>
      <c r="T316" s="18" t="s">
        <v>34</v>
      </c>
      <c r="U316" s="7"/>
    </row>
    <row r="317" spans="1:21" x14ac:dyDescent="0.25">
      <c r="A317">
        <f t="shared" si="9"/>
        <v>308</v>
      </c>
      <c r="B317" s="93" t="str">
        <f>IFERROR(RIGHT(Table24[[#This Row],[Controller Input '#]],3)*1,"")</f>
        <v/>
      </c>
      <c r="C317" s="98"/>
      <c r="D317" s="1"/>
      <c r="E317" s="1"/>
      <c r="F317" s="1"/>
      <c r="G317" s="11"/>
      <c r="H317" s="21"/>
      <c r="I317" s="1"/>
      <c r="J317" s="1"/>
      <c r="K317" s="1"/>
      <c r="L317" s="1"/>
      <c r="M317" s="1"/>
      <c r="N317" s="18" t="str">
        <f>IF(ISNUMBER(SEARCH("ANALOG",Table24[[#This Row],[Type]]))=TRUE,1,"")</f>
        <v/>
      </c>
      <c r="O317" s="18" t="str">
        <f>IF(ISNUMBER(SEARCH("BINARY",Table24[[#This Row],[Type]]))=TRUE,1,"")</f>
        <v/>
      </c>
      <c r="P317" s="7" t="str">
        <f>IF(Table24[[#This Row],[Type]]="","",LEFT(Table24[[#This Row],[Type]],1)&amp;LEFT(#REF!,1))</f>
        <v/>
      </c>
      <c r="Q317" s="18" t="str">
        <f>IF(Table24[[#This Row],[Type]]="","",LEFT(Table24[[#This Row],[Type]],1)&amp;LEFT(#REF!,1))</f>
        <v/>
      </c>
      <c r="R317" s="18"/>
      <c r="S317" s="7" t="str">
        <f>IF(Table24[[#This Row],[A Counter]]=1,"AI"&amp;#REF!+SUM($N$35:N317),IF(Table24[[#This Row],[B Counter]]=1,"BI"&amp;#REF!+SUM($O$35:O317),""))</f>
        <v/>
      </c>
      <c r="T317" s="18" t="s">
        <v>34</v>
      </c>
      <c r="U317" s="7"/>
    </row>
    <row r="318" spans="1:21" x14ac:dyDescent="0.25">
      <c r="A318">
        <f t="shared" si="9"/>
        <v>309</v>
      </c>
      <c r="B318" s="93" t="str">
        <f>IFERROR(RIGHT(Table24[[#This Row],[Controller Input '#]],3)*1,"")</f>
        <v/>
      </c>
      <c r="C318" s="98"/>
      <c r="D318" s="1"/>
      <c r="E318" s="1"/>
      <c r="F318" s="1"/>
      <c r="G318" s="11"/>
      <c r="H318" s="21"/>
      <c r="I318" s="1"/>
      <c r="J318" s="1"/>
      <c r="K318" s="1"/>
      <c r="L318" s="1"/>
      <c r="M318" s="1"/>
      <c r="N318" s="18" t="str">
        <f>IF(ISNUMBER(SEARCH("ANALOG",Table24[[#This Row],[Type]]))=TRUE,1,"")</f>
        <v/>
      </c>
      <c r="O318" s="18" t="str">
        <f>IF(ISNUMBER(SEARCH("BINARY",Table24[[#This Row],[Type]]))=TRUE,1,"")</f>
        <v/>
      </c>
      <c r="P318" s="7" t="str">
        <f>IF(Table24[[#This Row],[Type]]="","",LEFT(Table24[[#This Row],[Type]],1)&amp;LEFT(#REF!,1))</f>
        <v/>
      </c>
      <c r="Q318" s="18" t="str">
        <f>IF(Table24[[#This Row],[Type]]="","",LEFT(Table24[[#This Row],[Type]],1)&amp;LEFT(#REF!,1))</f>
        <v/>
      </c>
      <c r="R318" s="18"/>
      <c r="S318" s="7" t="str">
        <f>IF(Table24[[#This Row],[A Counter]]=1,"AI"&amp;#REF!+SUM($N$35:N318),IF(Table24[[#This Row],[B Counter]]=1,"BI"&amp;#REF!+SUM($O$35:O318),""))</f>
        <v/>
      </c>
      <c r="T318" s="18" t="s">
        <v>34</v>
      </c>
      <c r="U318" s="7"/>
    </row>
    <row r="319" spans="1:21" x14ac:dyDescent="0.25">
      <c r="A319">
        <f t="shared" si="9"/>
        <v>310</v>
      </c>
      <c r="B319" s="93" t="str">
        <f>IFERROR(RIGHT(Table24[[#This Row],[Controller Input '#]],3)*1,"")</f>
        <v/>
      </c>
      <c r="C319" s="98"/>
      <c r="D319" s="1"/>
      <c r="E319" s="1"/>
      <c r="F319" s="1"/>
      <c r="G319" s="11"/>
      <c r="H319" s="21"/>
      <c r="I319" s="1"/>
      <c r="J319" s="1"/>
      <c r="K319" s="1"/>
      <c r="L319" s="1"/>
      <c r="M319" s="1"/>
      <c r="N319" s="18" t="str">
        <f>IF(ISNUMBER(SEARCH("ANALOG",Table24[[#This Row],[Type]]))=TRUE,1,"")</f>
        <v/>
      </c>
      <c r="O319" s="18" t="str">
        <f>IF(ISNUMBER(SEARCH("BINARY",Table24[[#This Row],[Type]]))=TRUE,1,"")</f>
        <v/>
      </c>
      <c r="P319" s="7" t="str">
        <f>IF(Table24[[#This Row],[Type]]="","",LEFT(Table24[[#This Row],[Type]],1)&amp;LEFT(#REF!,1))</f>
        <v/>
      </c>
      <c r="Q319" s="18" t="str">
        <f>IF(Table24[[#This Row],[Type]]="","",LEFT(Table24[[#This Row],[Type]],1)&amp;LEFT(#REF!,1))</f>
        <v/>
      </c>
      <c r="R319" s="18"/>
      <c r="S319" s="7" t="str">
        <f>IF(Table24[[#This Row],[A Counter]]=1,"AI"&amp;#REF!+SUM($N$35:N319),IF(Table24[[#This Row],[B Counter]]=1,"BI"&amp;#REF!+SUM($O$35:O319),""))</f>
        <v/>
      </c>
      <c r="T319" s="18" t="s">
        <v>34</v>
      </c>
      <c r="U319" s="7"/>
    </row>
    <row r="320" spans="1:21" x14ac:dyDescent="0.25">
      <c r="A320">
        <f t="shared" si="9"/>
        <v>311</v>
      </c>
      <c r="B320" s="93" t="str">
        <f>IFERROR(RIGHT(Table24[[#This Row],[Controller Input '#]],3)*1,"")</f>
        <v/>
      </c>
      <c r="C320" s="98"/>
      <c r="D320" s="1"/>
      <c r="E320" s="1"/>
      <c r="F320" s="1"/>
      <c r="G320" s="1"/>
      <c r="H320" s="8"/>
      <c r="I320" s="1"/>
      <c r="J320" s="1"/>
      <c r="K320" s="1"/>
      <c r="L320" s="1"/>
      <c r="M320" s="1"/>
      <c r="N320" s="18" t="str">
        <f>IF(ISNUMBER(SEARCH("ANALOG",Table24[[#This Row],[Type]]))=TRUE,1,"")</f>
        <v/>
      </c>
      <c r="O320" s="18" t="str">
        <f>IF(ISNUMBER(SEARCH("BINARY",Table24[[#This Row],[Type]]))=TRUE,1,"")</f>
        <v/>
      </c>
      <c r="P320" s="7" t="str">
        <f>IF(Table24[[#This Row],[Type]]="","",LEFT(Table24[[#This Row],[Type]],1)&amp;LEFT(#REF!,1))</f>
        <v/>
      </c>
      <c r="Q320" s="18" t="str">
        <f>IF(Table24[[#This Row],[Type]]="","",LEFT(Table24[[#This Row],[Type]],1)&amp;LEFT(#REF!,1))</f>
        <v/>
      </c>
      <c r="R320" s="18"/>
      <c r="S320" s="7" t="str">
        <f>IF(Table24[[#This Row],[A Counter]]=1,"AI"&amp;#REF!+SUM($N$35:N320),IF(Table24[[#This Row],[B Counter]]=1,"BI"&amp;#REF!+SUM($O$35:O320),""))</f>
        <v/>
      </c>
      <c r="T320" s="18" t="s">
        <v>34</v>
      </c>
      <c r="U320" s="7"/>
    </row>
    <row r="321" spans="1:21" x14ac:dyDescent="0.25">
      <c r="A321">
        <f t="shared" si="9"/>
        <v>312</v>
      </c>
      <c r="B321" s="93" t="str">
        <f>IFERROR(RIGHT(Table24[[#This Row],[Controller Input '#]],3)*1,"")</f>
        <v/>
      </c>
      <c r="C321" s="99"/>
      <c r="D321" s="1"/>
      <c r="E321" s="1"/>
      <c r="F321" s="1"/>
      <c r="G321" s="1"/>
      <c r="H321" s="8"/>
      <c r="I321" s="1"/>
      <c r="J321" s="1"/>
      <c r="K321" s="1"/>
      <c r="L321" s="1"/>
      <c r="M321" s="1"/>
      <c r="N321" s="18" t="str">
        <f>IF(ISNUMBER(SEARCH("ANALOG",Table24[[#This Row],[Type]]))=TRUE,1,"")</f>
        <v/>
      </c>
      <c r="O321" s="18" t="str">
        <f>IF(ISNUMBER(SEARCH("BINARY",Table24[[#This Row],[Type]]))=TRUE,1,"")</f>
        <v/>
      </c>
      <c r="P321" s="7" t="str">
        <f>IF(Table24[[#This Row],[Type]]="","",LEFT(Table24[[#This Row],[Type]],1)&amp;LEFT(#REF!,1))</f>
        <v/>
      </c>
      <c r="Q321" s="18" t="str">
        <f>IF(Table24[[#This Row],[Type]]="","",LEFT(Table24[[#This Row],[Type]],1)&amp;LEFT(#REF!,1))</f>
        <v/>
      </c>
      <c r="R321" s="18"/>
      <c r="S321" s="7" t="str">
        <f>IF(Table24[[#This Row],[A Counter]]=1,"AI"&amp;#REF!+SUM($N$35:N321),IF(Table24[[#This Row],[B Counter]]=1,"BI"&amp;#REF!+SUM($O$35:O321),""))</f>
        <v/>
      </c>
      <c r="T321" s="18" t="s">
        <v>34</v>
      </c>
      <c r="U321" s="7"/>
    </row>
    <row r="322" spans="1:21" x14ac:dyDescent="0.25">
      <c r="A322">
        <f t="shared" si="9"/>
        <v>313</v>
      </c>
      <c r="B322" s="93" t="str">
        <f>IFERROR(RIGHT(Table24[[#This Row],[Controller Input '#]],3)*1,"")</f>
        <v/>
      </c>
      <c r="C322" s="99"/>
      <c r="D322" s="1"/>
      <c r="E322" s="1"/>
      <c r="F322" s="1"/>
      <c r="G322" s="1"/>
      <c r="H322" s="8"/>
      <c r="I322" s="1"/>
      <c r="J322" s="1"/>
      <c r="K322" s="1"/>
      <c r="L322" s="1"/>
      <c r="M322" s="1"/>
      <c r="N322" s="18" t="str">
        <f>IF(ISNUMBER(SEARCH("ANALOG",Table24[[#This Row],[Type]]))=TRUE,1,"")</f>
        <v/>
      </c>
      <c r="O322" s="18" t="str">
        <f>IF(ISNUMBER(SEARCH("BINARY",Table24[[#This Row],[Type]]))=TRUE,1,"")</f>
        <v/>
      </c>
      <c r="P322" s="7" t="str">
        <f>IF(Table24[[#This Row],[Type]]="","",LEFT(Table24[[#This Row],[Type]],1)&amp;LEFT(#REF!,1))</f>
        <v/>
      </c>
      <c r="Q322" s="18" t="str">
        <f>IF(Table24[[#This Row],[Type]]="","",LEFT(Table24[[#This Row],[Type]],1)&amp;LEFT(#REF!,1))</f>
        <v/>
      </c>
      <c r="R322" s="18"/>
      <c r="S322" s="7" t="str">
        <f>IF(Table24[[#This Row],[A Counter]]=1,"AI"&amp;#REF!+SUM($N$35:N322),IF(Table24[[#This Row],[B Counter]]=1,"BI"&amp;#REF!+SUM($O$35:O322),""))</f>
        <v/>
      </c>
      <c r="T322" s="18" t="s">
        <v>34</v>
      </c>
      <c r="U322" s="7"/>
    </row>
    <row r="323" spans="1:21" x14ac:dyDescent="0.25">
      <c r="A323">
        <f t="shared" si="9"/>
        <v>314</v>
      </c>
      <c r="B323" s="93" t="str">
        <f>IFERROR(RIGHT(Table24[[#This Row],[Controller Input '#]],3)*1,"")</f>
        <v/>
      </c>
      <c r="C323" s="98"/>
      <c r="D323" s="1"/>
      <c r="E323" s="11"/>
      <c r="F323" s="11"/>
      <c r="G323" s="11"/>
      <c r="H323" s="21"/>
      <c r="I323" s="11"/>
      <c r="J323" s="11"/>
      <c r="K323" s="11"/>
      <c r="L323" s="11"/>
      <c r="M323" s="1"/>
      <c r="N323" s="18" t="str">
        <f>IF(ISNUMBER(SEARCH("ANALOG",Table24[[#This Row],[Type]]))=TRUE,1,"")</f>
        <v/>
      </c>
      <c r="O323" s="18" t="str">
        <f>IF(ISNUMBER(SEARCH("BINARY",Table24[[#This Row],[Type]]))=TRUE,1,"")</f>
        <v/>
      </c>
      <c r="P323" s="7" t="str">
        <f>IF(Table24[[#This Row],[Type]]="","",LEFT(Table24[[#This Row],[Type]],1)&amp;LEFT(#REF!,1))</f>
        <v/>
      </c>
      <c r="Q323" s="18" t="str">
        <f>IF(Table24[[#This Row],[Type]]="","",LEFT(Table24[[#This Row],[Type]],1)&amp;LEFT(#REF!,1))</f>
        <v/>
      </c>
      <c r="R323" s="18"/>
      <c r="S323" s="7" t="str">
        <f>IF(Table24[[#This Row],[A Counter]]=1,"AI"&amp;#REF!+SUM($N$35:N323),IF(Table24[[#This Row],[B Counter]]=1,"BI"&amp;#REF!+SUM($O$35:O323),""))</f>
        <v/>
      </c>
      <c r="T323" s="18" t="s">
        <v>34</v>
      </c>
      <c r="U323" s="7"/>
    </row>
    <row r="324" spans="1:21" x14ac:dyDescent="0.25">
      <c r="A324">
        <f t="shared" si="9"/>
        <v>315</v>
      </c>
      <c r="B324" s="93" t="str">
        <f>IFERROR(RIGHT(Table24[[#This Row],[Controller Input '#]],3)*1,"")</f>
        <v/>
      </c>
      <c r="C324" s="98"/>
      <c r="D324" s="1"/>
      <c r="E324" s="11"/>
      <c r="F324" s="11"/>
      <c r="G324" s="11"/>
      <c r="H324" s="21"/>
      <c r="I324" s="11"/>
      <c r="J324" s="11"/>
      <c r="K324" s="11"/>
      <c r="L324" s="11"/>
      <c r="M324" s="1"/>
      <c r="N324" s="18" t="str">
        <f>IF(ISNUMBER(SEARCH("ANALOG",Table24[[#This Row],[Type]]))=TRUE,1,"")</f>
        <v/>
      </c>
      <c r="O324" s="18" t="str">
        <f>IF(ISNUMBER(SEARCH("BINARY",Table24[[#This Row],[Type]]))=TRUE,1,"")</f>
        <v/>
      </c>
      <c r="P324" s="7" t="str">
        <f>IF(Table24[[#This Row],[Type]]="","",LEFT(Table24[[#This Row],[Type]],1)&amp;LEFT(#REF!,1))</f>
        <v/>
      </c>
      <c r="Q324" s="18" t="str">
        <f>IF(Table24[[#This Row],[Type]]="","",LEFT(Table24[[#This Row],[Type]],1)&amp;LEFT(#REF!,1))</f>
        <v/>
      </c>
      <c r="R324" s="18"/>
      <c r="S324" s="7" t="str">
        <f>IF(Table24[[#This Row],[A Counter]]=1,"AI"&amp;#REF!+SUM($N$35:N324),IF(Table24[[#This Row],[B Counter]]=1,"BI"&amp;#REF!+SUM($O$35:O324),""))</f>
        <v/>
      </c>
      <c r="T324" s="18" t="s">
        <v>34</v>
      </c>
      <c r="U324" s="7"/>
    </row>
    <row r="325" spans="1:21" x14ac:dyDescent="0.25">
      <c r="A325">
        <f t="shared" si="9"/>
        <v>316</v>
      </c>
      <c r="B325" s="93" t="str">
        <f>IFERROR(RIGHT(Table24[[#This Row],[Controller Input '#]],3)*1,"")</f>
        <v/>
      </c>
      <c r="C325" s="99"/>
      <c r="D325" s="1"/>
      <c r="E325" s="11"/>
      <c r="F325" s="11"/>
      <c r="G325" s="11"/>
      <c r="H325" s="21"/>
      <c r="I325" s="11"/>
      <c r="J325" s="11"/>
      <c r="K325" s="11"/>
      <c r="L325" s="11"/>
      <c r="M325" s="1"/>
      <c r="N325" s="18" t="str">
        <f>IF(ISNUMBER(SEARCH("ANALOG",Table24[[#This Row],[Type]]))=TRUE,1,"")</f>
        <v/>
      </c>
      <c r="O325" s="18" t="str">
        <f>IF(ISNUMBER(SEARCH("BINARY",Table24[[#This Row],[Type]]))=TRUE,1,"")</f>
        <v/>
      </c>
      <c r="P325" s="7" t="str">
        <f>IF(Table24[[#This Row],[Type]]="","",LEFT(Table24[[#This Row],[Type]],1)&amp;LEFT(#REF!,1))</f>
        <v/>
      </c>
      <c r="Q325" s="18" t="str">
        <f>IF(Table24[[#This Row],[Type]]="","",LEFT(Table24[[#This Row],[Type]],1)&amp;LEFT(#REF!,1))</f>
        <v/>
      </c>
      <c r="R325" s="18"/>
      <c r="S325" s="7" t="str">
        <f>IF(Table24[[#This Row],[A Counter]]=1,"AI"&amp;#REF!+SUM($N$35:N325),IF(Table24[[#This Row],[B Counter]]=1,"BI"&amp;#REF!+SUM($O$35:O325),""))</f>
        <v/>
      </c>
      <c r="T325" s="18" t="s">
        <v>34</v>
      </c>
      <c r="U325" s="7"/>
    </row>
    <row r="326" spans="1:21" x14ac:dyDescent="0.25">
      <c r="A326">
        <f t="shared" si="9"/>
        <v>317</v>
      </c>
      <c r="B326" s="93" t="str">
        <f>IFERROR(RIGHT(Table24[[#This Row],[Controller Input '#]],3)*1,"")</f>
        <v/>
      </c>
      <c r="C326" s="99"/>
      <c r="D326" s="1"/>
      <c r="E326" s="11"/>
      <c r="F326" s="11"/>
      <c r="G326" s="11"/>
      <c r="H326" s="21"/>
      <c r="I326" s="11"/>
      <c r="J326" s="11"/>
      <c r="K326" s="11"/>
      <c r="L326" s="11"/>
      <c r="M326" s="1" t="s">
        <v>142</v>
      </c>
      <c r="N326" s="18" t="str">
        <f>IF(ISNUMBER(SEARCH("ANALOG",Table24[[#This Row],[Type]]))=TRUE,1,"")</f>
        <v/>
      </c>
      <c r="O326" s="18" t="str">
        <f>IF(ISNUMBER(SEARCH("BINARY",Table24[[#This Row],[Type]]))=TRUE,1,"")</f>
        <v/>
      </c>
      <c r="P326" s="7" t="str">
        <f>IF(Table24[[#This Row],[Type]]="","",LEFT(Table24[[#This Row],[Type]],1)&amp;LEFT(#REF!,1))</f>
        <v/>
      </c>
      <c r="Q326" s="18" t="str">
        <f>IF(Table24[[#This Row],[Type]]="","",LEFT(Table24[[#This Row],[Type]],1)&amp;LEFT(#REF!,1))</f>
        <v/>
      </c>
      <c r="R326" s="18"/>
      <c r="S326" s="7" t="str">
        <f>IF(Table24[[#This Row],[A Counter]]=1,"AI"&amp;#REF!+SUM($N$35:N326),IF(Table24[[#This Row],[B Counter]]=1,"BI"&amp;#REF!+SUM($O$35:O326),""))</f>
        <v/>
      </c>
      <c r="T326" s="18" t="s">
        <v>34</v>
      </c>
      <c r="U326" s="7"/>
    </row>
    <row r="327" spans="1:21" x14ac:dyDescent="0.25">
      <c r="A327">
        <f t="shared" si="9"/>
        <v>318</v>
      </c>
      <c r="B327" s="93" t="str">
        <f>IFERROR(RIGHT(Table24[[#This Row],[Controller Input '#]],3)*1,"")</f>
        <v/>
      </c>
      <c r="C327" s="99"/>
      <c r="D327" s="1"/>
      <c r="E327" s="11"/>
      <c r="F327" s="11"/>
      <c r="G327" s="11"/>
      <c r="H327" s="21"/>
      <c r="I327" s="11"/>
      <c r="J327" s="11"/>
      <c r="K327" s="11"/>
      <c r="L327" s="11"/>
      <c r="M327" s="1" t="s">
        <v>142</v>
      </c>
      <c r="N327" s="18" t="str">
        <f>IF(ISNUMBER(SEARCH("ANALOG",Table24[[#This Row],[Type]]))=TRUE,1,"")</f>
        <v/>
      </c>
      <c r="O327" s="18" t="str">
        <f>IF(ISNUMBER(SEARCH("BINARY",Table24[[#This Row],[Type]]))=TRUE,1,"")</f>
        <v/>
      </c>
      <c r="P327" s="7" t="str">
        <f>IF(Table24[[#This Row],[Type]]="","",LEFT(Table24[[#This Row],[Type]],1)&amp;LEFT(#REF!,1))</f>
        <v/>
      </c>
      <c r="Q327" s="18" t="str">
        <f>IF(Table24[[#This Row],[Type]]="","",LEFT(Table24[[#This Row],[Type]],1)&amp;LEFT(#REF!,1))</f>
        <v/>
      </c>
      <c r="R327" s="18"/>
      <c r="S327" s="7" t="str">
        <f>IF(Table24[[#This Row],[A Counter]]=1,"AI"&amp;#REF!+SUM($N$35:N327),IF(Table24[[#This Row],[B Counter]]=1,"BI"&amp;#REF!+SUM($O$35:O327),""))</f>
        <v/>
      </c>
      <c r="T327" s="18" t="s">
        <v>34</v>
      </c>
      <c r="U327" s="7"/>
    </row>
    <row r="328" spans="1:21" x14ac:dyDescent="0.25">
      <c r="A328">
        <f t="shared" si="9"/>
        <v>319</v>
      </c>
      <c r="B328" s="93" t="str">
        <f>IFERROR(RIGHT(Table24[[#This Row],[Controller Input '#]],3)*1,"")</f>
        <v/>
      </c>
      <c r="C328" s="99"/>
      <c r="D328" s="1"/>
      <c r="E328" s="11"/>
      <c r="F328" s="11"/>
      <c r="G328" s="11"/>
      <c r="H328" s="21"/>
      <c r="I328" s="11"/>
      <c r="J328" s="11"/>
      <c r="K328" s="11"/>
      <c r="L328" s="11"/>
      <c r="M328" s="1"/>
      <c r="N328" s="18" t="str">
        <f>IF(ISNUMBER(SEARCH("ANALOG",Table24[[#This Row],[Type]]))=TRUE,1,"")</f>
        <v/>
      </c>
      <c r="O328" s="18" t="str">
        <f>IF(ISNUMBER(SEARCH("BINARY",Table24[[#This Row],[Type]]))=TRUE,1,"")</f>
        <v/>
      </c>
      <c r="P328" s="7" t="str">
        <f>IF(Table24[[#This Row],[Type]]="","",LEFT(Table24[[#This Row],[Type]],1)&amp;LEFT(#REF!,1))</f>
        <v/>
      </c>
      <c r="Q328" s="18" t="str">
        <f>IF(Table24[[#This Row],[Type]]="","",LEFT(Table24[[#This Row],[Type]],1)&amp;LEFT(#REF!,1))</f>
        <v/>
      </c>
      <c r="R328" s="18"/>
      <c r="S328" s="7" t="str">
        <f>IF(Table24[[#This Row],[A Counter]]=1,"AI"&amp;#REF!+SUM($N$35:N328),IF(Table24[[#This Row],[B Counter]]=1,"BI"&amp;#REF!+SUM($O$35:O328),""))</f>
        <v/>
      </c>
      <c r="T328" s="18"/>
      <c r="U328" s="7"/>
    </row>
    <row r="329" spans="1:21" x14ac:dyDescent="0.25">
      <c r="A329">
        <f t="shared" si="9"/>
        <v>320</v>
      </c>
      <c r="B329" s="93" t="str">
        <f>IFERROR(RIGHT(Table24[[#This Row],[Controller Input '#]],3)*1,"")</f>
        <v/>
      </c>
      <c r="C329" s="99"/>
      <c r="D329" s="1"/>
      <c r="E329" s="11"/>
      <c r="F329" s="11"/>
      <c r="G329" s="11"/>
      <c r="H329" s="21"/>
      <c r="I329" s="11"/>
      <c r="J329" s="11"/>
      <c r="K329" s="11"/>
      <c r="L329" s="11"/>
      <c r="M329" s="1"/>
      <c r="N329" s="18" t="str">
        <f>IF(ISNUMBER(SEARCH("ANALOG",Table24[[#This Row],[Type]]))=TRUE,1,"")</f>
        <v/>
      </c>
      <c r="O329" s="18" t="str">
        <f>IF(ISNUMBER(SEARCH("BINARY",Table24[[#This Row],[Type]]))=TRUE,1,"")</f>
        <v/>
      </c>
      <c r="P329" s="7" t="str">
        <f>IF(Table24[[#This Row],[Type]]="","",LEFT(Table24[[#This Row],[Type]],1)&amp;LEFT(#REF!,1))</f>
        <v/>
      </c>
      <c r="Q329" s="18" t="str">
        <f>IF(Table24[[#This Row],[Type]]="","",LEFT(Table24[[#This Row],[Type]],1)&amp;LEFT(#REF!,1))</f>
        <v/>
      </c>
      <c r="R329" s="18"/>
      <c r="S329" s="7" t="str">
        <f>IF(Table24[[#This Row],[A Counter]]=1,"AI"&amp;#REF!+SUM($N$35:N329),IF(Table24[[#This Row],[B Counter]]=1,"BI"&amp;#REF!+SUM($O$35:O329),""))</f>
        <v/>
      </c>
      <c r="T329" s="18"/>
      <c r="U329" s="7"/>
    </row>
    <row r="330" spans="1:21" x14ac:dyDescent="0.25">
      <c r="A330">
        <f t="shared" si="9"/>
        <v>321</v>
      </c>
      <c r="B330" s="93" t="str">
        <f>IFERROR(RIGHT(Table24[[#This Row],[Controller Input '#]],3)*1,"")</f>
        <v/>
      </c>
      <c r="C330" s="99"/>
      <c r="D330" s="1"/>
      <c r="E330" s="11"/>
      <c r="F330" s="11"/>
      <c r="G330" s="11"/>
      <c r="H330" s="21"/>
      <c r="I330" s="11"/>
      <c r="J330" s="11"/>
      <c r="K330" s="11"/>
      <c r="L330" s="11"/>
      <c r="M330" s="1"/>
      <c r="N330" s="18" t="str">
        <f>IF(ISNUMBER(SEARCH("ANALOG",Table24[[#This Row],[Type]]))=TRUE,1,"")</f>
        <v/>
      </c>
      <c r="O330" s="18" t="str">
        <f>IF(ISNUMBER(SEARCH("BINARY",Table24[[#This Row],[Type]]))=TRUE,1,"")</f>
        <v/>
      </c>
      <c r="P330" s="7" t="str">
        <f>IF(Table24[[#This Row],[Type]]="","",LEFT(Table24[[#This Row],[Type]],1)&amp;LEFT(#REF!,1))</f>
        <v/>
      </c>
      <c r="Q330" s="18" t="str">
        <f>IF(Table24[[#This Row],[Type]]="","",LEFT(Table24[[#This Row],[Type]],1)&amp;LEFT(#REF!,1))</f>
        <v/>
      </c>
      <c r="R330" s="18"/>
      <c r="S330" s="7" t="str">
        <f>IF(Table24[[#This Row],[A Counter]]=1,"AI"&amp;#REF!+SUM($N$35:N330),IF(Table24[[#This Row],[B Counter]]=1,"BI"&amp;#REF!+SUM($O$35:O330),""))</f>
        <v/>
      </c>
      <c r="T330" s="18"/>
      <c r="U330" s="68"/>
    </row>
    <row r="331" spans="1:21" x14ac:dyDescent="0.25">
      <c r="A331">
        <f t="shared" si="9"/>
        <v>322</v>
      </c>
      <c r="B331" s="93" t="str">
        <f>IFERROR(RIGHT(Table24[[#This Row],[Controller Input '#]],3)*1,"")</f>
        <v/>
      </c>
      <c r="C331" s="99"/>
      <c r="D331" s="1"/>
      <c r="E331" s="11"/>
      <c r="F331" s="11"/>
      <c r="G331" s="11"/>
      <c r="H331" s="21"/>
      <c r="I331" s="11"/>
      <c r="J331" s="11"/>
      <c r="K331" s="11"/>
      <c r="L331" s="11"/>
      <c r="M331" s="1"/>
      <c r="N331" s="18" t="str">
        <f>IF(ISNUMBER(SEARCH("ANALOG",Table24[[#This Row],[Type]]))=TRUE,1,"")</f>
        <v/>
      </c>
      <c r="O331" s="18" t="str">
        <f>IF(ISNUMBER(SEARCH("BINARY",Table24[[#This Row],[Type]]))=TRUE,1,"")</f>
        <v/>
      </c>
      <c r="P331" s="7" t="str">
        <f>IF(Table24[[#This Row],[Type]]="","",LEFT(Table24[[#This Row],[Type]],1)&amp;LEFT(#REF!,1))</f>
        <v/>
      </c>
      <c r="Q331" s="18" t="str">
        <f>IF(Table24[[#This Row],[Type]]="","",LEFT(Table24[[#This Row],[Type]],1)&amp;LEFT(#REF!,1))</f>
        <v/>
      </c>
      <c r="R331" s="18"/>
      <c r="S331" s="7" t="str">
        <f>IF(Table24[[#This Row],[A Counter]]=1,"AI"&amp;#REF!+SUM($N$35:N331),IF(Table24[[#This Row],[B Counter]]=1,"BI"&amp;#REF!+SUM($O$35:O331),""))</f>
        <v/>
      </c>
      <c r="T331" s="18"/>
      <c r="U331" s="68"/>
    </row>
    <row r="332" spans="1:21" x14ac:dyDescent="0.25">
      <c r="A332">
        <f t="shared" si="9"/>
        <v>323</v>
      </c>
      <c r="B332" s="93" t="str">
        <f>IFERROR(RIGHT(Table24[[#This Row],[Controller Input '#]],3)*1,"")</f>
        <v/>
      </c>
      <c r="C332" s="99"/>
      <c r="D332" s="1"/>
      <c r="E332" s="11"/>
      <c r="F332" s="11"/>
      <c r="G332" s="11"/>
      <c r="H332" s="21"/>
      <c r="I332" s="11"/>
      <c r="J332" s="11"/>
      <c r="K332" s="11"/>
      <c r="L332" s="11"/>
      <c r="M332" s="1"/>
      <c r="N332" s="18" t="str">
        <f>IF(ISNUMBER(SEARCH("ANALOG",Table24[[#This Row],[Type]]))=TRUE,1,"")</f>
        <v/>
      </c>
      <c r="O332" s="18" t="str">
        <f>IF(ISNUMBER(SEARCH("BINARY",Table24[[#This Row],[Type]]))=TRUE,1,"")</f>
        <v/>
      </c>
      <c r="P332" s="7" t="str">
        <f>IF(Table24[[#This Row],[Type]]="","",LEFT(Table24[[#This Row],[Type]],1)&amp;LEFT(#REF!,1))</f>
        <v/>
      </c>
      <c r="Q332" s="18" t="str">
        <f>IF(Table24[[#This Row],[Type]]="","",LEFT(Table24[[#This Row],[Type]],1)&amp;LEFT(#REF!,1))</f>
        <v/>
      </c>
      <c r="R332" s="18"/>
      <c r="S332" s="7" t="str">
        <f>IF(Table24[[#This Row],[A Counter]]=1,"AI"&amp;#REF!+SUM($N$35:N332),IF(Table24[[#This Row],[B Counter]]=1,"BI"&amp;#REF!+SUM($O$35:O332),""))</f>
        <v/>
      </c>
      <c r="T332" s="18"/>
      <c r="U332" s="68"/>
    </row>
    <row r="333" spans="1:21" x14ac:dyDescent="0.25">
      <c r="A333">
        <f t="shared" si="9"/>
        <v>324</v>
      </c>
      <c r="B333" s="93" t="str">
        <f>IFERROR(RIGHT(Table24[[#This Row],[Controller Input '#]],3)*1,"")</f>
        <v/>
      </c>
      <c r="C333" s="98"/>
      <c r="D333" s="1"/>
      <c r="E333" s="11"/>
      <c r="F333" s="11"/>
      <c r="G333" s="11"/>
      <c r="H333" s="21"/>
      <c r="I333" s="11"/>
      <c r="J333" s="11"/>
      <c r="K333" s="11"/>
      <c r="L333" s="11"/>
      <c r="M333" s="1"/>
      <c r="N333" s="18" t="str">
        <f>IF(ISNUMBER(SEARCH("ANALOG",Table24[[#This Row],[Type]]))=TRUE,1,"")</f>
        <v/>
      </c>
      <c r="O333" s="18" t="str">
        <f>IF(ISNUMBER(SEARCH("BINARY",Table24[[#This Row],[Type]]))=TRUE,1,"")</f>
        <v/>
      </c>
      <c r="P333" s="7" t="str">
        <f>IF(Table24[[#This Row],[Type]]="","",LEFT(Table24[[#This Row],[Type]],1)&amp;LEFT(#REF!,1))</f>
        <v/>
      </c>
      <c r="Q333" s="18" t="str">
        <f>IF(Table24[[#This Row],[Type]]="","",LEFT(Table24[[#This Row],[Type]],1)&amp;LEFT(#REF!,1))</f>
        <v/>
      </c>
      <c r="R333" s="18"/>
      <c r="S333" s="7" t="str">
        <f>IF(Table24[[#This Row],[A Counter]]=1,"AI"&amp;#REF!+SUM($N$35:N333),IF(Table24[[#This Row],[B Counter]]=1,"BI"&amp;#REF!+SUM($O$35:O333),""))</f>
        <v/>
      </c>
      <c r="T333" s="18"/>
      <c r="U333" s="69"/>
    </row>
    <row r="334" spans="1:21" x14ac:dyDescent="0.25">
      <c r="A334">
        <f t="shared" si="9"/>
        <v>325</v>
      </c>
      <c r="B334" s="93" t="str">
        <f>IFERROR(RIGHT(Table24[[#This Row],[Controller Input '#]],3)*1,"")</f>
        <v/>
      </c>
      <c r="C334" s="99"/>
      <c r="D334" s="1"/>
      <c r="E334" s="11"/>
      <c r="F334" s="11"/>
      <c r="G334" s="11"/>
      <c r="H334" s="21"/>
      <c r="I334" s="11"/>
      <c r="J334" s="11"/>
      <c r="K334" s="11"/>
      <c r="L334" s="11"/>
      <c r="M334" s="1"/>
      <c r="N334" s="18" t="str">
        <f>IF(ISNUMBER(SEARCH("ANALOG",Table24[[#This Row],[Type]]))=TRUE,1,"")</f>
        <v/>
      </c>
      <c r="O334" s="18" t="str">
        <f>IF(ISNUMBER(SEARCH("BINARY",Table24[[#This Row],[Type]]))=TRUE,1,"")</f>
        <v/>
      </c>
      <c r="P334" s="7" t="str">
        <f>IF(Table24[[#This Row],[Type]]="","",LEFT(Table24[[#This Row],[Type]],1)&amp;LEFT(#REF!,1))</f>
        <v/>
      </c>
      <c r="Q334" s="18" t="str">
        <f>IF(Table24[[#This Row],[Type]]="","",LEFT(Table24[[#This Row],[Type]],1)&amp;LEFT(#REF!,1))</f>
        <v/>
      </c>
      <c r="R334" s="18"/>
      <c r="S334" s="7" t="str">
        <f>IF(Table24[[#This Row],[A Counter]]=1,"AI"&amp;#REF!+SUM($N$35:N334),IF(Table24[[#This Row],[B Counter]]=1,"BI"&amp;#REF!+SUM($O$35:O334),""))</f>
        <v/>
      </c>
      <c r="T334" s="18"/>
      <c r="U334" s="68"/>
    </row>
    <row r="335" spans="1:21" x14ac:dyDescent="0.25">
      <c r="A335">
        <f t="shared" si="9"/>
        <v>326</v>
      </c>
      <c r="B335" s="93" t="str">
        <f>IFERROR(RIGHT(Table24[[#This Row],[Controller Input '#]],3)*1,"")</f>
        <v/>
      </c>
      <c r="C335" s="99"/>
      <c r="D335" s="1"/>
      <c r="E335" s="11"/>
      <c r="F335" s="11"/>
      <c r="G335" s="11"/>
      <c r="H335" s="21"/>
      <c r="I335" s="11"/>
      <c r="J335" s="11"/>
      <c r="K335" s="11"/>
      <c r="L335" s="11"/>
      <c r="M335" s="1"/>
      <c r="N335" s="18" t="str">
        <f>IF(ISNUMBER(SEARCH("ANALOG",Table24[[#This Row],[Type]]))=TRUE,1,"")</f>
        <v/>
      </c>
      <c r="O335" s="18" t="str">
        <f>IF(ISNUMBER(SEARCH("BINARY",Table24[[#This Row],[Type]]))=TRUE,1,"")</f>
        <v/>
      </c>
      <c r="P335" s="7" t="str">
        <f>IF(Table24[[#This Row],[Type]]="","",LEFT(Table24[[#This Row],[Type]],1)&amp;LEFT(#REF!,1))</f>
        <v/>
      </c>
      <c r="Q335" s="18" t="str">
        <f>IF(Table24[[#This Row],[Type]]="","",LEFT(Table24[[#This Row],[Type]],1)&amp;LEFT(#REF!,1))</f>
        <v/>
      </c>
      <c r="R335" s="18"/>
      <c r="S335" s="7" t="str">
        <f>IF(Table24[[#This Row],[A Counter]]=1,"AI"&amp;#REF!+SUM($N$35:N335),IF(Table24[[#This Row],[B Counter]]=1,"BI"&amp;#REF!+SUM($O$35:O335),""))</f>
        <v/>
      </c>
      <c r="T335" s="18"/>
      <c r="U335" s="68"/>
    </row>
    <row r="336" spans="1:21" x14ac:dyDescent="0.25">
      <c r="A336">
        <f t="shared" si="9"/>
        <v>327</v>
      </c>
      <c r="B336" s="93" t="str">
        <f>IFERROR(RIGHT(Table24[[#This Row],[Controller Input '#]],3)*1,"")</f>
        <v/>
      </c>
      <c r="C336" s="99"/>
      <c r="D336" s="1"/>
      <c r="E336" s="11"/>
      <c r="F336" s="11"/>
      <c r="G336" s="11"/>
      <c r="H336" s="21"/>
      <c r="I336" s="11"/>
      <c r="J336" s="11"/>
      <c r="K336" s="11"/>
      <c r="L336" s="11"/>
      <c r="M336" s="1"/>
      <c r="N336" s="18" t="str">
        <f>IF(ISNUMBER(SEARCH("ANALOG",Table24[[#This Row],[Type]]))=TRUE,1,"")</f>
        <v/>
      </c>
      <c r="O336" s="18" t="str">
        <f>IF(ISNUMBER(SEARCH("BINARY",Table24[[#This Row],[Type]]))=TRUE,1,"")</f>
        <v/>
      </c>
      <c r="P336" s="7" t="str">
        <f>IF(Table24[[#This Row],[Type]]="","",LEFT(Table24[[#This Row],[Type]],1)&amp;LEFT(#REF!,1))</f>
        <v/>
      </c>
      <c r="Q336" s="18" t="str">
        <f>IF(Table24[[#This Row],[Type]]="","",LEFT(Table24[[#This Row],[Type]],1)&amp;LEFT(#REF!,1))</f>
        <v/>
      </c>
      <c r="R336" s="18"/>
      <c r="S336" s="7" t="str">
        <f>IF(Table24[[#This Row],[A Counter]]=1,"AI"&amp;#REF!+SUM($N$35:N336),IF(Table24[[#This Row],[B Counter]]=1,"BI"&amp;#REF!+SUM($O$35:O336),""))</f>
        <v/>
      </c>
      <c r="T336" s="18"/>
      <c r="U336" s="68"/>
    </row>
    <row r="337" spans="1:21" x14ac:dyDescent="0.25">
      <c r="A337">
        <f t="shared" si="9"/>
        <v>328</v>
      </c>
      <c r="B337" s="93" t="str">
        <f>IFERROR(RIGHT(Table24[[#This Row],[Controller Input '#]],3)*1,"")</f>
        <v/>
      </c>
      <c r="C337" s="99"/>
      <c r="D337" s="1"/>
      <c r="E337" s="11"/>
      <c r="F337" s="11"/>
      <c r="G337" s="11"/>
      <c r="H337" s="21"/>
      <c r="I337" s="11"/>
      <c r="J337" s="11"/>
      <c r="K337" s="11"/>
      <c r="L337" s="11"/>
      <c r="M337" s="1"/>
      <c r="N337" s="18" t="str">
        <f>IF(ISNUMBER(SEARCH("ANALOG",Table24[[#This Row],[Type]]))=TRUE,1,"")</f>
        <v/>
      </c>
      <c r="O337" s="18" t="str">
        <f>IF(ISNUMBER(SEARCH("BINARY",Table24[[#This Row],[Type]]))=TRUE,1,"")</f>
        <v/>
      </c>
      <c r="P337" s="7" t="str">
        <f>IF(Table24[[#This Row],[Type]]="","",LEFT(Table24[[#This Row],[Type]],1)&amp;LEFT(#REF!,1))</f>
        <v/>
      </c>
      <c r="Q337" s="18" t="str">
        <f>IF(Table24[[#This Row],[Type]]="","",LEFT(Table24[[#This Row],[Type]],1)&amp;LEFT(#REF!,1))</f>
        <v/>
      </c>
      <c r="R337" s="18"/>
      <c r="S337" s="7" t="str">
        <f>IF(Table24[[#This Row],[A Counter]]=1,"AI"&amp;#REF!+SUM($N$35:N337),IF(Table24[[#This Row],[B Counter]]=1,"BI"&amp;#REF!+SUM($O$35:O337),""))</f>
        <v/>
      </c>
      <c r="T337" s="18"/>
      <c r="U337" s="68"/>
    </row>
    <row r="338" spans="1:21" x14ac:dyDescent="0.25">
      <c r="A338">
        <f t="shared" si="9"/>
        <v>329</v>
      </c>
      <c r="B338" s="93" t="str">
        <f>IFERROR(RIGHT(Table24[[#This Row],[Controller Input '#]],3)*1,"")</f>
        <v/>
      </c>
      <c r="C338" s="98"/>
      <c r="D338" s="1"/>
      <c r="E338" s="11"/>
      <c r="F338" s="11"/>
      <c r="G338" s="11"/>
      <c r="H338" s="21"/>
      <c r="I338" s="11"/>
      <c r="J338" s="11"/>
      <c r="K338" s="11"/>
      <c r="L338" s="11"/>
      <c r="M338" s="1"/>
      <c r="N338" s="18" t="str">
        <f>IF(ISNUMBER(SEARCH("ANALOG",Table24[[#This Row],[Type]]))=TRUE,1,"")</f>
        <v/>
      </c>
      <c r="O338" s="18" t="str">
        <f>IF(ISNUMBER(SEARCH("BINARY",Table24[[#This Row],[Type]]))=TRUE,1,"")</f>
        <v/>
      </c>
      <c r="P338" s="7" t="str">
        <f>IF(Table24[[#This Row],[Type]]="","",LEFT(Table24[[#This Row],[Type]],1)&amp;LEFT(#REF!,1))</f>
        <v/>
      </c>
      <c r="Q338" s="18" t="str">
        <f>IF(Table24[[#This Row],[Type]]="","",LEFT(Table24[[#This Row],[Type]],1)&amp;LEFT(#REF!,1))</f>
        <v/>
      </c>
      <c r="R338" s="18"/>
      <c r="S338" s="7" t="str">
        <f>IF(Table24[[#This Row],[A Counter]]=1,"AI"&amp;#REF!+SUM($N$35:N338),IF(Table24[[#This Row],[B Counter]]=1,"BI"&amp;#REF!+SUM($O$35:O338),""))</f>
        <v/>
      </c>
      <c r="T338" s="18"/>
      <c r="U338" s="69"/>
    </row>
    <row r="339" spans="1:21" x14ac:dyDescent="0.25">
      <c r="A339">
        <f t="shared" si="9"/>
        <v>330</v>
      </c>
      <c r="B339" s="93" t="str">
        <f>IFERROR(RIGHT(Table24[[#This Row],[Controller Input '#]],3)*1,"")</f>
        <v/>
      </c>
      <c r="C339" s="99"/>
      <c r="D339" s="1"/>
      <c r="E339" s="11"/>
      <c r="F339" s="11"/>
      <c r="G339" s="11"/>
      <c r="H339" s="21"/>
      <c r="I339" s="11"/>
      <c r="J339" s="11"/>
      <c r="K339" s="11"/>
      <c r="L339" s="11"/>
      <c r="M339" s="1"/>
      <c r="N339" s="18" t="str">
        <f>IF(ISNUMBER(SEARCH("ANALOG",Table24[[#This Row],[Type]]))=TRUE,1,"")</f>
        <v/>
      </c>
      <c r="O339" s="18" t="str">
        <f>IF(ISNUMBER(SEARCH("BINARY",Table24[[#This Row],[Type]]))=TRUE,1,"")</f>
        <v/>
      </c>
      <c r="P339" s="7" t="str">
        <f>IF(Table24[[#This Row],[Type]]="","",LEFT(Table24[[#This Row],[Type]],1)&amp;LEFT(#REF!,1))</f>
        <v/>
      </c>
      <c r="Q339" s="18" t="str">
        <f>IF(Table24[[#This Row],[Type]]="","",LEFT(Table24[[#This Row],[Type]],1)&amp;LEFT(#REF!,1))</f>
        <v/>
      </c>
      <c r="R339" s="18"/>
      <c r="S339" s="7" t="str">
        <f>IF(Table24[[#This Row],[A Counter]]=1,"AI"&amp;#REF!+SUM($N$35:N339),IF(Table24[[#This Row],[B Counter]]=1,"BI"&amp;#REF!+SUM($O$35:O339),""))</f>
        <v/>
      </c>
      <c r="T339" s="18"/>
      <c r="U339" s="68"/>
    </row>
    <row r="340" spans="1:21" x14ac:dyDescent="0.25">
      <c r="A340">
        <f t="shared" si="9"/>
        <v>331</v>
      </c>
      <c r="B340" s="93" t="str">
        <f>IFERROR(RIGHT(Table24[[#This Row],[Controller Input '#]],3)*1,"")</f>
        <v/>
      </c>
      <c r="C340" s="99"/>
      <c r="D340" s="1"/>
      <c r="E340" s="11"/>
      <c r="F340" s="11"/>
      <c r="G340" s="11"/>
      <c r="H340" s="21"/>
      <c r="I340" s="11"/>
      <c r="J340" s="11"/>
      <c r="K340" s="11"/>
      <c r="L340" s="11"/>
      <c r="M340" s="1"/>
      <c r="N340" s="18" t="str">
        <f>IF(ISNUMBER(SEARCH("ANALOG",Table24[[#This Row],[Type]]))=TRUE,1,"")</f>
        <v/>
      </c>
      <c r="O340" s="18" t="str">
        <f>IF(ISNUMBER(SEARCH("BINARY",Table24[[#This Row],[Type]]))=TRUE,1,"")</f>
        <v/>
      </c>
      <c r="P340" s="7" t="str">
        <f>IF(Table24[[#This Row],[Type]]="","",LEFT(Table24[[#This Row],[Type]],1)&amp;LEFT(#REF!,1))</f>
        <v/>
      </c>
      <c r="Q340" s="18" t="str">
        <f>IF(Table24[[#This Row],[Type]]="","",LEFT(Table24[[#This Row],[Type]],1)&amp;LEFT(#REF!,1))</f>
        <v/>
      </c>
      <c r="R340" s="18"/>
      <c r="S340" s="7" t="str">
        <f>IF(Table24[[#This Row],[A Counter]]=1,"AI"&amp;#REF!+SUM($N$35:N340),IF(Table24[[#This Row],[B Counter]]=1,"BI"&amp;#REF!+SUM($O$35:O340),""))</f>
        <v/>
      </c>
      <c r="T340" s="18"/>
      <c r="U340" s="68"/>
    </row>
    <row r="341" spans="1:21" x14ac:dyDescent="0.25">
      <c r="A341">
        <f t="shared" si="9"/>
        <v>332</v>
      </c>
      <c r="B341" s="93" t="str">
        <f>IFERROR(RIGHT(Table24[[#This Row],[Controller Input '#]],3)*1,"")</f>
        <v/>
      </c>
      <c r="C341" s="99"/>
      <c r="D341" s="1"/>
      <c r="E341" s="11"/>
      <c r="F341" s="11"/>
      <c r="G341" s="11"/>
      <c r="H341" s="21"/>
      <c r="I341" s="11"/>
      <c r="J341" s="11"/>
      <c r="K341" s="11"/>
      <c r="L341" s="11"/>
      <c r="M341" s="1"/>
      <c r="N341" s="18" t="str">
        <f>IF(ISNUMBER(SEARCH("ANALOG",Table24[[#This Row],[Type]]))=TRUE,1,"")</f>
        <v/>
      </c>
      <c r="O341" s="18" t="str">
        <f>IF(ISNUMBER(SEARCH("BINARY",Table24[[#This Row],[Type]]))=TRUE,1,"")</f>
        <v/>
      </c>
      <c r="P341" s="7" t="str">
        <f>IF(Table24[[#This Row],[Type]]="","",LEFT(Table24[[#This Row],[Type]],1)&amp;LEFT(#REF!,1))</f>
        <v/>
      </c>
      <c r="Q341" s="18" t="str">
        <f>IF(Table24[[#This Row],[Type]]="","",LEFT(Table24[[#This Row],[Type]],1)&amp;LEFT(#REF!,1))</f>
        <v/>
      </c>
      <c r="R341" s="18"/>
      <c r="S341" s="7" t="str">
        <f>IF(Table24[[#This Row],[A Counter]]=1,"AI"&amp;#REF!+SUM($N$35:N341),IF(Table24[[#This Row],[B Counter]]=1,"BI"&amp;#REF!+SUM($O$35:O341),""))</f>
        <v/>
      </c>
      <c r="T341" s="18"/>
      <c r="U341" s="68"/>
    </row>
    <row r="342" spans="1:21" x14ac:dyDescent="0.25">
      <c r="A342">
        <f t="shared" si="9"/>
        <v>333</v>
      </c>
      <c r="B342" s="93" t="str">
        <f>IFERROR(RIGHT(Table24[[#This Row],[Controller Input '#]],3)*1,"")</f>
        <v/>
      </c>
      <c r="C342" s="99"/>
      <c r="D342" s="1"/>
      <c r="E342" s="11"/>
      <c r="F342" s="11"/>
      <c r="G342" s="11"/>
      <c r="H342" s="21"/>
      <c r="I342" s="11"/>
      <c r="J342" s="11"/>
      <c r="K342" s="11"/>
      <c r="L342" s="11"/>
      <c r="M342" s="1"/>
      <c r="N342" s="18" t="str">
        <f>IF(ISNUMBER(SEARCH("ANALOG",Table24[[#This Row],[Type]]))=TRUE,1,"")</f>
        <v/>
      </c>
      <c r="O342" s="18" t="str">
        <f>IF(ISNUMBER(SEARCH("BINARY",Table24[[#This Row],[Type]]))=TRUE,1,"")</f>
        <v/>
      </c>
      <c r="P342" s="7" t="str">
        <f>IF(Table24[[#This Row],[Type]]="","",LEFT(Table24[[#This Row],[Type]],1)&amp;LEFT(#REF!,1))</f>
        <v/>
      </c>
      <c r="Q342" s="18" t="str">
        <f>IF(Table24[[#This Row],[Type]]="","",LEFT(Table24[[#This Row],[Type]],1)&amp;LEFT(#REF!,1))</f>
        <v/>
      </c>
      <c r="R342" s="18"/>
      <c r="S342" s="7" t="str">
        <f>IF(Table24[[#This Row],[A Counter]]=1,"AI"&amp;#REF!+SUM($N$35:N342),IF(Table24[[#This Row],[B Counter]]=1,"BI"&amp;#REF!+SUM($O$35:O342),""))</f>
        <v/>
      </c>
      <c r="T342" s="18"/>
      <c r="U342" s="68"/>
    </row>
    <row r="343" spans="1:21" x14ac:dyDescent="0.25">
      <c r="A343">
        <f t="shared" ref="A343:A390" si="10">A342+1</f>
        <v>334</v>
      </c>
      <c r="B343" s="93" t="str">
        <f>IFERROR(RIGHT(Table24[[#This Row],[Controller Input '#]],3)*1,"")</f>
        <v/>
      </c>
      <c r="C343" s="98"/>
      <c r="D343" s="1"/>
      <c r="E343" s="1"/>
      <c r="F343" s="1"/>
      <c r="G343" s="1"/>
      <c r="H343" s="8"/>
      <c r="I343" s="1"/>
      <c r="J343" s="1"/>
      <c r="K343" s="3"/>
      <c r="L343" s="1"/>
      <c r="M343" s="18"/>
      <c r="N343" s="18" t="str">
        <f>IF(ISNUMBER(SEARCH("ANALOG",Table24[[#This Row],[Type]]))=TRUE,1,"")</f>
        <v/>
      </c>
      <c r="O343" s="18" t="str">
        <f>IF(ISNUMBER(SEARCH("BINARY",Table24[[#This Row],[Type]]))=TRUE,1,"")</f>
        <v/>
      </c>
      <c r="P343" s="7" t="str">
        <f>IF(Table24[[#This Row],[Type]]="","",LEFT(Table24[[#This Row],[Type]],1)&amp;LEFT(#REF!,1))</f>
        <v/>
      </c>
      <c r="Q343" s="18" t="str">
        <f>IF(Table24[[#This Row],[Type]]="","",LEFT(Table24[[#This Row],[Type]],1)&amp;LEFT(#REF!,1))</f>
        <v/>
      </c>
      <c r="R343" s="18"/>
      <c r="S343" s="7" t="str">
        <f>IF(Table24[[#This Row],[A Counter]]=1,"AI"&amp;#REF!+SUM($N$35:N343),IF(Table24[[#This Row],[B Counter]]=1,"BI"&amp;#REF!+SUM($O$35:O343),""))</f>
        <v/>
      </c>
      <c r="T343" s="18" t="s">
        <v>34</v>
      </c>
      <c r="U343" s="69"/>
    </row>
    <row r="344" spans="1:21" x14ac:dyDescent="0.25">
      <c r="A344">
        <f t="shared" si="10"/>
        <v>335</v>
      </c>
      <c r="B344" s="93" t="str">
        <f>IFERROR(RIGHT(Table24[[#This Row],[Controller Input '#]],3)*1,"")</f>
        <v/>
      </c>
      <c r="C344" s="99"/>
      <c r="D344" s="1"/>
      <c r="E344" s="1"/>
      <c r="F344" s="1"/>
      <c r="G344" s="1"/>
      <c r="H344" s="8"/>
      <c r="I344" s="1"/>
      <c r="J344" s="1"/>
      <c r="K344" s="3"/>
      <c r="L344" s="1"/>
      <c r="M344" s="1"/>
      <c r="N344" s="18" t="str">
        <f>IF(ISNUMBER(SEARCH("ANALOG",Table24[[#This Row],[Type]]))=TRUE,1,"")</f>
        <v/>
      </c>
      <c r="O344" s="18" t="str">
        <f>IF(ISNUMBER(SEARCH("BINARY",Table24[[#This Row],[Type]]))=TRUE,1,"")</f>
        <v/>
      </c>
      <c r="P344" s="7" t="str">
        <f>IF(Table24[[#This Row],[Type]]="","",LEFT(Table24[[#This Row],[Type]],1)&amp;LEFT(#REF!,1))</f>
        <v/>
      </c>
      <c r="Q344" s="18" t="str">
        <f>IF(Table24[[#This Row],[Type]]="","",LEFT(Table24[[#This Row],[Type]],1)&amp;LEFT(#REF!,1))</f>
        <v/>
      </c>
      <c r="R344" s="18"/>
      <c r="S344" s="7" t="str">
        <f>IF(Table24[[#This Row],[A Counter]]=1,"AI"&amp;#REF!+SUM($N$35:N344),IF(Table24[[#This Row],[B Counter]]=1,"BI"&amp;#REF!+SUM($O$35:O344),""))</f>
        <v/>
      </c>
      <c r="T344" s="18" t="s">
        <v>34</v>
      </c>
      <c r="U344" s="68"/>
    </row>
    <row r="345" spans="1:21" x14ac:dyDescent="0.25">
      <c r="A345">
        <f t="shared" si="10"/>
        <v>336</v>
      </c>
      <c r="B345" s="93" t="str">
        <f>IFERROR(RIGHT(Table24[[#This Row],[Controller Input '#]],3)*1,"")</f>
        <v/>
      </c>
      <c r="C345" s="99"/>
      <c r="D345" s="1"/>
      <c r="E345" s="1"/>
      <c r="F345" s="1"/>
      <c r="G345" s="1"/>
      <c r="H345" s="8"/>
      <c r="I345" s="1"/>
      <c r="J345" s="1"/>
      <c r="K345" s="3"/>
      <c r="L345" s="1"/>
      <c r="M345" s="1"/>
      <c r="N345" s="18" t="str">
        <f>IF(ISNUMBER(SEARCH("ANALOG",Table24[[#This Row],[Type]]))=TRUE,1,"")</f>
        <v/>
      </c>
      <c r="O345" s="18" t="str">
        <f>IF(ISNUMBER(SEARCH("BINARY",Table24[[#This Row],[Type]]))=TRUE,1,"")</f>
        <v/>
      </c>
      <c r="P345" s="7" t="str">
        <f>IF(Table24[[#This Row],[Type]]="","",LEFT(Table24[[#This Row],[Type]],1)&amp;LEFT(#REF!,1))</f>
        <v/>
      </c>
      <c r="Q345" s="18" t="str">
        <f>IF(Table24[[#This Row],[Type]]="","",LEFT(Table24[[#This Row],[Type]],1)&amp;LEFT(#REF!,1))</f>
        <v/>
      </c>
      <c r="R345" s="18"/>
      <c r="S345" s="7" t="str">
        <f>IF(Table24[[#This Row],[A Counter]]=1,"AI"&amp;#REF!+SUM($N$35:N345),IF(Table24[[#This Row],[B Counter]]=1,"BI"&amp;#REF!+SUM($O$35:O345),""))</f>
        <v/>
      </c>
      <c r="T345" s="18" t="s">
        <v>34</v>
      </c>
      <c r="U345" s="7"/>
    </row>
    <row r="346" spans="1:21" x14ac:dyDescent="0.25">
      <c r="A346">
        <f t="shared" si="10"/>
        <v>337</v>
      </c>
      <c r="B346" s="93" t="str">
        <f>IFERROR(RIGHT(Table24[[#This Row],[Controller Input '#]],3)*1,"")</f>
        <v/>
      </c>
      <c r="C346" s="99"/>
      <c r="D346" s="1"/>
      <c r="E346" s="1"/>
      <c r="F346" s="1"/>
      <c r="G346" s="1"/>
      <c r="H346" s="8"/>
      <c r="I346" s="1"/>
      <c r="J346" s="1"/>
      <c r="K346" s="1"/>
      <c r="L346" s="18"/>
      <c r="M346" s="1"/>
      <c r="N346" s="18" t="str">
        <f>IF(ISNUMBER(SEARCH("ANALOG",Table24[[#This Row],[Type]]))=TRUE,1,"")</f>
        <v/>
      </c>
      <c r="O346" s="18" t="str">
        <f>IF(ISNUMBER(SEARCH("BINARY",Table24[[#This Row],[Type]]))=TRUE,1,"")</f>
        <v/>
      </c>
      <c r="P346" s="7" t="str">
        <f>IF(Table24[[#This Row],[Type]]="","",LEFT(Table24[[#This Row],[Type]],1)&amp;LEFT(#REF!,1))</f>
        <v/>
      </c>
      <c r="Q346" s="18" t="str">
        <f>IF(Table24[[#This Row],[Type]]="","",LEFT(Table24[[#This Row],[Type]],1)&amp;LEFT(#REF!,1))</f>
        <v/>
      </c>
      <c r="R346" s="18"/>
      <c r="S346" s="7" t="str">
        <f>IF(Table24[[#This Row],[A Counter]]=1,"AI"&amp;#REF!+SUM($N$35:N346),IF(Table24[[#This Row],[B Counter]]=1,"BI"&amp;#REF!+SUM($O$35:O346),""))</f>
        <v/>
      </c>
      <c r="T346" s="18" t="s">
        <v>34</v>
      </c>
      <c r="U346" s="7"/>
    </row>
    <row r="347" spans="1:21" x14ac:dyDescent="0.25">
      <c r="A347">
        <f t="shared" si="10"/>
        <v>338</v>
      </c>
      <c r="B347" s="93" t="str">
        <f>IFERROR(RIGHT(Table24[[#This Row],[Controller Input '#]],3)*1,"")</f>
        <v/>
      </c>
      <c r="C347" s="99"/>
      <c r="D347" s="1"/>
      <c r="E347" s="1"/>
      <c r="F347" s="1"/>
      <c r="G347" s="1"/>
      <c r="H347" s="8"/>
      <c r="I347" s="1"/>
      <c r="J347" s="1"/>
      <c r="K347" s="1"/>
      <c r="L347" s="18"/>
      <c r="M347" s="1"/>
      <c r="N347" s="18" t="str">
        <f>IF(ISNUMBER(SEARCH("ANALOG",Table24[[#This Row],[Type]]))=TRUE,1,"")</f>
        <v/>
      </c>
      <c r="O347" s="18" t="str">
        <f>IF(ISNUMBER(SEARCH("BINARY",Table24[[#This Row],[Type]]))=TRUE,1,"")</f>
        <v/>
      </c>
      <c r="P347" s="7" t="str">
        <f>IF(Table24[[#This Row],[Type]]="","",LEFT(Table24[[#This Row],[Type]],1)&amp;LEFT(#REF!,1))</f>
        <v/>
      </c>
      <c r="Q347" s="18" t="str">
        <f>IF(Table24[[#This Row],[Type]]="","",LEFT(Table24[[#This Row],[Type]],1)&amp;LEFT(#REF!,1))</f>
        <v/>
      </c>
      <c r="R347" s="18"/>
      <c r="S347" s="7" t="str">
        <f>IF(Table24[[#This Row],[A Counter]]=1,"AI"&amp;#REF!+SUM($N$35:N347),IF(Table24[[#This Row],[B Counter]]=1,"BI"&amp;#REF!+SUM($O$35:O347),""))</f>
        <v/>
      </c>
      <c r="T347" s="18" t="s">
        <v>34</v>
      </c>
      <c r="U347" s="7"/>
    </row>
    <row r="348" spans="1:21" x14ac:dyDescent="0.25">
      <c r="A348">
        <f t="shared" si="10"/>
        <v>339</v>
      </c>
      <c r="B348" s="93" t="str">
        <f>IFERROR(RIGHT(Table24[[#This Row],[Controller Input '#]],3)*1,"")</f>
        <v/>
      </c>
      <c r="C348" s="99"/>
      <c r="D348" s="1"/>
      <c r="E348" s="1"/>
      <c r="F348" s="1"/>
      <c r="G348" s="1"/>
      <c r="H348" s="8"/>
      <c r="I348" s="1"/>
      <c r="J348" s="1"/>
      <c r="K348" s="1"/>
      <c r="L348" s="18"/>
      <c r="M348" s="1"/>
      <c r="N348" s="18" t="str">
        <f>IF(ISNUMBER(SEARCH("ANALOG",Table24[[#This Row],[Type]]))=TRUE,1,"")</f>
        <v/>
      </c>
      <c r="O348" s="18" t="str">
        <f>IF(ISNUMBER(SEARCH("BINARY",Table24[[#This Row],[Type]]))=TRUE,1,"")</f>
        <v/>
      </c>
      <c r="P348" s="7" t="str">
        <f>IF(Table24[[#This Row],[Type]]="","",LEFT(Table24[[#This Row],[Type]],1)&amp;LEFT(#REF!,1))</f>
        <v/>
      </c>
      <c r="Q348" s="18" t="str">
        <f>IF(Table24[[#This Row],[Type]]="","",LEFT(Table24[[#This Row],[Type]],1)&amp;LEFT(#REF!,1))</f>
        <v/>
      </c>
      <c r="R348" s="18"/>
      <c r="S348" s="7" t="str">
        <f>IF(Table24[[#This Row],[A Counter]]=1,"AI"&amp;#REF!+SUM($N$35:N348),IF(Table24[[#This Row],[B Counter]]=1,"BI"&amp;#REF!+SUM($O$35:O348),""))</f>
        <v/>
      </c>
      <c r="T348" s="18" t="s">
        <v>34</v>
      </c>
      <c r="U348" s="7"/>
    </row>
    <row r="349" spans="1:21" x14ac:dyDescent="0.25">
      <c r="A349">
        <f t="shared" si="10"/>
        <v>340</v>
      </c>
      <c r="B349" s="93" t="str">
        <f>IFERROR(RIGHT(Table24[[#This Row],[Controller Input '#]],3)*1,"")</f>
        <v/>
      </c>
      <c r="C349" s="99"/>
      <c r="D349" s="1"/>
      <c r="E349" s="1"/>
      <c r="F349" s="1"/>
      <c r="G349" s="1"/>
      <c r="H349" s="8"/>
      <c r="I349" s="1"/>
      <c r="J349" s="1"/>
      <c r="K349" s="1"/>
      <c r="L349" s="1"/>
      <c r="M349" s="1"/>
      <c r="N349" s="18" t="str">
        <f>IF(ISNUMBER(SEARCH("ANALOG",Table24[[#This Row],[Type]]))=TRUE,1,"")</f>
        <v/>
      </c>
      <c r="O349" s="18" t="str">
        <f>IF(ISNUMBER(SEARCH("BINARY",Table24[[#This Row],[Type]]))=TRUE,1,"")</f>
        <v/>
      </c>
      <c r="P349" s="7" t="str">
        <f>IF(Table24[[#This Row],[Type]]="","",LEFT(Table24[[#This Row],[Type]],1)&amp;LEFT(#REF!,1))</f>
        <v/>
      </c>
      <c r="Q349" s="18" t="str">
        <f>IF(Table24[[#This Row],[Type]]="","",LEFT(Table24[[#This Row],[Type]],1)&amp;LEFT(#REF!,1))</f>
        <v/>
      </c>
      <c r="R349" s="18"/>
      <c r="S349" s="7" t="str">
        <f>IF(Table24[[#This Row],[A Counter]]=1,"AI"&amp;#REF!+SUM($N$35:N349),IF(Table24[[#This Row],[B Counter]]=1,"BI"&amp;#REF!+SUM($O$35:O349),""))</f>
        <v/>
      </c>
      <c r="T349" s="18" t="s">
        <v>34</v>
      </c>
      <c r="U349" s="7"/>
    </row>
    <row r="350" spans="1:21" x14ac:dyDescent="0.25">
      <c r="A350">
        <f t="shared" si="10"/>
        <v>341</v>
      </c>
      <c r="B350" s="93" t="str">
        <f>IFERROR(RIGHT(Table24[[#This Row],[Controller Input '#]],3)*1,"")</f>
        <v/>
      </c>
      <c r="C350" s="99"/>
      <c r="D350" s="1"/>
      <c r="E350" s="1"/>
      <c r="F350" s="1"/>
      <c r="G350" s="1"/>
      <c r="H350" s="8"/>
      <c r="I350" s="1"/>
      <c r="J350" s="1"/>
      <c r="K350" s="1"/>
      <c r="L350" s="1"/>
      <c r="M350" s="1"/>
      <c r="N350" s="18" t="str">
        <f>IF(ISNUMBER(SEARCH("ANALOG",Table24[[#This Row],[Type]]))=TRUE,1,"")</f>
        <v/>
      </c>
      <c r="O350" s="18" t="str">
        <f>IF(ISNUMBER(SEARCH("BINARY",Table24[[#This Row],[Type]]))=TRUE,1,"")</f>
        <v/>
      </c>
      <c r="P350" s="7" t="str">
        <f>IF(Table24[[#This Row],[Type]]="","",LEFT(Table24[[#This Row],[Type]],1)&amp;LEFT(#REF!,1))</f>
        <v/>
      </c>
      <c r="Q350" s="18" t="str">
        <f>IF(Table24[[#This Row],[Type]]="","",LEFT(Table24[[#This Row],[Type]],1)&amp;LEFT(#REF!,1))</f>
        <v/>
      </c>
      <c r="R350" s="18"/>
      <c r="S350" s="7" t="str">
        <f>IF(Table24[[#This Row],[A Counter]]=1,"AI"&amp;#REF!+SUM($N$35:N350),IF(Table24[[#This Row],[B Counter]]=1,"BI"&amp;#REF!+SUM($O$35:O350),""))</f>
        <v/>
      </c>
      <c r="T350" s="18" t="s">
        <v>34</v>
      </c>
      <c r="U350" s="7"/>
    </row>
    <row r="351" spans="1:21" x14ac:dyDescent="0.25">
      <c r="A351">
        <f t="shared" si="10"/>
        <v>342</v>
      </c>
      <c r="B351" s="93" t="str">
        <f>IFERROR(RIGHT(Table24[[#This Row],[Controller Input '#]],3)*1,"")</f>
        <v/>
      </c>
      <c r="C351" s="99"/>
      <c r="D351" s="1"/>
      <c r="E351" s="1"/>
      <c r="F351" s="1"/>
      <c r="G351" s="1"/>
      <c r="H351" s="8"/>
      <c r="I351" s="1"/>
      <c r="J351" s="1"/>
      <c r="K351" s="1"/>
      <c r="L351" s="1"/>
      <c r="M351" s="1"/>
      <c r="N351" s="18" t="str">
        <f>IF(ISNUMBER(SEARCH("ANALOG",Table24[[#This Row],[Type]]))=TRUE,1,"")</f>
        <v/>
      </c>
      <c r="O351" s="18" t="str">
        <f>IF(ISNUMBER(SEARCH("BINARY",Table24[[#This Row],[Type]]))=TRUE,1,"")</f>
        <v/>
      </c>
      <c r="P351" s="7" t="str">
        <f>IF(Table24[[#This Row],[Type]]="","",LEFT(Table24[[#This Row],[Type]],1)&amp;LEFT(#REF!,1))</f>
        <v/>
      </c>
      <c r="Q351" s="18" t="str">
        <f>IF(Table24[[#This Row],[Type]]="","",LEFT(Table24[[#This Row],[Type]],1)&amp;LEFT(#REF!,1))</f>
        <v/>
      </c>
      <c r="R351" s="18"/>
      <c r="S351" s="7" t="str">
        <f>IF(Table24[[#This Row],[A Counter]]=1,"AI"&amp;#REF!+SUM($N$35:N351),IF(Table24[[#This Row],[B Counter]]=1,"BI"&amp;#REF!+SUM($O$35:O351),""))</f>
        <v/>
      </c>
      <c r="T351" s="18" t="s">
        <v>34</v>
      </c>
      <c r="U351" s="7"/>
    </row>
    <row r="352" spans="1:21" x14ac:dyDescent="0.25">
      <c r="A352">
        <f t="shared" si="10"/>
        <v>343</v>
      </c>
      <c r="B352" s="93" t="str">
        <f>IFERROR(RIGHT(Table24[[#This Row],[Controller Input '#]],3)*1,"")</f>
        <v/>
      </c>
      <c r="C352" s="99"/>
      <c r="D352" s="1"/>
      <c r="E352" s="1"/>
      <c r="F352" s="1"/>
      <c r="G352" s="1"/>
      <c r="H352" s="8"/>
      <c r="I352" s="1"/>
      <c r="J352" s="1"/>
      <c r="K352" s="1"/>
      <c r="L352" s="1"/>
      <c r="M352" s="1"/>
      <c r="N352" s="18" t="str">
        <f>IF(ISNUMBER(SEARCH("ANALOG",Table24[[#This Row],[Type]]))=TRUE,1,"")</f>
        <v/>
      </c>
      <c r="O352" s="18" t="str">
        <f>IF(ISNUMBER(SEARCH("BINARY",Table24[[#This Row],[Type]]))=TRUE,1,"")</f>
        <v/>
      </c>
      <c r="P352" s="7" t="str">
        <f>IF(Table24[[#This Row],[Type]]="","",LEFT(Table24[[#This Row],[Type]],1)&amp;LEFT(#REF!,1))</f>
        <v/>
      </c>
      <c r="Q352" s="18" t="str">
        <f>IF(Table24[[#This Row],[Type]]="","",LEFT(Table24[[#This Row],[Type]],1)&amp;LEFT(#REF!,1))</f>
        <v/>
      </c>
      <c r="R352" s="18"/>
      <c r="S352" s="7" t="str">
        <f>IF(Table24[[#This Row],[A Counter]]=1,"AI"&amp;#REF!+SUM($N$35:N352),IF(Table24[[#This Row],[B Counter]]=1,"BI"&amp;#REF!+SUM($O$35:O352),""))</f>
        <v/>
      </c>
      <c r="T352" s="18" t="s">
        <v>34</v>
      </c>
      <c r="U352" s="7"/>
    </row>
    <row r="353" spans="1:21" x14ac:dyDescent="0.25">
      <c r="A353">
        <f t="shared" si="10"/>
        <v>344</v>
      </c>
      <c r="B353" s="93" t="str">
        <f>IFERROR(RIGHT(Table24[[#This Row],[Controller Input '#]],3)*1,"")</f>
        <v/>
      </c>
      <c r="C353" s="99"/>
      <c r="D353" s="1"/>
      <c r="E353" s="1"/>
      <c r="F353" s="1"/>
      <c r="G353" s="1"/>
      <c r="H353" s="8"/>
      <c r="I353" s="1"/>
      <c r="J353" s="1"/>
      <c r="K353" s="1"/>
      <c r="L353" s="11"/>
      <c r="M353" s="11"/>
      <c r="N353" s="18" t="str">
        <f>IF(ISNUMBER(SEARCH("ANALOG",Table24[[#This Row],[Type]]))=TRUE,1,"")</f>
        <v/>
      </c>
      <c r="O353" s="18" t="str">
        <f>IF(ISNUMBER(SEARCH("BINARY",Table24[[#This Row],[Type]]))=TRUE,1,"")</f>
        <v/>
      </c>
      <c r="P353" s="7" t="str">
        <f>IF(Table24[[#This Row],[Type]]="","",LEFT(Table24[[#This Row],[Type]],1)&amp;LEFT(#REF!,1))</f>
        <v/>
      </c>
      <c r="Q353" s="18" t="str">
        <f>IF(Table24[[#This Row],[Type]]="","",LEFT(Table24[[#This Row],[Type]],1)&amp;LEFT(#REF!,1))</f>
        <v/>
      </c>
      <c r="R353" s="18"/>
      <c r="S353" s="7" t="str">
        <f>IF(Table24[[#This Row],[A Counter]]=1,"AI"&amp;#REF!+SUM($N$35:N353),IF(Table24[[#This Row],[B Counter]]=1,"BI"&amp;#REF!+SUM($O$35:O353),""))</f>
        <v/>
      </c>
      <c r="T353" s="18" t="s">
        <v>34</v>
      </c>
      <c r="U353" s="7"/>
    </row>
    <row r="354" spans="1:21" x14ac:dyDescent="0.25">
      <c r="A354">
        <f t="shared" si="10"/>
        <v>345</v>
      </c>
      <c r="B354" s="93" t="str">
        <f>IFERROR(RIGHT(Table24[[#This Row],[Controller Input '#]],3)*1,"")</f>
        <v/>
      </c>
      <c r="C354" s="99"/>
      <c r="D354" s="1"/>
      <c r="E354" s="1"/>
      <c r="F354" s="1"/>
      <c r="G354" s="1"/>
      <c r="H354" s="8"/>
      <c r="I354" s="1"/>
      <c r="J354" s="1"/>
      <c r="K354" s="1"/>
      <c r="L354" s="11"/>
      <c r="M354" s="11"/>
      <c r="N354" s="18" t="str">
        <f>IF(ISNUMBER(SEARCH("ANALOG",Table24[[#This Row],[Type]]))=TRUE,1,"")</f>
        <v/>
      </c>
      <c r="O354" s="18" t="str">
        <f>IF(ISNUMBER(SEARCH("BINARY",Table24[[#This Row],[Type]]))=TRUE,1,"")</f>
        <v/>
      </c>
      <c r="P354" s="7" t="str">
        <f>IF(Table24[[#This Row],[Type]]="","",LEFT(Table24[[#This Row],[Type]],1)&amp;LEFT(#REF!,1))</f>
        <v/>
      </c>
      <c r="Q354" s="18" t="str">
        <f>IF(Table24[[#This Row],[Type]]="","",LEFT(Table24[[#This Row],[Type]],1)&amp;LEFT(#REF!,1))</f>
        <v/>
      </c>
      <c r="R354" s="18"/>
      <c r="S354" s="7" t="str">
        <f>IF(Table24[[#This Row],[A Counter]]=1,"AI"&amp;#REF!+SUM($N$35:N354),IF(Table24[[#This Row],[B Counter]]=1,"BI"&amp;#REF!+SUM($O$35:O354),""))</f>
        <v/>
      </c>
      <c r="T354" s="18" t="s">
        <v>34</v>
      </c>
      <c r="U354" s="7"/>
    </row>
    <row r="355" spans="1:21" x14ac:dyDescent="0.25">
      <c r="A355">
        <f t="shared" si="10"/>
        <v>346</v>
      </c>
      <c r="B355" s="93" t="str">
        <f>IFERROR(RIGHT(Table24[[#This Row],[Controller Input '#]],3)*1,"")</f>
        <v/>
      </c>
      <c r="C355" s="99"/>
      <c r="D355" s="1"/>
      <c r="E355" s="1"/>
      <c r="F355" s="1"/>
      <c r="G355" s="11"/>
      <c r="H355" s="21"/>
      <c r="I355" s="1"/>
      <c r="J355" s="1"/>
      <c r="K355" s="1"/>
      <c r="L355" s="11"/>
      <c r="M355" s="11"/>
      <c r="N355" s="18" t="str">
        <f>IF(ISNUMBER(SEARCH("ANALOG",Table24[[#This Row],[Type]]))=TRUE,1,"")</f>
        <v/>
      </c>
      <c r="O355" s="18" t="str">
        <f>IF(ISNUMBER(SEARCH("BINARY",Table24[[#This Row],[Type]]))=TRUE,1,"")</f>
        <v/>
      </c>
      <c r="P355" s="7" t="str">
        <f>IF(Table24[[#This Row],[Type]]="","",LEFT(Table24[[#This Row],[Type]],1)&amp;LEFT(#REF!,1))</f>
        <v/>
      </c>
      <c r="Q355" s="18" t="str">
        <f>IF(Table24[[#This Row],[Type]]="","",LEFT(Table24[[#This Row],[Type]],1)&amp;LEFT(#REF!,1))</f>
        <v/>
      </c>
      <c r="R355" s="18"/>
      <c r="S355" s="7" t="str">
        <f>IF(Table24[[#This Row],[A Counter]]=1,"AI"&amp;#REF!+SUM($N$35:N355),IF(Table24[[#This Row],[B Counter]]=1,"BI"&amp;#REF!+SUM($O$35:O355),""))</f>
        <v/>
      </c>
      <c r="T355" s="18" t="s">
        <v>34</v>
      </c>
      <c r="U355" s="7"/>
    </row>
    <row r="356" spans="1:21" x14ac:dyDescent="0.25">
      <c r="A356">
        <f t="shared" si="10"/>
        <v>347</v>
      </c>
      <c r="B356" s="93" t="str">
        <f>IFERROR(RIGHT(Table24[[#This Row],[Controller Input '#]],3)*1,"")</f>
        <v/>
      </c>
      <c r="C356" s="99"/>
      <c r="D356" s="1"/>
      <c r="E356" s="1"/>
      <c r="F356" s="1"/>
      <c r="G356" s="1"/>
      <c r="H356" s="8"/>
      <c r="I356" s="1"/>
      <c r="J356" s="1"/>
      <c r="K356" s="1"/>
      <c r="L356" s="1"/>
      <c r="M356" s="1"/>
      <c r="N356" s="18" t="str">
        <f>IF(ISNUMBER(SEARCH("ANALOG",Table24[[#This Row],[Type]]))=TRUE,1,"")</f>
        <v/>
      </c>
      <c r="O356" s="18" t="str">
        <f>IF(ISNUMBER(SEARCH("BINARY",Table24[[#This Row],[Type]]))=TRUE,1,"")</f>
        <v/>
      </c>
      <c r="P356" s="7" t="str">
        <f>IF(Table24[[#This Row],[Type]]="","",LEFT(Table24[[#This Row],[Type]],1)&amp;LEFT(#REF!,1))</f>
        <v/>
      </c>
      <c r="Q356" s="18" t="str">
        <f>IF(Table24[[#This Row],[Type]]="","",LEFT(Table24[[#This Row],[Type]],1)&amp;LEFT(#REF!,1))</f>
        <v/>
      </c>
      <c r="R356" s="18"/>
      <c r="S356" s="7" t="str">
        <f>IF(Table24[[#This Row],[A Counter]]=1,"AI"&amp;#REF!+SUM($N$35:N356),IF(Table24[[#This Row],[B Counter]]=1,"BI"&amp;#REF!+SUM($O$35:O356),""))</f>
        <v/>
      </c>
      <c r="T356" s="18" t="s">
        <v>34</v>
      </c>
      <c r="U356" s="7"/>
    </row>
    <row r="357" spans="1:21" x14ac:dyDescent="0.25">
      <c r="A357">
        <f t="shared" si="10"/>
        <v>348</v>
      </c>
      <c r="B357" s="93" t="str">
        <f>IFERROR(RIGHT(Table24[[#This Row],[Controller Input '#]],3)*1,"")</f>
        <v/>
      </c>
      <c r="C357" s="99"/>
      <c r="D357" s="1"/>
      <c r="E357" s="1"/>
      <c r="F357" s="1"/>
      <c r="G357" s="1"/>
      <c r="H357" s="8"/>
      <c r="I357" s="1"/>
      <c r="J357" s="1"/>
      <c r="K357" s="1"/>
      <c r="L357" s="1"/>
      <c r="M357" s="1"/>
      <c r="N357" s="18" t="str">
        <f>IF(ISNUMBER(SEARCH("ANALOG",Table24[[#This Row],[Type]]))=TRUE,1,"")</f>
        <v/>
      </c>
      <c r="O357" s="18" t="str">
        <f>IF(ISNUMBER(SEARCH("BINARY",Table24[[#This Row],[Type]]))=TRUE,1,"")</f>
        <v/>
      </c>
      <c r="P357" s="7" t="str">
        <f>IF(Table24[[#This Row],[Type]]="","",LEFT(Table24[[#This Row],[Type]],1)&amp;LEFT(#REF!,1))</f>
        <v/>
      </c>
      <c r="Q357" s="18" t="str">
        <f>IF(Table24[[#This Row],[Type]]="","",LEFT(Table24[[#This Row],[Type]],1)&amp;LEFT(#REF!,1))</f>
        <v/>
      </c>
      <c r="R357" s="18"/>
      <c r="S357" s="7" t="str">
        <f>IF(Table24[[#This Row],[A Counter]]=1,"AI"&amp;#REF!+SUM($N$35:N357),IF(Table24[[#This Row],[B Counter]]=1,"BI"&amp;#REF!+SUM($O$35:O357),""))</f>
        <v/>
      </c>
      <c r="T357" s="18" t="s">
        <v>34</v>
      </c>
      <c r="U357" s="7"/>
    </row>
    <row r="358" spans="1:21" x14ac:dyDescent="0.25">
      <c r="A358">
        <f t="shared" si="10"/>
        <v>349</v>
      </c>
      <c r="B358" s="93" t="str">
        <f>IFERROR(RIGHT(Table24[[#This Row],[Controller Input '#]],3)*1,"")</f>
        <v/>
      </c>
      <c r="C358" s="99"/>
      <c r="D358" s="1"/>
      <c r="E358" s="11"/>
      <c r="F358" s="11"/>
      <c r="G358" s="11"/>
      <c r="H358" s="21"/>
      <c r="I358" s="11"/>
      <c r="J358" s="11"/>
      <c r="K358" s="11"/>
      <c r="L358" s="11"/>
      <c r="M358" s="11"/>
      <c r="N358" s="18" t="str">
        <f>IF(ISNUMBER(SEARCH("ANALOG",Table24[[#This Row],[Type]]))=TRUE,1,"")</f>
        <v/>
      </c>
      <c r="O358" s="18" t="str">
        <f>IF(ISNUMBER(SEARCH("BINARY",Table24[[#This Row],[Type]]))=TRUE,1,"")</f>
        <v/>
      </c>
      <c r="P358" s="7" t="str">
        <f>IF(Table24[[#This Row],[Type]]="","",LEFT(Table24[[#This Row],[Type]],1)&amp;LEFT(#REF!,1))</f>
        <v/>
      </c>
      <c r="Q358" s="18" t="str">
        <f>IF(Table24[[#This Row],[Type]]="","",LEFT(Table24[[#This Row],[Type]],1)&amp;LEFT(#REF!,1))</f>
        <v/>
      </c>
      <c r="R358" s="18"/>
      <c r="S358" s="7" t="str">
        <f>IF(Table24[[#This Row],[A Counter]]=1,"AI"&amp;#REF!+SUM($N$35:N358),IF(Table24[[#This Row],[B Counter]]=1,"BI"&amp;#REF!+SUM($O$35:O358),""))</f>
        <v/>
      </c>
      <c r="T358" s="26" t="s">
        <v>34</v>
      </c>
      <c r="U358" s="7"/>
    </row>
    <row r="359" spans="1:21" x14ac:dyDescent="0.25">
      <c r="A359">
        <f t="shared" si="10"/>
        <v>350</v>
      </c>
      <c r="B359" s="93" t="str">
        <f>IFERROR(RIGHT(Table24[[#This Row],[Controller Input '#]],3)*1,"")</f>
        <v/>
      </c>
      <c r="C359" s="99"/>
      <c r="D359" s="1"/>
      <c r="E359" s="11"/>
      <c r="F359" s="11"/>
      <c r="G359" s="11"/>
      <c r="H359" s="21"/>
      <c r="I359" s="11"/>
      <c r="J359" s="11"/>
      <c r="K359" s="11"/>
      <c r="L359" s="11"/>
      <c r="M359" s="11"/>
      <c r="N359" s="18" t="str">
        <f>IF(ISNUMBER(SEARCH("ANALOG",Table24[[#This Row],[Type]]))=TRUE,1,"")</f>
        <v/>
      </c>
      <c r="O359" s="18" t="str">
        <f>IF(ISNUMBER(SEARCH("BINARY",Table24[[#This Row],[Type]]))=TRUE,1,"")</f>
        <v/>
      </c>
      <c r="P359" s="7" t="str">
        <f>IF(Table24[[#This Row],[Type]]="","",LEFT(Table24[[#This Row],[Type]],1)&amp;LEFT(#REF!,1))</f>
        <v/>
      </c>
      <c r="Q359" s="18" t="str">
        <f>IF(Table24[[#This Row],[Type]]="","",LEFT(Table24[[#This Row],[Type]],1)&amp;LEFT(#REF!,1))</f>
        <v/>
      </c>
      <c r="R359" s="18"/>
      <c r="S359" s="7" t="str">
        <f>IF(Table24[[#This Row],[A Counter]]=1,"AI"&amp;#REF!+SUM($N$35:N359),IF(Table24[[#This Row],[B Counter]]=1,"BI"&amp;#REF!+SUM($O$35:O359),""))</f>
        <v/>
      </c>
      <c r="T359" s="26" t="s">
        <v>34</v>
      </c>
      <c r="U359" s="7"/>
    </row>
    <row r="360" spans="1:21" x14ac:dyDescent="0.25">
      <c r="A360">
        <f t="shared" si="10"/>
        <v>351</v>
      </c>
      <c r="B360" s="93" t="str">
        <f>IFERROR(RIGHT(Table24[[#This Row],[Controller Input '#]],3)*1,"")</f>
        <v/>
      </c>
      <c r="C360" s="99"/>
      <c r="D360" s="1"/>
      <c r="E360" s="11"/>
      <c r="F360" s="11"/>
      <c r="G360" s="11"/>
      <c r="H360" s="21"/>
      <c r="I360" s="11"/>
      <c r="J360" s="11"/>
      <c r="K360" s="11"/>
      <c r="L360" s="11"/>
      <c r="M360" s="11"/>
      <c r="N360" s="18" t="str">
        <f>IF(ISNUMBER(SEARCH("ANALOG",Table24[[#This Row],[Type]]))=TRUE,1,"")</f>
        <v/>
      </c>
      <c r="O360" s="18" t="str">
        <f>IF(ISNUMBER(SEARCH("BINARY",Table24[[#This Row],[Type]]))=TRUE,1,"")</f>
        <v/>
      </c>
      <c r="P360" s="7" t="str">
        <f>IF(Table24[[#This Row],[Type]]="","",LEFT(Table24[[#This Row],[Type]],1)&amp;LEFT(#REF!,1))</f>
        <v/>
      </c>
      <c r="Q360" s="18" t="str">
        <f>IF(Table24[[#This Row],[Type]]="","",LEFT(Table24[[#This Row],[Type]],1)&amp;LEFT(#REF!,1))</f>
        <v/>
      </c>
      <c r="R360" s="18"/>
      <c r="S360" s="7" t="str">
        <f>IF(Table24[[#This Row],[A Counter]]=1,"AI"&amp;#REF!+SUM($N$35:N360),IF(Table24[[#This Row],[B Counter]]=1,"BI"&amp;#REF!+SUM($O$35:O360),""))</f>
        <v/>
      </c>
      <c r="T360" s="26" t="s">
        <v>34</v>
      </c>
    </row>
    <row r="361" spans="1:21" x14ac:dyDescent="0.25">
      <c r="A361">
        <f t="shared" si="10"/>
        <v>352</v>
      </c>
      <c r="B361" s="93">
        <f>IFERROR(RIGHT(Table24[[#This Row],[Controller Input '#]],3)*1,"")</f>
        <v>703</v>
      </c>
      <c r="C361" s="101" t="s">
        <v>433</v>
      </c>
      <c r="D361" s="1"/>
      <c r="E361" s="23"/>
      <c r="F361" s="23"/>
      <c r="G361" s="23"/>
      <c r="H361" s="27"/>
      <c r="I361" s="23"/>
      <c r="J361" s="23"/>
      <c r="K361" s="23"/>
      <c r="L361" s="23"/>
      <c r="M361" s="23"/>
      <c r="N361" s="18" t="str">
        <f>IF(ISNUMBER(SEARCH("ANALOG",Table24[[#This Row],[Type]]))=TRUE,1,"")</f>
        <v/>
      </c>
      <c r="O361" s="18" t="str">
        <f>IF(ISNUMBER(SEARCH("BINARY",Table24[[#This Row],[Type]]))=TRUE,1,"")</f>
        <v/>
      </c>
      <c r="P361" s="7" t="str">
        <f>IF(Table24[[#This Row],[Type]]="","",LEFT(Table24[[#This Row],[Type]],1)&amp;LEFT(#REF!,1))</f>
        <v/>
      </c>
      <c r="Q361" s="18" t="str">
        <f>IF(Table24[[#This Row],[Type]]="","",LEFT(Table24[[#This Row],[Type]],1)&amp;LEFT(#REF!,1))</f>
        <v/>
      </c>
      <c r="R361" s="18"/>
      <c r="S361" s="7" t="str">
        <f>IF(Table24[[#This Row],[A Counter]]=1,"AI"&amp;#REF!+SUM($N$35:N361),IF(Table24[[#This Row],[B Counter]]=1,"BI"&amp;#REF!+SUM($O$35:O361),""))</f>
        <v/>
      </c>
      <c r="T361" s="28" t="s">
        <v>34</v>
      </c>
    </row>
    <row r="362" spans="1:21" x14ac:dyDescent="0.25">
      <c r="A362">
        <f t="shared" si="10"/>
        <v>353</v>
      </c>
      <c r="B362" s="93">
        <f>IFERROR(RIGHT(Table24[[#This Row],[Controller Input '#]],3)*1,"")</f>
        <v>704</v>
      </c>
      <c r="C362" s="101" t="s">
        <v>434</v>
      </c>
      <c r="D362" s="1"/>
      <c r="E362" s="11"/>
      <c r="F362" s="11"/>
      <c r="G362" s="11"/>
      <c r="H362" s="21"/>
      <c r="I362" s="11"/>
      <c r="J362" s="11"/>
      <c r="K362" s="11"/>
      <c r="L362" s="11"/>
      <c r="M362" s="11"/>
      <c r="N362" s="18" t="str">
        <f>IF(ISNUMBER(SEARCH("ANALOG",Table24[[#This Row],[Type]]))=TRUE,1,"")</f>
        <v/>
      </c>
      <c r="O362" s="18" t="str">
        <f>IF(ISNUMBER(SEARCH("BINARY",Table24[[#This Row],[Type]]))=TRUE,1,"")</f>
        <v/>
      </c>
      <c r="P362" s="7" t="str">
        <f>IF(Table24[[#This Row],[Type]]="","",LEFT(Table24[[#This Row],[Type]],1)&amp;LEFT(#REF!,1))</f>
        <v/>
      </c>
      <c r="Q362" s="18" t="str">
        <f>IF(Table24[[#This Row],[Type]]="","",LEFT(Table24[[#This Row],[Type]],1)&amp;LEFT(#REF!,1))</f>
        <v/>
      </c>
      <c r="R362" s="18"/>
      <c r="S362" s="7" t="str">
        <f>IF(Table24[[#This Row],[A Counter]]=1,"AI"&amp;#REF!+SUM($N$35:N362),IF(Table24[[#This Row],[B Counter]]=1,"BI"&amp;#REF!+SUM($O$35:O362),""))</f>
        <v/>
      </c>
      <c r="T362" s="26" t="s">
        <v>34</v>
      </c>
    </row>
    <row r="363" spans="1:21" x14ac:dyDescent="0.25">
      <c r="A363">
        <f t="shared" si="10"/>
        <v>354</v>
      </c>
      <c r="B363" s="93">
        <f>IFERROR(RIGHT(Table24[[#This Row],[Controller Input '#]],3)*1,"")</f>
        <v>705</v>
      </c>
      <c r="C363" s="101" t="s">
        <v>435</v>
      </c>
      <c r="D363" s="1"/>
      <c r="E363" s="11"/>
      <c r="F363" s="11"/>
      <c r="G363" s="11"/>
      <c r="H363" s="21"/>
      <c r="I363" s="11"/>
      <c r="J363" s="11"/>
      <c r="K363" s="11"/>
      <c r="L363" s="11"/>
      <c r="M363" s="11"/>
      <c r="N363" s="18" t="str">
        <f>IF(ISNUMBER(SEARCH("ANALOG",Table24[[#This Row],[Type]]))=TRUE,1,"")</f>
        <v/>
      </c>
      <c r="O363" s="18" t="str">
        <f>IF(ISNUMBER(SEARCH("BINARY",Table24[[#This Row],[Type]]))=TRUE,1,"")</f>
        <v/>
      </c>
      <c r="P363" s="7" t="str">
        <f>IF(Table24[[#This Row],[Type]]="","",LEFT(Table24[[#This Row],[Type]],1)&amp;LEFT(#REF!,1))</f>
        <v/>
      </c>
      <c r="Q363" s="18" t="str">
        <f>IF(Table24[[#This Row],[Type]]="","",LEFT(Table24[[#This Row],[Type]],1)&amp;LEFT(#REF!,1))</f>
        <v/>
      </c>
      <c r="R363" s="18"/>
      <c r="S363" s="7" t="str">
        <f>IF(Table24[[#This Row],[A Counter]]=1,"AI"&amp;#REF!+SUM($N$35:N363),IF(Table24[[#This Row],[B Counter]]=1,"BI"&amp;#REF!+SUM($O$35:O363),""))</f>
        <v/>
      </c>
      <c r="T363" s="26" t="s">
        <v>34</v>
      </c>
    </row>
    <row r="364" spans="1:21" x14ac:dyDescent="0.25">
      <c r="A364">
        <f t="shared" si="10"/>
        <v>355</v>
      </c>
      <c r="B364" s="93" t="str">
        <f>IFERROR(RIGHT(Table24[[#This Row],[Controller Input '#]],3)*1,"")</f>
        <v/>
      </c>
      <c r="C364" s="99"/>
      <c r="D364" s="1"/>
      <c r="E364" s="11"/>
      <c r="F364" s="11"/>
      <c r="G364" s="11"/>
      <c r="H364" s="21"/>
      <c r="I364" s="11"/>
      <c r="J364" s="11"/>
      <c r="K364" s="11"/>
      <c r="L364" s="11"/>
      <c r="M364" s="11"/>
      <c r="N364" s="18" t="str">
        <f>IF(ISNUMBER(SEARCH("ANALOG",Table24[[#This Row],[Type]]))=TRUE,1,"")</f>
        <v/>
      </c>
      <c r="O364" s="18" t="str">
        <f>IF(ISNUMBER(SEARCH("BINARY",Table24[[#This Row],[Type]]))=TRUE,1,"")</f>
        <v/>
      </c>
      <c r="P364" s="7" t="str">
        <f>IF(Table24[[#This Row],[Type]]="","",LEFT(Table24[[#This Row],[Type]],1)&amp;LEFT(#REF!,1))</f>
        <v/>
      </c>
      <c r="Q364" s="18" t="str">
        <f>IF(Table24[[#This Row],[Type]]="","",LEFT(Table24[[#This Row],[Type]],1)&amp;LEFT(#REF!,1))</f>
        <v/>
      </c>
      <c r="R364" s="18"/>
      <c r="S364" s="7" t="str">
        <f>IF(Table24[[#This Row],[A Counter]]=1,"AI"&amp;#REF!+SUM($N$35:N364),IF(Table24[[#This Row],[B Counter]]=1,"BI"&amp;#REF!+SUM($O$35:O364),""))</f>
        <v/>
      </c>
      <c r="T364" s="26" t="s">
        <v>34</v>
      </c>
    </row>
    <row r="365" spans="1:21" x14ac:dyDescent="0.25">
      <c r="A365">
        <f t="shared" si="10"/>
        <v>356</v>
      </c>
      <c r="B365" s="93" t="str">
        <f>IFERROR(RIGHT(Table24[[#This Row],[Controller Input '#]],3)*1,"")</f>
        <v/>
      </c>
      <c r="C365" s="99"/>
      <c r="D365" s="1"/>
      <c r="E365" s="11"/>
      <c r="F365" s="11"/>
      <c r="G365" s="11"/>
      <c r="H365" s="21"/>
      <c r="I365" s="11"/>
      <c r="J365" s="11"/>
      <c r="K365" s="11"/>
      <c r="L365" s="11"/>
      <c r="M365" s="11"/>
      <c r="N365" s="18" t="str">
        <f>IF(ISNUMBER(SEARCH("ANALOG",Table24[[#This Row],[Type]]))=TRUE,1,"")</f>
        <v/>
      </c>
      <c r="O365" s="18" t="str">
        <f>IF(ISNUMBER(SEARCH("BINARY",Table24[[#This Row],[Type]]))=TRUE,1,"")</f>
        <v/>
      </c>
      <c r="P365" s="7" t="str">
        <f>IF(Table24[[#This Row],[Type]]="","",LEFT(Table24[[#This Row],[Type]],1)&amp;LEFT(#REF!,1))</f>
        <v/>
      </c>
      <c r="Q365" s="18" t="str">
        <f>IF(Table24[[#This Row],[Type]]="","",LEFT(Table24[[#This Row],[Type]],1)&amp;LEFT(#REF!,1))</f>
        <v/>
      </c>
      <c r="R365" s="18"/>
      <c r="S365" s="7" t="str">
        <f>IF(Table24[[#This Row],[A Counter]]=1,"AI"&amp;#REF!+SUM($N$35:N365),IF(Table24[[#This Row],[B Counter]]=1,"BI"&amp;#REF!+SUM($O$35:O365),""))</f>
        <v/>
      </c>
      <c r="T365" s="26" t="s">
        <v>34</v>
      </c>
    </row>
    <row r="366" spans="1:21" x14ac:dyDescent="0.25">
      <c r="A366">
        <f t="shared" si="10"/>
        <v>357</v>
      </c>
      <c r="B366" s="93" t="str">
        <f>IFERROR(RIGHT(Table24[[#This Row],[Controller Input '#]],3)*1,"")</f>
        <v/>
      </c>
      <c r="C366" s="99"/>
      <c r="D366" s="1"/>
      <c r="E366" s="23"/>
      <c r="F366" s="23"/>
      <c r="G366" s="23"/>
      <c r="H366" s="27"/>
      <c r="I366" s="23"/>
      <c r="J366" s="23"/>
      <c r="K366" s="23"/>
      <c r="L366" s="23"/>
      <c r="M366" s="23"/>
      <c r="N366" s="18" t="str">
        <f>IF(ISNUMBER(SEARCH("ANALOG",Table24[[#This Row],[Type]]))=TRUE,1,"")</f>
        <v/>
      </c>
      <c r="O366" s="18" t="str">
        <f>IF(ISNUMBER(SEARCH("BINARY",Table24[[#This Row],[Type]]))=TRUE,1,"")</f>
        <v/>
      </c>
      <c r="P366" s="7" t="str">
        <f>IF(Table24[[#This Row],[Type]]="","",LEFT(Table24[[#This Row],[Type]],1)&amp;LEFT(#REF!,1))</f>
        <v/>
      </c>
      <c r="Q366" s="18" t="str">
        <f>IF(Table24[[#This Row],[Type]]="","",LEFT(Table24[[#This Row],[Type]],1)&amp;LEFT(#REF!,1))</f>
        <v/>
      </c>
      <c r="R366" s="18"/>
      <c r="S366" s="7" t="str">
        <f>IF(Table24[[#This Row],[A Counter]]=1,"AI"&amp;#REF!+SUM($N$35:N366),IF(Table24[[#This Row],[B Counter]]=1,"BI"&amp;#REF!+SUM($O$35:O366),""))</f>
        <v/>
      </c>
      <c r="T366" s="28" t="s">
        <v>34</v>
      </c>
    </row>
    <row r="367" spans="1:21" x14ac:dyDescent="0.25">
      <c r="A367">
        <f t="shared" si="10"/>
        <v>358</v>
      </c>
      <c r="B367" s="93" t="str">
        <f>IFERROR(RIGHT(Table24[[#This Row],[Controller Input '#]],3)*1,"")</f>
        <v/>
      </c>
      <c r="C367" s="99"/>
      <c r="D367" s="1"/>
      <c r="E367" s="11"/>
      <c r="F367" s="11"/>
      <c r="G367" s="11"/>
      <c r="H367" s="21"/>
      <c r="I367" s="11"/>
      <c r="J367" s="11"/>
      <c r="K367" s="11"/>
      <c r="L367" s="11"/>
      <c r="M367" s="11"/>
      <c r="N367" s="18" t="str">
        <f>IF(ISNUMBER(SEARCH("ANALOG",Table24[[#This Row],[Type]]))=TRUE,1,"")</f>
        <v/>
      </c>
      <c r="O367" s="18" t="str">
        <f>IF(ISNUMBER(SEARCH("BINARY",Table24[[#This Row],[Type]]))=TRUE,1,"")</f>
        <v/>
      </c>
      <c r="P367" s="7" t="str">
        <f>IF(Table24[[#This Row],[Type]]="","",LEFT(Table24[[#This Row],[Type]],1)&amp;LEFT(#REF!,1))</f>
        <v/>
      </c>
      <c r="Q367" s="18" t="str">
        <f>IF(Table24[[#This Row],[Type]]="","",LEFT(Table24[[#This Row],[Type]],1)&amp;LEFT(#REF!,1))</f>
        <v/>
      </c>
      <c r="R367" s="18"/>
      <c r="S367" s="7" t="str">
        <f>IF(Table24[[#This Row],[A Counter]]=1,"AI"&amp;#REF!+SUM($N$35:N367),IF(Table24[[#This Row],[B Counter]]=1,"BI"&amp;#REF!+SUM($O$35:O367),""))</f>
        <v/>
      </c>
      <c r="T367" s="26" t="s">
        <v>34</v>
      </c>
    </row>
    <row r="368" spans="1:21" x14ac:dyDescent="0.25">
      <c r="A368">
        <f t="shared" si="10"/>
        <v>359</v>
      </c>
      <c r="B368" s="93" t="str">
        <f>IFERROR(RIGHT(Table24[[#This Row],[Controller Input '#]],3)*1,"")</f>
        <v/>
      </c>
      <c r="C368" s="99"/>
      <c r="D368" s="1"/>
      <c r="E368" s="11"/>
      <c r="F368" s="11"/>
      <c r="G368" s="11"/>
      <c r="H368" s="21"/>
      <c r="I368" s="11"/>
      <c r="J368" s="11"/>
      <c r="K368" s="11"/>
      <c r="L368" s="11"/>
      <c r="M368" s="11"/>
      <c r="N368" s="18" t="str">
        <f>IF(ISNUMBER(SEARCH("ANALOG",Table24[[#This Row],[Type]]))=TRUE,1,"")</f>
        <v/>
      </c>
      <c r="O368" s="18" t="str">
        <f>IF(ISNUMBER(SEARCH("BINARY",Table24[[#This Row],[Type]]))=TRUE,1,"")</f>
        <v/>
      </c>
      <c r="P368" s="7" t="str">
        <f>IF(Table24[[#This Row],[Type]]="","",LEFT(Table24[[#This Row],[Type]],1)&amp;LEFT(#REF!,1))</f>
        <v/>
      </c>
      <c r="Q368" s="18" t="str">
        <f>IF(Table24[[#This Row],[Type]]="","",LEFT(Table24[[#This Row],[Type]],1)&amp;LEFT(#REF!,1))</f>
        <v/>
      </c>
      <c r="R368" s="18"/>
      <c r="S368" s="7" t="str">
        <f>IF(Table24[[#This Row],[A Counter]]=1,"AI"&amp;#REF!+SUM($N$35:N368),IF(Table24[[#This Row],[B Counter]]=1,"BI"&amp;#REF!+SUM($O$35:O368),""))</f>
        <v/>
      </c>
      <c r="T368" s="26" t="s">
        <v>34</v>
      </c>
    </row>
    <row r="369" spans="1:20" x14ac:dyDescent="0.25">
      <c r="A369">
        <f t="shared" si="10"/>
        <v>360</v>
      </c>
      <c r="B369" s="93" t="str">
        <f>IFERROR(RIGHT(Table24[[#This Row],[Controller Input '#]],3)*1,"")</f>
        <v/>
      </c>
      <c r="C369" s="99"/>
      <c r="D369" s="1"/>
      <c r="E369" s="11"/>
      <c r="F369" s="11"/>
      <c r="G369" s="11"/>
      <c r="H369" s="21"/>
      <c r="I369" s="11"/>
      <c r="J369" s="11"/>
      <c r="K369" s="11"/>
      <c r="L369" s="11"/>
      <c r="M369" s="11"/>
      <c r="N369" s="18" t="str">
        <f>IF(ISNUMBER(SEARCH("ANALOG",Table24[[#This Row],[Type]]))=TRUE,1,"")</f>
        <v/>
      </c>
      <c r="O369" s="18" t="str">
        <f>IF(ISNUMBER(SEARCH("BINARY",Table24[[#This Row],[Type]]))=TRUE,1,"")</f>
        <v/>
      </c>
      <c r="P369" s="7" t="str">
        <f>IF(Table24[[#This Row],[Type]]="","",LEFT(Table24[[#This Row],[Type]],1)&amp;LEFT(#REF!,1))</f>
        <v/>
      </c>
      <c r="Q369" s="18" t="str">
        <f>IF(Table24[[#This Row],[Type]]="","",LEFT(Table24[[#This Row],[Type]],1)&amp;LEFT(#REF!,1))</f>
        <v/>
      </c>
      <c r="R369" s="18"/>
      <c r="S369" s="7" t="str">
        <f>IF(Table24[[#This Row],[A Counter]]=1,"AI"&amp;#REF!+SUM($N$35:N369),IF(Table24[[#This Row],[B Counter]]=1,"BI"&amp;#REF!+SUM($O$35:O369),""))</f>
        <v/>
      </c>
      <c r="T369" s="26" t="s">
        <v>34</v>
      </c>
    </row>
    <row r="370" spans="1:20" x14ac:dyDescent="0.25">
      <c r="A370">
        <f t="shared" si="10"/>
        <v>361</v>
      </c>
      <c r="B370" s="93">
        <f>IFERROR(RIGHT(Table24[[#This Row],[Controller Input '#]],3)*1,"")</f>
        <v>804</v>
      </c>
      <c r="C370" s="101" t="s">
        <v>997</v>
      </c>
      <c r="D370" s="1"/>
      <c r="E370" s="11"/>
      <c r="F370" s="11"/>
      <c r="G370" s="11"/>
      <c r="H370" s="21"/>
      <c r="I370" s="11"/>
      <c r="J370" s="11"/>
      <c r="K370" s="11"/>
      <c r="L370" s="11"/>
      <c r="M370" s="11"/>
      <c r="N370" s="18" t="str">
        <f>IF(ISNUMBER(SEARCH("ANALOG",Table24[[#This Row],[Type]]))=TRUE,1,"")</f>
        <v/>
      </c>
      <c r="O370" s="18" t="str">
        <f>IF(ISNUMBER(SEARCH("BINARY",Table24[[#This Row],[Type]]))=TRUE,1,"")</f>
        <v/>
      </c>
      <c r="P370" s="7" t="str">
        <f>IF(Table24[[#This Row],[Type]]="","",LEFT(Table24[[#This Row],[Type]],1)&amp;LEFT(#REF!,1))</f>
        <v/>
      </c>
      <c r="Q370" s="18" t="str">
        <f>IF(Table24[[#This Row],[Type]]="","",LEFT(Table24[[#This Row],[Type]],1)&amp;LEFT(#REF!,1))</f>
        <v/>
      </c>
      <c r="R370" s="18"/>
      <c r="S370" s="7" t="str">
        <f>IF(Table24[[#This Row],[A Counter]]=1,"AI"&amp;#REF!+SUM($N$35:N370),IF(Table24[[#This Row],[B Counter]]=1,"BI"&amp;#REF!+SUM($O$35:O370),""))</f>
        <v/>
      </c>
      <c r="T370" s="26" t="s">
        <v>34</v>
      </c>
    </row>
    <row r="371" spans="1:20" x14ac:dyDescent="0.25">
      <c r="A371">
        <f t="shared" si="10"/>
        <v>362</v>
      </c>
      <c r="B371" s="93">
        <f>IFERROR(RIGHT(Table24[[#This Row],[Controller Input '#]],3)*1,"")</f>
        <v>805</v>
      </c>
      <c r="C371" s="101" t="s">
        <v>448</v>
      </c>
      <c r="D371" s="1"/>
      <c r="E371" s="23"/>
      <c r="F371" s="23"/>
      <c r="G371" s="23"/>
      <c r="H371" s="27"/>
      <c r="I371" s="23"/>
      <c r="J371" s="23"/>
      <c r="K371" s="23"/>
      <c r="L371" s="23"/>
      <c r="M371" s="23"/>
      <c r="N371" s="18" t="str">
        <f>IF(ISNUMBER(SEARCH("ANALOG",Table24[[#This Row],[Type]]))=TRUE,1,"")</f>
        <v/>
      </c>
      <c r="O371" s="18" t="str">
        <f>IF(ISNUMBER(SEARCH("BINARY",Table24[[#This Row],[Type]]))=TRUE,1,"")</f>
        <v/>
      </c>
      <c r="P371" s="7" t="str">
        <f>IF(Table24[[#This Row],[Type]]="","",LEFT(Table24[[#This Row],[Type]],1)&amp;LEFT(#REF!,1))</f>
        <v/>
      </c>
      <c r="Q371" s="18" t="str">
        <f>IF(Table24[[#This Row],[Type]]="","",LEFT(Table24[[#This Row],[Type]],1)&amp;LEFT(#REF!,1))</f>
        <v/>
      </c>
      <c r="R371" s="18"/>
      <c r="S371" s="7" t="str">
        <f>IF(Table24[[#This Row],[A Counter]]=1,"AI"&amp;#REF!+SUM($N$35:N371),IF(Table24[[#This Row],[B Counter]]=1,"BI"&amp;#REF!+SUM($O$35:O371),""))</f>
        <v/>
      </c>
      <c r="T371" s="28" t="s">
        <v>34</v>
      </c>
    </row>
    <row r="372" spans="1:20" x14ac:dyDescent="0.25">
      <c r="A372">
        <f t="shared" si="10"/>
        <v>363</v>
      </c>
      <c r="B372" s="93">
        <f>IFERROR(RIGHT(Table24[[#This Row],[Controller Input '#]],3)*1,"")</f>
        <v>806</v>
      </c>
      <c r="C372" s="101" t="s">
        <v>449</v>
      </c>
      <c r="D372" s="1"/>
      <c r="E372" s="11"/>
      <c r="F372" s="11"/>
      <c r="G372" s="11"/>
      <c r="H372" s="21"/>
      <c r="I372" s="11"/>
      <c r="J372" s="11"/>
      <c r="K372" s="11"/>
      <c r="L372" s="11"/>
      <c r="M372" s="11"/>
      <c r="N372" s="18" t="str">
        <f>IF(ISNUMBER(SEARCH("ANALOG",Table24[[#This Row],[Type]]))=TRUE,1,"")</f>
        <v/>
      </c>
      <c r="O372" s="18" t="str">
        <f>IF(ISNUMBER(SEARCH("BINARY",Table24[[#This Row],[Type]]))=TRUE,1,"")</f>
        <v/>
      </c>
      <c r="P372" s="7" t="str">
        <f>IF(Table24[[#This Row],[Type]]="","",LEFT(Table24[[#This Row],[Type]],1)&amp;LEFT(#REF!,1))</f>
        <v/>
      </c>
      <c r="Q372" s="18" t="str">
        <f>IF(Table24[[#This Row],[Type]]="","",LEFT(Table24[[#This Row],[Type]],1)&amp;LEFT(#REF!,1))</f>
        <v/>
      </c>
      <c r="R372" s="18"/>
      <c r="S372" s="7" t="str">
        <f>IF(Table24[[#This Row],[A Counter]]=1,"AI"&amp;#REF!+SUM($N$35:N372),IF(Table24[[#This Row],[B Counter]]=1,"BI"&amp;#REF!+SUM($O$35:O372),""))</f>
        <v/>
      </c>
      <c r="T372" s="26" t="s">
        <v>34</v>
      </c>
    </row>
    <row r="373" spans="1:20" x14ac:dyDescent="0.25">
      <c r="A373">
        <f t="shared" si="10"/>
        <v>364</v>
      </c>
      <c r="B373" s="93">
        <f>IFERROR(RIGHT(Table24[[#This Row],[Controller Input '#]],3)*1,"")</f>
        <v>807</v>
      </c>
      <c r="C373" s="101" t="s">
        <v>450</v>
      </c>
      <c r="D373" s="1"/>
      <c r="E373" s="1"/>
      <c r="F373" s="1"/>
      <c r="G373" s="1"/>
      <c r="H373" s="8"/>
      <c r="I373" s="1"/>
      <c r="J373" s="1"/>
      <c r="K373" s="1"/>
      <c r="L373" s="1"/>
      <c r="M373" s="1"/>
      <c r="N373" s="18" t="str">
        <f>IF(ISNUMBER(SEARCH("ANALOG",Table24[[#This Row],[Type]]))=TRUE,1,"")</f>
        <v/>
      </c>
      <c r="O373" s="18" t="str">
        <f>IF(ISNUMBER(SEARCH("BINARY",Table24[[#This Row],[Type]]))=TRUE,1,"")</f>
        <v/>
      </c>
      <c r="P373" s="7" t="str">
        <f>IF(Table24[[#This Row],[Type]]="","",LEFT(Table24[[#This Row],[Type]],1)&amp;LEFT(#REF!,1))</f>
        <v/>
      </c>
      <c r="Q373" s="18" t="str">
        <f>IF(Table24[[#This Row],[Type]]="","",LEFT(Table24[[#This Row],[Type]],1)&amp;LEFT(#REF!,1))</f>
        <v/>
      </c>
      <c r="R373" s="18"/>
      <c r="S373" s="7" t="str">
        <f>IF(Table24[[#This Row],[A Counter]]=1,"AI"&amp;#REF!+SUM($N$35:N373),IF(Table24[[#This Row],[B Counter]]=1,"BI"&amp;#REF!+SUM($O$35:O373),""))</f>
        <v/>
      </c>
      <c r="T373" s="18" t="s">
        <v>34</v>
      </c>
    </row>
    <row r="374" spans="1:20" x14ac:dyDescent="0.25">
      <c r="A374">
        <f t="shared" si="10"/>
        <v>365</v>
      </c>
      <c r="B374" s="93">
        <f>IFERROR(RIGHT(Table24[[#This Row],[Controller Input '#]],3)*1,"")</f>
        <v>808</v>
      </c>
      <c r="C374" s="101" t="s">
        <v>451</v>
      </c>
      <c r="D374" s="1"/>
      <c r="E374" s="1"/>
      <c r="F374" s="1"/>
      <c r="G374" s="1"/>
      <c r="H374" s="8"/>
      <c r="I374" s="1"/>
      <c r="J374" s="1"/>
      <c r="K374" s="1"/>
      <c r="L374" s="1"/>
      <c r="M374" s="1"/>
      <c r="N374" s="18" t="str">
        <f>IF(ISNUMBER(SEARCH("ANALOG",Table24[[#This Row],[Type]]))=TRUE,1,"")</f>
        <v/>
      </c>
      <c r="O374" s="18" t="str">
        <f>IF(ISNUMBER(SEARCH("BINARY",Table24[[#This Row],[Type]]))=TRUE,1,"")</f>
        <v/>
      </c>
      <c r="P374" s="7" t="str">
        <f>IF(Table24[[#This Row],[Type]]="","",LEFT(Table24[[#This Row],[Type]],1)&amp;LEFT(#REF!,1))</f>
        <v/>
      </c>
      <c r="Q374" s="18" t="str">
        <f>IF(Table24[[#This Row],[Type]]="","",LEFT(Table24[[#This Row],[Type]],1)&amp;LEFT(#REF!,1))</f>
        <v/>
      </c>
      <c r="R374" s="18"/>
      <c r="S374" s="7" t="str">
        <f>IF(Table24[[#This Row],[A Counter]]=1,"AI"&amp;#REF!+SUM($N$35:N374),IF(Table24[[#This Row],[B Counter]]=1,"BI"&amp;#REF!+SUM($O$35:O374),""))</f>
        <v/>
      </c>
      <c r="T374" s="18" t="s">
        <v>34</v>
      </c>
    </row>
    <row r="375" spans="1:20" x14ac:dyDescent="0.25">
      <c r="A375">
        <f t="shared" si="10"/>
        <v>366</v>
      </c>
      <c r="B375" s="93" t="str">
        <f>IFERROR(RIGHT(Table24[[#This Row],[Controller Input '#]],3)*1,"")</f>
        <v/>
      </c>
      <c r="C375" s="99"/>
      <c r="D375" s="1"/>
      <c r="E375" s="1"/>
      <c r="F375" s="1"/>
      <c r="G375" s="1"/>
      <c r="H375" s="8"/>
      <c r="I375" s="1"/>
      <c r="J375" s="1"/>
      <c r="K375" s="1"/>
      <c r="L375" s="1"/>
      <c r="M375" s="1"/>
      <c r="N375" s="18" t="str">
        <f>IF(ISNUMBER(SEARCH("ANALOG",Table24[[#This Row],[Type]]))=TRUE,1,"")</f>
        <v/>
      </c>
      <c r="O375" s="18" t="str">
        <f>IF(ISNUMBER(SEARCH("BINARY",Table24[[#This Row],[Type]]))=TRUE,1,"")</f>
        <v/>
      </c>
      <c r="P375" s="7" t="str">
        <f>IF(Table24[[#This Row],[Type]]="","",LEFT(Table24[[#This Row],[Type]],1)&amp;LEFT(#REF!,1))</f>
        <v/>
      </c>
      <c r="Q375" s="18" t="str">
        <f>IF(Table24[[#This Row],[Type]]="","",LEFT(Table24[[#This Row],[Type]],1)&amp;LEFT(#REF!,1))</f>
        <v/>
      </c>
      <c r="R375" s="18"/>
      <c r="S375" s="7" t="str">
        <f>IF(Table24[[#This Row],[A Counter]]=1,"AI"&amp;#REF!+SUM($N$35:N375),IF(Table24[[#This Row],[B Counter]]=1,"BI"&amp;#REF!+SUM($O$35:O375),""))</f>
        <v/>
      </c>
      <c r="T375" s="18" t="s">
        <v>34</v>
      </c>
    </row>
    <row r="376" spans="1:20" x14ac:dyDescent="0.25">
      <c r="A376">
        <f t="shared" si="10"/>
        <v>367</v>
      </c>
      <c r="B376" s="93" t="str">
        <f>IFERROR(RIGHT(Table24[[#This Row],[Controller Input '#]],3)*1,"")</f>
        <v/>
      </c>
      <c r="C376" s="99"/>
      <c r="D376" s="1"/>
      <c r="E376" s="1"/>
      <c r="F376" s="1"/>
      <c r="G376" s="11"/>
      <c r="H376" s="21"/>
      <c r="I376" s="1"/>
      <c r="J376" s="1"/>
      <c r="K376" s="1"/>
      <c r="L376" s="1"/>
      <c r="M376" s="1"/>
      <c r="N376" s="18" t="str">
        <f>IF(ISNUMBER(SEARCH("ANALOG",Table24[[#This Row],[Type]]))=TRUE,1,"")</f>
        <v/>
      </c>
      <c r="O376" s="18" t="str">
        <f>IF(ISNUMBER(SEARCH("BINARY",Table24[[#This Row],[Type]]))=TRUE,1,"")</f>
        <v/>
      </c>
      <c r="P376" s="7" t="str">
        <f>IF(Table24[[#This Row],[Type]]="","",LEFT(Table24[[#This Row],[Type]],1)&amp;LEFT(#REF!,1))</f>
        <v/>
      </c>
      <c r="Q376" s="18" t="str">
        <f>IF(Table24[[#This Row],[Type]]="","",LEFT(Table24[[#This Row],[Type]],1)&amp;LEFT(#REF!,1))</f>
        <v/>
      </c>
      <c r="R376" s="18"/>
      <c r="S376" s="7" t="str">
        <f>IF(Table24[[#This Row],[A Counter]]=1,"AI"&amp;#REF!+SUM($N$35:N376),IF(Table24[[#This Row],[B Counter]]=1,"BI"&amp;#REF!+SUM($O$35:O376),""))</f>
        <v/>
      </c>
      <c r="T376" s="18" t="s">
        <v>34</v>
      </c>
    </row>
    <row r="377" spans="1:20" x14ac:dyDescent="0.25">
      <c r="A377">
        <f t="shared" si="10"/>
        <v>368</v>
      </c>
      <c r="B377" s="93" t="str">
        <f>IFERROR(RIGHT(Table24[[#This Row],[Controller Input '#]],3)*1,"")</f>
        <v/>
      </c>
      <c r="C377" s="99"/>
      <c r="D377" s="1"/>
      <c r="E377" s="1"/>
      <c r="F377" s="1"/>
      <c r="G377" s="11"/>
      <c r="H377" s="21"/>
      <c r="I377" s="1"/>
      <c r="J377" s="1"/>
      <c r="K377" s="1"/>
      <c r="L377" s="1"/>
      <c r="M377" s="1"/>
      <c r="N377" s="18" t="str">
        <f>IF(ISNUMBER(SEARCH("ANALOG",Table24[[#This Row],[Type]]))=TRUE,1,"")</f>
        <v/>
      </c>
      <c r="O377" s="18" t="str">
        <f>IF(ISNUMBER(SEARCH("BINARY",Table24[[#This Row],[Type]]))=TRUE,1,"")</f>
        <v/>
      </c>
      <c r="P377" s="7" t="str">
        <f>IF(Table24[[#This Row],[Type]]="","",LEFT(Table24[[#This Row],[Type]],1)&amp;LEFT(#REF!,1))</f>
        <v/>
      </c>
      <c r="Q377" s="18" t="str">
        <f>IF(Table24[[#This Row],[Type]]="","",LEFT(Table24[[#This Row],[Type]],1)&amp;LEFT(#REF!,1))</f>
        <v/>
      </c>
      <c r="R377" s="18"/>
      <c r="S377" s="7" t="str">
        <f>IF(Table24[[#This Row],[A Counter]]=1,"AI"&amp;#REF!+SUM($N$35:N377),IF(Table24[[#This Row],[B Counter]]=1,"BI"&amp;#REF!+SUM($O$35:O377),""))</f>
        <v/>
      </c>
      <c r="T377" s="18" t="s">
        <v>34</v>
      </c>
    </row>
    <row r="378" spans="1:20" x14ac:dyDescent="0.25">
      <c r="A378">
        <f t="shared" si="10"/>
        <v>369</v>
      </c>
      <c r="B378" s="93" t="str">
        <f>IFERROR(RIGHT(Table24[[#This Row],[Controller Input '#]],3)*1,"")</f>
        <v/>
      </c>
      <c r="C378" s="99"/>
      <c r="D378" s="1"/>
      <c r="E378" s="1"/>
      <c r="F378" s="1"/>
      <c r="G378" s="11"/>
      <c r="H378" s="21"/>
      <c r="I378" s="1"/>
      <c r="J378" s="1"/>
      <c r="K378" s="1"/>
      <c r="L378" s="1"/>
      <c r="M378" s="1"/>
      <c r="N378" s="18" t="str">
        <f>IF(ISNUMBER(SEARCH("ANALOG",Table24[[#This Row],[Type]]))=TRUE,1,"")</f>
        <v/>
      </c>
      <c r="O378" s="18" t="str">
        <f>IF(ISNUMBER(SEARCH("BINARY",Table24[[#This Row],[Type]]))=TRUE,1,"")</f>
        <v/>
      </c>
      <c r="P378" s="7" t="str">
        <f>IF(Table24[[#This Row],[Type]]="","",LEFT(Table24[[#This Row],[Type]],1)&amp;LEFT(#REF!,1))</f>
        <v/>
      </c>
      <c r="Q378" s="18" t="str">
        <f>IF(Table24[[#This Row],[Type]]="","",LEFT(Table24[[#This Row],[Type]],1)&amp;LEFT(#REF!,1))</f>
        <v/>
      </c>
      <c r="R378" s="18"/>
      <c r="S378" s="7" t="str">
        <f>IF(Table24[[#This Row],[A Counter]]=1,"AI"&amp;#REF!+SUM($N$35:N378),IF(Table24[[#This Row],[B Counter]]=1,"BI"&amp;#REF!+SUM($O$35:O378),""))</f>
        <v/>
      </c>
      <c r="T378" s="18" t="s">
        <v>34</v>
      </c>
    </row>
    <row r="379" spans="1:20" x14ac:dyDescent="0.25">
      <c r="A379">
        <f t="shared" si="10"/>
        <v>370</v>
      </c>
      <c r="B379" s="93" t="str">
        <f>IFERROR(RIGHT(Table24[[#This Row],[Controller Input '#]],3)*1,"")</f>
        <v/>
      </c>
      <c r="C379" s="99"/>
      <c r="D379" s="1"/>
      <c r="E379" s="1"/>
      <c r="F379" s="1"/>
      <c r="G379" s="11"/>
      <c r="H379" s="21"/>
      <c r="I379" s="1"/>
      <c r="J379" s="1"/>
      <c r="K379" s="1"/>
      <c r="L379" s="1"/>
      <c r="M379" s="1"/>
      <c r="N379" s="18" t="str">
        <f>IF(ISNUMBER(SEARCH("ANALOG",Table24[[#This Row],[Type]]))=TRUE,1,"")</f>
        <v/>
      </c>
      <c r="O379" s="18" t="str">
        <f>IF(ISNUMBER(SEARCH("BINARY",Table24[[#This Row],[Type]]))=TRUE,1,"")</f>
        <v/>
      </c>
      <c r="P379" s="7" t="str">
        <f>IF(Table24[[#This Row],[Type]]="","",LEFT(Table24[[#This Row],[Type]],1)&amp;LEFT(#REF!,1))</f>
        <v/>
      </c>
      <c r="Q379" s="18" t="str">
        <f>IF(Table24[[#This Row],[Type]]="","",LEFT(Table24[[#This Row],[Type]],1)&amp;LEFT(#REF!,1))</f>
        <v/>
      </c>
      <c r="R379" s="18"/>
      <c r="S379" s="7" t="str">
        <f>IF(Table24[[#This Row],[A Counter]]=1,"AI"&amp;#REF!+SUM($N$35:N379),IF(Table24[[#This Row],[B Counter]]=1,"BI"&amp;#REF!+SUM($O$35:O379),""))</f>
        <v/>
      </c>
      <c r="T379" s="18" t="s">
        <v>34</v>
      </c>
    </row>
    <row r="380" spans="1:20" x14ac:dyDescent="0.25">
      <c r="A380">
        <f t="shared" si="10"/>
        <v>371</v>
      </c>
      <c r="B380" s="93" t="str">
        <f>IFERROR(RIGHT(Table24[[#This Row],[Controller Input '#]],3)*1,"")</f>
        <v/>
      </c>
      <c r="C380" s="99"/>
      <c r="D380" s="1"/>
      <c r="E380" s="1"/>
      <c r="F380" s="1"/>
      <c r="G380" s="1"/>
      <c r="H380" s="8"/>
      <c r="I380" s="1"/>
      <c r="J380" s="1"/>
      <c r="K380" s="1"/>
      <c r="L380" s="1"/>
      <c r="M380" s="1"/>
      <c r="N380" s="18" t="str">
        <f>IF(ISNUMBER(SEARCH("ANALOG",Table24[[#This Row],[Type]]))=TRUE,1,"")</f>
        <v/>
      </c>
      <c r="O380" s="18" t="str">
        <f>IF(ISNUMBER(SEARCH("BINARY",Table24[[#This Row],[Type]]))=TRUE,1,"")</f>
        <v/>
      </c>
      <c r="P380" s="7" t="str">
        <f>IF(Table24[[#This Row],[Type]]="","",LEFT(Table24[[#This Row],[Type]],1)&amp;LEFT(#REF!,1))</f>
        <v/>
      </c>
      <c r="Q380" s="18" t="str">
        <f>IF(Table24[[#This Row],[Type]]="","",LEFT(Table24[[#This Row],[Type]],1)&amp;LEFT(#REF!,1))</f>
        <v/>
      </c>
      <c r="R380" s="18"/>
      <c r="S380" s="7" t="str">
        <f>IF(Table24[[#This Row],[A Counter]]=1,"AI"&amp;#REF!+SUM($N$35:N380),IF(Table24[[#This Row],[B Counter]]=1,"BI"&amp;#REF!+SUM($O$35:O380),""))</f>
        <v/>
      </c>
      <c r="T380" s="18" t="s">
        <v>34</v>
      </c>
    </row>
    <row r="381" spans="1:20" x14ac:dyDescent="0.25">
      <c r="A381">
        <f t="shared" si="10"/>
        <v>372</v>
      </c>
      <c r="B381" s="93" t="str">
        <f>IFERROR(RIGHT(Table24[[#This Row],[Controller Input '#]],3)*1,"")</f>
        <v/>
      </c>
      <c r="C381" s="99"/>
      <c r="D381" s="1"/>
      <c r="E381" s="1"/>
      <c r="F381" s="1"/>
      <c r="G381" s="1"/>
      <c r="H381" s="8"/>
      <c r="I381" s="1"/>
      <c r="J381" s="1"/>
      <c r="K381" s="1"/>
      <c r="L381" s="1"/>
      <c r="M381" s="1"/>
      <c r="N381" s="18" t="str">
        <f>IF(ISNUMBER(SEARCH("ANALOG",Table24[[#This Row],[Type]]))=TRUE,1,"")</f>
        <v/>
      </c>
      <c r="O381" s="18" t="str">
        <f>IF(ISNUMBER(SEARCH("BINARY",Table24[[#This Row],[Type]]))=TRUE,1,"")</f>
        <v/>
      </c>
      <c r="P381" s="7" t="str">
        <f>IF(Table24[[#This Row],[Type]]="","",LEFT(Table24[[#This Row],[Type]],1)&amp;LEFT(#REF!,1))</f>
        <v/>
      </c>
      <c r="Q381" s="18" t="str">
        <f>IF(Table24[[#This Row],[Type]]="","",LEFT(Table24[[#This Row],[Type]],1)&amp;LEFT(#REF!,1))</f>
        <v/>
      </c>
      <c r="R381" s="18"/>
      <c r="S381" s="7" t="str">
        <f>IF(Table24[[#This Row],[A Counter]]=1,"AI"&amp;#REF!+SUM($N$35:N381),IF(Table24[[#This Row],[B Counter]]=1,"BI"&amp;#REF!+SUM($O$35:O381),""))</f>
        <v/>
      </c>
      <c r="T381" s="18" t="s">
        <v>34</v>
      </c>
    </row>
    <row r="382" spans="1:20" x14ac:dyDescent="0.25">
      <c r="A382">
        <f t="shared" si="10"/>
        <v>373</v>
      </c>
      <c r="B382" s="93">
        <f>IFERROR(RIGHT(Table24[[#This Row],[Controller Input '#]],3)*1,"")</f>
        <v>908</v>
      </c>
      <c r="C382" s="101" t="s">
        <v>467</v>
      </c>
      <c r="D382" s="1"/>
      <c r="E382" s="1"/>
      <c r="F382" s="1"/>
      <c r="G382" s="1"/>
      <c r="H382" s="8"/>
      <c r="I382" s="1"/>
      <c r="J382" s="1"/>
      <c r="K382" s="1"/>
      <c r="L382" s="1"/>
      <c r="M382" s="1"/>
      <c r="N382" s="18" t="str">
        <f>IF(ISNUMBER(SEARCH("ANALOG",Table24[[#This Row],[Type]]))=TRUE,1,"")</f>
        <v/>
      </c>
      <c r="O382" s="18" t="str">
        <f>IF(ISNUMBER(SEARCH("BINARY",Table24[[#This Row],[Type]]))=TRUE,1,"")</f>
        <v/>
      </c>
      <c r="P382" s="7" t="str">
        <f>IF(Table24[[#This Row],[Type]]="","",LEFT(Table24[[#This Row],[Type]],1)&amp;LEFT(#REF!,1))</f>
        <v/>
      </c>
      <c r="Q382" s="18" t="str">
        <f>IF(Table24[[#This Row],[Type]]="","",LEFT(Table24[[#This Row],[Type]],1)&amp;LEFT(#REF!,1))</f>
        <v/>
      </c>
      <c r="R382" s="18"/>
      <c r="S382" s="7" t="str">
        <f>IF(Table24[[#This Row],[A Counter]]=1,"AI"&amp;#REF!+SUM($N$35:N382),IF(Table24[[#This Row],[B Counter]]=1,"BI"&amp;#REF!+SUM($O$35:O382),""))</f>
        <v/>
      </c>
      <c r="T382" s="18" t="s">
        <v>34</v>
      </c>
    </row>
    <row r="383" spans="1:20" x14ac:dyDescent="0.25">
      <c r="A383">
        <f t="shared" si="10"/>
        <v>374</v>
      </c>
      <c r="B383" s="93" t="str">
        <f>IFERROR(RIGHT(Table24[[#This Row],[Controller Input '#]],3)*1,"")</f>
        <v/>
      </c>
      <c r="C383" s="99"/>
      <c r="D383" s="1"/>
      <c r="E383" s="11"/>
      <c r="F383" s="11"/>
      <c r="G383" s="11"/>
      <c r="H383" s="21"/>
      <c r="I383" s="11"/>
      <c r="J383" s="11"/>
      <c r="K383" s="11"/>
      <c r="L383" s="11"/>
      <c r="M383" s="1"/>
      <c r="N383" s="18" t="str">
        <f>IF(ISNUMBER(SEARCH("ANALOG",Table24[[#This Row],[Type]]))=TRUE,1,"")</f>
        <v/>
      </c>
      <c r="O383" s="18" t="str">
        <f>IF(ISNUMBER(SEARCH("BINARY",Table24[[#This Row],[Type]]))=TRUE,1,"")</f>
        <v/>
      </c>
      <c r="P383" s="7" t="str">
        <f>IF(Table24[[#This Row],[Type]]="","",LEFT(Table24[[#This Row],[Type]],1)&amp;LEFT(#REF!,1))</f>
        <v/>
      </c>
      <c r="Q383" s="18" t="str">
        <f>IF(Table24[[#This Row],[Type]]="","",LEFT(Table24[[#This Row],[Type]],1)&amp;LEFT(#REF!,1))</f>
        <v/>
      </c>
      <c r="R383" s="18"/>
      <c r="S383" s="7" t="str">
        <f>IF(Table24[[#This Row],[A Counter]]=1,"AI"&amp;#REF!+SUM($N$35:N383),IF(Table24[[#This Row],[B Counter]]=1,"BI"&amp;#REF!+SUM($O$35:O383),""))</f>
        <v/>
      </c>
      <c r="T383" s="18" t="s">
        <v>34</v>
      </c>
    </row>
    <row r="384" spans="1:20" x14ac:dyDescent="0.25">
      <c r="A384">
        <f t="shared" si="10"/>
        <v>375</v>
      </c>
      <c r="B384" s="93" t="str">
        <f>IFERROR(RIGHT(Table24[[#This Row],[Controller Input '#]],3)*1,"")</f>
        <v/>
      </c>
      <c r="C384" s="99"/>
      <c r="D384" s="1"/>
      <c r="E384" s="11"/>
      <c r="F384" s="11"/>
      <c r="G384" s="11"/>
      <c r="H384" s="21"/>
      <c r="I384" s="11"/>
      <c r="J384" s="11"/>
      <c r="K384" s="11"/>
      <c r="L384" s="11"/>
      <c r="M384" s="1"/>
      <c r="N384" s="18" t="str">
        <f>IF(ISNUMBER(SEARCH("ANALOG",Table24[[#This Row],[Type]]))=TRUE,1,"")</f>
        <v/>
      </c>
      <c r="O384" s="18" t="str">
        <f>IF(ISNUMBER(SEARCH("BINARY",Table24[[#This Row],[Type]]))=TRUE,1,"")</f>
        <v/>
      </c>
      <c r="P384" s="7" t="str">
        <f>IF(Table24[[#This Row],[Type]]="","",LEFT(Table24[[#This Row],[Type]],1)&amp;LEFT(#REF!,1))</f>
        <v/>
      </c>
      <c r="Q384" s="18" t="str">
        <f>IF(Table24[[#This Row],[Type]]="","",LEFT(Table24[[#This Row],[Type]],1)&amp;LEFT(#REF!,1))</f>
        <v/>
      </c>
      <c r="R384" s="18"/>
      <c r="S384" s="7" t="str">
        <f>IF(Table24[[#This Row],[A Counter]]=1,"AI"&amp;#REF!+SUM($N$35:N384),IF(Table24[[#This Row],[B Counter]]=1,"BI"&amp;#REF!+SUM($O$35:O384),""))</f>
        <v/>
      </c>
      <c r="T384" s="18" t="s">
        <v>34</v>
      </c>
    </row>
    <row r="385" spans="1:20" x14ac:dyDescent="0.25">
      <c r="A385">
        <f t="shared" si="10"/>
        <v>376</v>
      </c>
      <c r="B385" s="93" t="str">
        <f>IFERROR(RIGHT(Table24[[#This Row],[Controller Input '#]],3)*1,"")</f>
        <v/>
      </c>
      <c r="C385" s="99"/>
      <c r="D385" s="1"/>
      <c r="E385" s="11"/>
      <c r="F385" s="11"/>
      <c r="G385" s="11"/>
      <c r="H385" s="21"/>
      <c r="I385" s="11"/>
      <c r="J385" s="11"/>
      <c r="K385" s="11"/>
      <c r="L385" s="11"/>
      <c r="M385" s="1"/>
      <c r="N385" s="18" t="str">
        <f>IF(ISNUMBER(SEARCH("ANALOG",Table24[[#This Row],[Type]]))=TRUE,1,"")</f>
        <v/>
      </c>
      <c r="O385" s="18" t="str">
        <f>IF(ISNUMBER(SEARCH("BINARY",Table24[[#This Row],[Type]]))=TRUE,1,"")</f>
        <v/>
      </c>
      <c r="P385" s="7" t="str">
        <f>IF(Table24[[#This Row],[Type]]="","",LEFT(Table24[[#This Row],[Type]],1)&amp;LEFT(#REF!,1))</f>
        <v/>
      </c>
      <c r="Q385" s="18" t="str">
        <f>IF(Table24[[#This Row],[Type]]="","",LEFT(Table24[[#This Row],[Type]],1)&amp;LEFT(#REF!,1))</f>
        <v/>
      </c>
      <c r="R385" s="18"/>
      <c r="S385" s="7" t="str">
        <f>IF(Table24[[#This Row],[A Counter]]=1,"AI"&amp;#REF!+SUM($N$35:N385),IF(Table24[[#This Row],[B Counter]]=1,"BI"&amp;#REF!+SUM($O$35:O385),""))</f>
        <v/>
      </c>
      <c r="T385" s="18" t="s">
        <v>34</v>
      </c>
    </row>
    <row r="386" spans="1:20" x14ac:dyDescent="0.25">
      <c r="A386">
        <f t="shared" si="10"/>
        <v>377</v>
      </c>
      <c r="B386" s="93" t="str">
        <f>IFERROR(RIGHT(Table24[[#This Row],[Controller Input '#]],3)*1,"")</f>
        <v/>
      </c>
      <c r="C386" s="99"/>
      <c r="D386" s="1"/>
      <c r="E386" s="11"/>
      <c r="F386" s="11"/>
      <c r="G386" s="11"/>
      <c r="H386" s="21"/>
      <c r="I386" s="11"/>
      <c r="J386" s="11"/>
      <c r="K386" s="11"/>
      <c r="L386" s="11"/>
      <c r="M386" s="1"/>
      <c r="N386" s="18" t="str">
        <f>IF(ISNUMBER(SEARCH("ANALOG",Table24[[#This Row],[Type]]))=TRUE,1,"")</f>
        <v/>
      </c>
      <c r="O386" s="18" t="str">
        <f>IF(ISNUMBER(SEARCH("BINARY",Table24[[#This Row],[Type]]))=TRUE,1,"")</f>
        <v/>
      </c>
      <c r="P386" s="7" t="str">
        <f>IF(Table24[[#This Row],[Type]]="","",LEFT(Table24[[#This Row],[Type]],1)&amp;LEFT(#REF!,1))</f>
        <v/>
      </c>
      <c r="Q386" s="18" t="str">
        <f>IF(Table24[[#This Row],[Type]]="","",LEFT(Table24[[#This Row],[Type]],1)&amp;LEFT(#REF!,1))</f>
        <v/>
      </c>
      <c r="R386" s="18"/>
      <c r="S386" s="7" t="str">
        <f>IF(Table24[[#This Row],[A Counter]]=1,"AI"&amp;#REF!+SUM($N$35:N386),IF(Table24[[#This Row],[B Counter]]=1,"BI"&amp;#REF!+SUM($O$35:O386),""))</f>
        <v/>
      </c>
      <c r="T386" s="18" t="s">
        <v>34</v>
      </c>
    </row>
    <row r="387" spans="1:20" x14ac:dyDescent="0.25">
      <c r="A387">
        <f t="shared" si="10"/>
        <v>378</v>
      </c>
      <c r="B387" s="93" t="str">
        <f>IFERROR(RIGHT(Table24[[#This Row],[Controller Input '#]],3)*1,"")</f>
        <v/>
      </c>
      <c r="C387" s="99"/>
      <c r="D387" s="1"/>
      <c r="E387" s="11"/>
      <c r="F387" s="11"/>
      <c r="G387" s="11"/>
      <c r="H387" s="21"/>
      <c r="I387" s="11"/>
      <c r="J387" s="11"/>
      <c r="K387" s="11"/>
      <c r="L387" s="11"/>
      <c r="M387" s="1"/>
      <c r="N387" s="18" t="str">
        <f>IF(ISNUMBER(SEARCH("ANALOG",Table24[[#This Row],[Type]]))=TRUE,1,"")</f>
        <v/>
      </c>
      <c r="O387" s="18" t="str">
        <f>IF(ISNUMBER(SEARCH("BINARY",Table24[[#This Row],[Type]]))=TRUE,1,"")</f>
        <v/>
      </c>
      <c r="P387" s="7" t="str">
        <f>IF(Table24[[#This Row],[Type]]="","",LEFT(Table24[[#This Row],[Type]],1)&amp;LEFT(#REF!,1))</f>
        <v/>
      </c>
      <c r="Q387" s="18" t="str">
        <f>IF(Table24[[#This Row],[Type]]="","",LEFT(Table24[[#This Row],[Type]],1)&amp;LEFT(#REF!,1))</f>
        <v/>
      </c>
      <c r="R387" s="18"/>
      <c r="S387" s="7" t="str">
        <f>IF(Table24[[#This Row],[A Counter]]=1,"AI"&amp;#REF!+SUM($N$35:N418),IF(Table24[[#This Row],[B Counter]]=1,"BI"&amp;#REF!+SUM($O$35:O418),""))</f>
        <v/>
      </c>
      <c r="T387" s="18" t="s">
        <v>34</v>
      </c>
    </row>
    <row r="388" spans="1:20" x14ac:dyDescent="0.25">
      <c r="A388">
        <f t="shared" si="10"/>
        <v>379</v>
      </c>
      <c r="B388" s="93" t="str">
        <f>IFERROR(RIGHT(Table24[[#This Row],[Controller Input '#]],3)*1,"")</f>
        <v/>
      </c>
      <c r="C388" s="99"/>
      <c r="D388" s="1"/>
      <c r="E388" s="1"/>
      <c r="F388" s="1"/>
      <c r="G388" s="1"/>
      <c r="H388" s="8"/>
      <c r="I388" s="1"/>
      <c r="J388" s="1"/>
      <c r="K388" s="1"/>
      <c r="L388" s="1"/>
      <c r="M388" s="1"/>
      <c r="N388" s="1" t="str">
        <f>IF(ISNUMBER(SEARCH("ANALOG",Table24[[#This Row],[Type]]))=TRUE,1,"")</f>
        <v/>
      </c>
      <c r="O388" s="1" t="str">
        <f>IF(ISNUMBER(SEARCH("BINARY",Table24[[#This Row],[Type]]))=TRUE,1,"")</f>
        <v/>
      </c>
      <c r="P388" t="str">
        <f>IF(Table24[[#This Row],[Type]]="","",LEFT(Table24[[#This Row],[Type]],1)&amp;LEFT(#REF!,1))</f>
        <v/>
      </c>
      <c r="Q388" s="1" t="str">
        <f>IF(Table24[[#This Row],[Type]]="","",LEFT(Table24[[#This Row],[Type]],1)&amp;LEFT(#REF!,1))</f>
        <v/>
      </c>
      <c r="R388" s="1"/>
      <c r="S388" s="7" t="str">
        <f>IF(Table24[[#This Row],[A Counter]]=1,"AI"&amp;#REF!+SUM($N$35:N418),IF(Table24[[#This Row],[B Counter]]=1,"BI"&amp;#REF!+SUM($O$35:O418),""))</f>
        <v/>
      </c>
      <c r="T388" s="1"/>
    </row>
    <row r="389" spans="1:20" x14ac:dyDescent="0.25">
      <c r="A389">
        <f t="shared" si="10"/>
        <v>380</v>
      </c>
      <c r="B389" s="93" t="str">
        <f>IFERROR(RIGHT(Table24[[#This Row],[Controller Input '#]],3)*1,"")</f>
        <v/>
      </c>
      <c r="C389" s="99"/>
      <c r="D389" s="1"/>
      <c r="E389" s="1" t="s">
        <v>214</v>
      </c>
      <c r="F389" s="1" t="s">
        <v>214</v>
      </c>
      <c r="G389" s="1"/>
      <c r="H389" s="8"/>
      <c r="I389" s="1"/>
      <c r="J389" s="1"/>
      <c r="K389" s="1"/>
      <c r="L389" s="1"/>
      <c r="M389" s="1"/>
      <c r="N389" s="1"/>
      <c r="O389" s="1"/>
      <c r="Q389" s="1" t="str">
        <f>IF(Table24[[#This Row],[Type]]="","",LEFT(Table24[[#This Row],[Type]],1)&amp;LEFT(#REF!,1))</f>
        <v/>
      </c>
      <c r="R389" s="1"/>
      <c r="S389" s="7" t="str">
        <f>IF(Table24[[#This Row],[A Counter]]=1,"AI"&amp;#REF!+SUM($N$35:N403),IF(Table24[[#This Row],[B Counter]]=1,"BI"&amp;#REF!+SUM($O$35:O403),""))</f>
        <v/>
      </c>
      <c r="T389" s="1"/>
    </row>
    <row r="390" spans="1:20" x14ac:dyDescent="0.25">
      <c r="A390">
        <f t="shared" si="10"/>
        <v>381</v>
      </c>
      <c r="B390" s="93" t="str">
        <f>IFERROR(RIGHT(Table24[[#This Row],[Controller Input '#]],3)*1,"")</f>
        <v/>
      </c>
      <c r="C390" s="99"/>
      <c r="D390" s="1"/>
      <c r="E390" s="1" t="s">
        <v>214</v>
      </c>
      <c r="F390" s="1" t="s">
        <v>214</v>
      </c>
      <c r="G390" s="1"/>
      <c r="H390" s="8"/>
      <c r="I390" s="1"/>
      <c r="J390" s="1"/>
      <c r="K390" s="1"/>
      <c r="L390" s="1"/>
      <c r="M390" s="1"/>
      <c r="N390" s="1"/>
      <c r="O390" s="1"/>
      <c r="Q390" s="1" t="str">
        <f>IF(Table24[[#This Row],[Type]]="","",LEFT(Table24[[#This Row],[Type]],1)&amp;LEFT(#REF!,1))</f>
        <v/>
      </c>
      <c r="R390" s="1"/>
      <c r="S390" s="7" t="str">
        <f>IF(Table24[[#This Row],[A Counter]]=1,"AI"&amp;#REF!+SUM($N$35:N404),IF(Table24[[#This Row],[B Counter]]=1,"BI"&amp;#REF!+SUM($O$35:O404),""))</f>
        <v/>
      </c>
      <c r="T390" s="1"/>
    </row>
    <row r="391" spans="1:20" x14ac:dyDescent="0.25">
      <c r="B391" s="93" t="str">
        <f>IFERROR(RIGHT(Table24[[#This Row],[Controller Input '#]],3)*1,"")</f>
        <v/>
      </c>
      <c r="C391" s="99"/>
      <c r="D391" s="1"/>
      <c r="E391" s="1" t="s">
        <v>214</v>
      </c>
      <c r="F391" s="1" t="s">
        <v>214</v>
      </c>
      <c r="G391" s="1"/>
      <c r="H391" s="8"/>
      <c r="I391" s="1"/>
      <c r="J391" s="1"/>
      <c r="K391" s="1"/>
      <c r="L391" s="1"/>
      <c r="M391" s="1"/>
      <c r="N391" s="1"/>
      <c r="O391" s="1"/>
      <c r="Q391" s="1" t="str">
        <f>IF(Table24[[#This Row],[Type]]="","",LEFT(Table24[[#This Row],[Type]],1)&amp;LEFT(#REF!,1))</f>
        <v/>
      </c>
      <c r="R391" s="1"/>
      <c r="S391" s="7" t="str">
        <f>IF(Table24[[#This Row],[A Counter]]=1,"AI"&amp;#REF!+SUM($N$35:N405),IF(Table24[[#This Row],[B Counter]]=1,"BI"&amp;#REF!+SUM($O$35:O405),""))</f>
        <v/>
      </c>
      <c r="T391" s="1"/>
    </row>
    <row r="392" spans="1:20" x14ac:dyDescent="0.25">
      <c r="B392" s="93" t="str">
        <f>IFERROR(RIGHT(Table24[[#This Row],[Controller Input '#]],3)*1,"")</f>
        <v/>
      </c>
      <c r="C392" s="99"/>
      <c r="D392" s="1"/>
      <c r="E392" s="1" t="s">
        <v>436</v>
      </c>
      <c r="F392" s="1" t="s">
        <v>437</v>
      </c>
      <c r="G392" s="1" t="s">
        <v>112</v>
      </c>
      <c r="H392" s="8"/>
      <c r="I392" s="1" t="s">
        <v>103</v>
      </c>
      <c r="J392" s="1" t="s">
        <v>71</v>
      </c>
      <c r="K392" s="1" t="s">
        <v>112</v>
      </c>
      <c r="L392" s="1"/>
      <c r="M392" s="1"/>
      <c r="N392" s="1" t="str">
        <f>IF(ISNUMBER(SEARCH("ANALOG",Table24[[#This Row],[Type]]))=TRUE,1,"")</f>
        <v/>
      </c>
      <c r="O392" s="1">
        <f>IF(ISNUMBER(SEARCH("BINARY",Table24[[#This Row],[Type]]))=TRUE,1,"")</f>
        <v>1</v>
      </c>
      <c r="P392" t="e">
        <f>IF(Table24[[#This Row],[Type]]="","",LEFT(Table24[[#This Row],[Type]],1)&amp;LEFT(#REF!,1))</f>
        <v>#REF!</v>
      </c>
      <c r="Q392" s="1" t="e">
        <f>IF(Table24[[#This Row],[Type]]="","",LEFT(Table24[[#This Row],[Type]],1)&amp;LEFT(#REF!,1))</f>
        <v>#REF!</v>
      </c>
      <c r="R392" s="1"/>
      <c r="S392" s="7" t="e">
        <f>IF(Table24[[#This Row],[A Counter]]=1,"AI"&amp;#REF!+SUM($N$35:N392),IF(Table24[[#This Row],[B Counter]]=1,"BI"&amp;#REF!+SUM($O$35:O392),""))</f>
        <v>#REF!</v>
      </c>
      <c r="T392" s="1"/>
    </row>
    <row r="393" spans="1:20" x14ac:dyDescent="0.25">
      <c r="B393" s="93" t="str">
        <f>IFERROR(RIGHT(Table24[[#This Row],[Controller Input '#]],3)*1,"")</f>
        <v/>
      </c>
      <c r="C393" s="99"/>
      <c r="D393" s="1"/>
      <c r="E393" s="1" t="s">
        <v>438</v>
      </c>
      <c r="F393" s="1" t="s">
        <v>439</v>
      </c>
      <c r="G393" s="1" t="s">
        <v>112</v>
      </c>
      <c r="H393" s="8"/>
      <c r="I393" s="1" t="s">
        <v>103</v>
      </c>
      <c r="J393" s="1" t="s">
        <v>71</v>
      </c>
      <c r="K393" s="1" t="s">
        <v>112</v>
      </c>
      <c r="L393" s="1"/>
      <c r="M393" s="1"/>
      <c r="N393" s="1" t="str">
        <f>IF(ISNUMBER(SEARCH("ANALOG",Table24[[#This Row],[Type]]))=TRUE,1,"")</f>
        <v/>
      </c>
      <c r="O393" s="1">
        <f>IF(ISNUMBER(SEARCH("BINARY",Table24[[#This Row],[Type]]))=TRUE,1,"")</f>
        <v>1</v>
      </c>
      <c r="P393" t="e">
        <f>IF(Table24[[#This Row],[Type]]="","",LEFT(Table24[[#This Row],[Type]],1)&amp;LEFT(#REF!,1))</f>
        <v>#REF!</v>
      </c>
      <c r="Q393" s="1" t="e">
        <f>IF(Table24[[#This Row],[Type]]="","",LEFT(Table24[[#This Row],[Type]],1)&amp;LEFT(#REF!,1))</f>
        <v>#REF!</v>
      </c>
      <c r="R393" s="1"/>
      <c r="S393" s="7" t="e">
        <f>IF(Table24[[#This Row],[A Counter]]=1,"AI"&amp;#REF!+SUM($N$35:N393),IF(Table24[[#This Row],[B Counter]]=1,"BI"&amp;#REF!+SUM($O$35:O393),""))</f>
        <v>#REF!</v>
      </c>
      <c r="T393" s="1"/>
    </row>
    <row r="394" spans="1:20" x14ac:dyDescent="0.25">
      <c r="B394" s="93" t="str">
        <f>IFERROR(RIGHT(Table24[[#This Row],[Controller Input '#]],3)*1,"")</f>
        <v/>
      </c>
      <c r="C394" s="99"/>
      <c r="D394" s="1"/>
      <c r="E394" s="1" t="s">
        <v>440</v>
      </c>
      <c r="F394" s="1" t="s">
        <v>441</v>
      </c>
      <c r="G394" s="1" t="s">
        <v>112</v>
      </c>
      <c r="H394" s="8"/>
      <c r="I394" s="1" t="s">
        <v>103</v>
      </c>
      <c r="J394" s="1" t="s">
        <v>71</v>
      </c>
      <c r="K394" s="1" t="s">
        <v>112</v>
      </c>
      <c r="L394" s="1"/>
      <c r="M394" s="1"/>
      <c r="N394" s="1" t="str">
        <f>IF(ISNUMBER(SEARCH("ANALOG",Table24[[#This Row],[Type]]))=TRUE,1,"")</f>
        <v/>
      </c>
      <c r="O394" s="1">
        <f>IF(ISNUMBER(SEARCH("BINARY",Table24[[#This Row],[Type]]))=TRUE,1,"")</f>
        <v>1</v>
      </c>
      <c r="P394" t="e">
        <f>IF(Table24[[#This Row],[Type]]="","",LEFT(Table24[[#This Row],[Type]],1)&amp;LEFT(#REF!,1))</f>
        <v>#REF!</v>
      </c>
      <c r="Q394" s="1" t="e">
        <f>IF(Table24[[#This Row],[Type]]="","",LEFT(Table24[[#This Row],[Type]],1)&amp;LEFT(#REF!,1))</f>
        <v>#REF!</v>
      </c>
      <c r="R394" s="1"/>
      <c r="S394" s="7" t="e">
        <f>IF(Table24[[#This Row],[A Counter]]=1,"AI"&amp;#REF!+SUM($N$35:N394),IF(Table24[[#This Row],[B Counter]]=1,"BI"&amp;#REF!+SUM($O$35:O394),""))</f>
        <v>#REF!</v>
      </c>
      <c r="T394" s="1"/>
    </row>
    <row r="395" spans="1:20" x14ac:dyDescent="0.25">
      <c r="B395" s="93" t="str">
        <f>IFERROR(RIGHT(Table24[[#This Row],[Controller Input '#]],3)*1,"")</f>
        <v/>
      </c>
      <c r="C395" s="99"/>
      <c r="D395" s="1"/>
      <c r="E395" s="1" t="s">
        <v>442</v>
      </c>
      <c r="F395" s="1" t="s">
        <v>443</v>
      </c>
      <c r="G395" s="1" t="s">
        <v>112</v>
      </c>
      <c r="H395" s="8"/>
      <c r="I395" s="1" t="s">
        <v>103</v>
      </c>
      <c r="J395" s="1" t="s">
        <v>71</v>
      </c>
      <c r="K395" s="1" t="s">
        <v>112</v>
      </c>
      <c r="L395" s="1"/>
      <c r="M395" s="1"/>
      <c r="N395" s="1" t="str">
        <f>IF(ISNUMBER(SEARCH("ANALOG",Table24[[#This Row],[Type]]))=TRUE,1,"")</f>
        <v/>
      </c>
      <c r="O395" s="1">
        <f>IF(ISNUMBER(SEARCH("BINARY",Table24[[#This Row],[Type]]))=TRUE,1,"")</f>
        <v>1</v>
      </c>
      <c r="P395" t="e">
        <f>IF(Table24[[#This Row],[Type]]="","",LEFT(Table24[[#This Row],[Type]],1)&amp;LEFT(#REF!,1))</f>
        <v>#REF!</v>
      </c>
      <c r="Q395" s="1" t="e">
        <f>IF(Table24[[#This Row],[Type]]="","",LEFT(Table24[[#This Row],[Type]],1)&amp;LEFT(#REF!,1))</f>
        <v>#REF!</v>
      </c>
      <c r="R395" s="1"/>
      <c r="S395" s="7" t="e">
        <f>IF(Table24[[#This Row],[A Counter]]=1,"AI"&amp;#REF!+SUM($N$35:N395),IF(Table24[[#This Row],[B Counter]]=1,"BI"&amp;#REF!+SUM($O$35:O395),""))</f>
        <v>#REF!</v>
      </c>
      <c r="T395" s="1"/>
    </row>
    <row r="396" spans="1:20" x14ac:dyDescent="0.25">
      <c r="B396" s="93" t="str">
        <f>IFERROR(RIGHT(Table24[[#This Row],[Controller Input '#]],3)*1,"")</f>
        <v/>
      </c>
      <c r="C396" s="99"/>
      <c r="D396" s="1"/>
      <c r="E396" s="1" t="s">
        <v>444</v>
      </c>
      <c r="F396" s="1" t="s">
        <v>445</v>
      </c>
      <c r="G396" s="1" t="s">
        <v>112</v>
      </c>
      <c r="H396" s="8"/>
      <c r="I396" s="1" t="s">
        <v>103</v>
      </c>
      <c r="J396" s="1" t="s">
        <v>71</v>
      </c>
      <c r="K396" s="1" t="s">
        <v>112</v>
      </c>
      <c r="L396" s="1"/>
      <c r="M396" s="1"/>
      <c r="N396" s="1" t="str">
        <f>IF(ISNUMBER(SEARCH("ANALOG",Table24[[#This Row],[Type]]))=TRUE,1,"")</f>
        <v/>
      </c>
      <c r="O396" s="1">
        <f>IF(ISNUMBER(SEARCH("BINARY",Table24[[#This Row],[Type]]))=TRUE,1,"")</f>
        <v>1</v>
      </c>
      <c r="P396" t="e">
        <f>IF(Table24[[#This Row],[Type]]="","",LEFT(Table24[[#This Row],[Type]],1)&amp;LEFT(#REF!,1))</f>
        <v>#REF!</v>
      </c>
      <c r="Q396" s="1" t="e">
        <f>IF(Table24[[#This Row],[Type]]="","",LEFT(Table24[[#This Row],[Type]],1)&amp;LEFT(#REF!,1))</f>
        <v>#REF!</v>
      </c>
      <c r="R396" s="1"/>
      <c r="S396" s="7" t="e">
        <f>IF(Table24[[#This Row],[A Counter]]=1,"AI"&amp;#REF!+SUM($N$35:N396),IF(Table24[[#This Row],[B Counter]]=1,"BI"&amp;#REF!+SUM($O$35:O396),""))</f>
        <v>#REF!</v>
      </c>
      <c r="T396" s="1"/>
    </row>
    <row r="397" spans="1:20" x14ac:dyDescent="0.25">
      <c r="B397" s="93" t="str">
        <f>IFERROR(RIGHT(Table24[[#This Row],[Controller Input '#]],3)*1,"")</f>
        <v/>
      </c>
      <c r="C397" s="99"/>
      <c r="D397" s="1"/>
      <c r="E397" s="1" t="s">
        <v>446</v>
      </c>
      <c r="F397" s="1" t="s">
        <v>447</v>
      </c>
      <c r="G397" s="1" t="s">
        <v>112</v>
      </c>
      <c r="H397" s="8"/>
      <c r="I397" s="1" t="s">
        <v>103</v>
      </c>
      <c r="J397" s="1" t="s">
        <v>71</v>
      </c>
      <c r="K397" s="1" t="s">
        <v>112</v>
      </c>
      <c r="L397" s="1"/>
      <c r="M397" s="1"/>
      <c r="N397" s="1" t="str">
        <f>IF(ISNUMBER(SEARCH("ANALOG",Table24[[#This Row],[Type]]))=TRUE,1,"")</f>
        <v/>
      </c>
      <c r="O397" s="1">
        <f>IF(ISNUMBER(SEARCH("BINARY",Table24[[#This Row],[Type]]))=TRUE,1,"")</f>
        <v>1</v>
      </c>
      <c r="P397" t="e">
        <f>IF(Table24[[#This Row],[Type]]="","",LEFT(Table24[[#This Row],[Type]],1)&amp;LEFT(#REF!,1))</f>
        <v>#REF!</v>
      </c>
      <c r="Q397" s="1" t="e">
        <f>IF(Table24[[#This Row],[Type]]="","",LEFT(Table24[[#This Row],[Type]],1)&amp;LEFT(#REF!,1))</f>
        <v>#REF!</v>
      </c>
      <c r="R397" s="1"/>
      <c r="S397" s="7" t="e">
        <f>IF(Table24[[#This Row],[A Counter]]=1,"AI"&amp;#REF!+SUM($N$35:N418),IF(Table24[[#This Row],[B Counter]]=1,"BI"&amp;#REF!+SUM($O$35:O418),""))</f>
        <v>#REF!</v>
      </c>
      <c r="T397" s="1"/>
    </row>
    <row r="398" spans="1:20" x14ac:dyDescent="0.25">
      <c r="B398" s="93" t="str">
        <f>IFERROR(RIGHT(Table24[[#This Row],[Controller Input '#]],3)*1,"")</f>
        <v/>
      </c>
      <c r="C398" s="99"/>
      <c r="D398" s="1"/>
      <c r="E398" s="1" t="s">
        <v>214</v>
      </c>
      <c r="F398" s="1" t="s">
        <v>214</v>
      </c>
      <c r="G398" s="1"/>
      <c r="H398" s="8"/>
      <c r="I398" s="1"/>
      <c r="J398" s="1"/>
      <c r="K398" s="1"/>
      <c r="L398" s="1"/>
      <c r="M398" s="1"/>
      <c r="N398" s="1" t="str">
        <f>IF(ISNUMBER(SEARCH("ANALOG",Table24[[#This Row],[Type]]))=TRUE,1,"")</f>
        <v/>
      </c>
      <c r="O398" s="1" t="str">
        <f>IF(ISNUMBER(SEARCH("BINARY",Table24[[#This Row],[Type]]))=TRUE,1,"")</f>
        <v/>
      </c>
      <c r="P398" t="str">
        <f>IF(Table24[[#This Row],[Type]]="","",LEFT(Table24[[#This Row],[Type]],1)&amp;LEFT(#REF!,1))</f>
        <v/>
      </c>
      <c r="Q398" s="1" t="str">
        <f>IF(Table24[[#This Row],[Type]]="","",LEFT(Table24[[#This Row],[Type]],1)&amp;LEFT(#REF!,1))</f>
        <v/>
      </c>
      <c r="R398" s="1"/>
      <c r="S398" t="str">
        <f>IF(Table24[[#This Row],[A Counter]]=1,"AI"&amp;#REF!+SUM($N$35:N398),IF(Table24[[#This Row],[B Counter]]=1,"BI"&amp;#REF!+SUM($O$35:O398),""))</f>
        <v/>
      </c>
      <c r="T398" s="1"/>
    </row>
    <row r="399" spans="1:20" x14ac:dyDescent="0.25">
      <c r="B399" s="93" t="str">
        <f>IFERROR(RIGHT(Table24[[#This Row],[Controller Input '#]],3)*1,"")</f>
        <v/>
      </c>
      <c r="C399" s="99"/>
      <c r="D399" s="1"/>
      <c r="E399" s="1" t="s">
        <v>214</v>
      </c>
      <c r="F399" s="1" t="s">
        <v>214</v>
      </c>
      <c r="G399" s="1"/>
      <c r="H399" s="8"/>
      <c r="I399" s="1"/>
      <c r="J399" s="1"/>
      <c r="K399" s="1"/>
      <c r="L399" s="1"/>
      <c r="M399" s="1"/>
      <c r="N399" s="1" t="str">
        <f>IF(ISNUMBER(SEARCH("ANALOG",Table24[[#This Row],[Type]]))=TRUE,1,"")</f>
        <v/>
      </c>
      <c r="O399" s="1" t="str">
        <f>IF(ISNUMBER(SEARCH("BINARY",Table24[[#This Row],[Type]]))=TRUE,1,"")</f>
        <v/>
      </c>
      <c r="P399" t="str">
        <f>IF(Table24[[#This Row],[Type]]="","",LEFT(Table24[[#This Row],[Type]],1)&amp;LEFT(#REF!,1))</f>
        <v/>
      </c>
      <c r="Q399" s="1" t="str">
        <f>IF(Table24[[#This Row],[Type]]="","",LEFT(Table24[[#This Row],[Type]],1)&amp;LEFT(#REF!,1))</f>
        <v/>
      </c>
      <c r="R399" s="1"/>
      <c r="S399" t="str">
        <f>IF(Table24[[#This Row],[A Counter]]=1,"AI"&amp;#REF!+SUM($N$35:N399),IF(Table24[[#This Row],[B Counter]]=1,"BI"&amp;#REF!+SUM($O$35:O399),""))</f>
        <v/>
      </c>
      <c r="T399" s="1"/>
    </row>
    <row r="400" spans="1:20" x14ac:dyDescent="0.25">
      <c r="B400" s="93" t="str">
        <f>IFERROR(RIGHT(Table24[[#This Row],[Controller Input '#]],3)*1,"")</f>
        <v/>
      </c>
      <c r="C400" s="99"/>
      <c r="D400" s="1"/>
      <c r="E400" s="1" t="s">
        <v>214</v>
      </c>
      <c r="F400" s="1" t="s">
        <v>214</v>
      </c>
      <c r="G400" s="1"/>
      <c r="H400" s="8"/>
      <c r="I400" s="1"/>
      <c r="J400" s="1"/>
      <c r="K400" s="1"/>
      <c r="L400" s="1"/>
      <c r="M400" s="1"/>
      <c r="N400" s="1" t="str">
        <f>IF(ISNUMBER(SEARCH("ANALOG",Table24[[#This Row],[Type]]))=TRUE,1,"")</f>
        <v/>
      </c>
      <c r="O400" s="1" t="str">
        <f>IF(ISNUMBER(SEARCH("BINARY",Table24[[#This Row],[Type]]))=TRUE,1,"")</f>
        <v/>
      </c>
      <c r="P400" t="str">
        <f>IF(Table24[[#This Row],[Type]]="","",LEFT(Table24[[#This Row],[Type]],1)&amp;LEFT(#REF!,1))</f>
        <v/>
      </c>
      <c r="Q400" s="1" t="str">
        <f>IF(Table24[[#This Row],[Type]]="","",LEFT(Table24[[#This Row],[Type]],1)&amp;LEFT(#REF!,1))</f>
        <v/>
      </c>
      <c r="R400" s="1"/>
      <c r="S400" t="str">
        <f>IF(Table24[[#This Row],[A Counter]]=1,"AI"&amp;#REF!+SUM($N$35:N418),IF(Table24[[#This Row],[B Counter]]=1,"BI"&amp;#REF!+SUM($O$35:O418),""))</f>
        <v/>
      </c>
      <c r="T400" s="1"/>
    </row>
    <row r="401" spans="2:20" x14ac:dyDescent="0.25">
      <c r="B401" s="93" t="str">
        <f>IFERROR(RIGHT(Table24[[#This Row],[Controller Input '#]],3)*1,"")</f>
        <v/>
      </c>
      <c r="C401" s="99"/>
      <c r="D401" s="1"/>
      <c r="E401" s="1" t="s">
        <v>214</v>
      </c>
      <c r="F401" s="1" t="s">
        <v>214</v>
      </c>
      <c r="G401" s="1"/>
      <c r="H401" s="8"/>
      <c r="I401" s="1"/>
      <c r="J401" s="1"/>
      <c r="K401" s="1"/>
      <c r="L401" s="1"/>
      <c r="M401" s="1"/>
      <c r="N401" s="1" t="str">
        <f>IF(ISNUMBER(SEARCH("ANALOG",Table24[[#This Row],[Type]]))=TRUE,1,"")</f>
        <v/>
      </c>
      <c r="O401" s="1" t="str">
        <f>IF(ISNUMBER(SEARCH("BINARY",Table24[[#This Row],[Type]]))=TRUE,1,"")</f>
        <v/>
      </c>
      <c r="P401" t="str">
        <f>IF(Table24[[#This Row],[Type]]="","",LEFT(Table24[[#This Row],[Type]],1)&amp;LEFT(#REF!,1))</f>
        <v/>
      </c>
      <c r="Q401" s="1" t="str">
        <f>IF(Table24[[#This Row],[Type]]="","",LEFT(Table24[[#This Row],[Type]],1)&amp;LEFT(#REF!,1))</f>
        <v/>
      </c>
      <c r="R401" s="1"/>
      <c r="S401" t="str">
        <f>IF(Table24[[#This Row],[A Counter]]=1,"AI"&amp;#REF!+SUM($N$35:N401),IF(Table24[[#This Row],[B Counter]]=1,"BI"&amp;#REF!+SUM($O$35:O401),""))</f>
        <v/>
      </c>
      <c r="T401" s="1"/>
    </row>
    <row r="402" spans="2:20" x14ac:dyDescent="0.25">
      <c r="B402" s="93" t="str">
        <f>IFERROR(RIGHT(Table24[[#This Row],[Controller Input '#]],3)*1,"")</f>
        <v/>
      </c>
      <c r="C402" s="99"/>
      <c r="D402" s="1"/>
      <c r="E402" s="1" t="s">
        <v>214</v>
      </c>
      <c r="F402" s="1" t="s">
        <v>214</v>
      </c>
      <c r="G402" s="1"/>
      <c r="H402" s="8"/>
      <c r="I402" s="1"/>
      <c r="J402" s="1"/>
      <c r="K402" s="1"/>
      <c r="L402" s="1"/>
      <c r="M402" s="1"/>
      <c r="N402" s="1" t="str">
        <f>IF(ISNUMBER(SEARCH("ANALOG",Table24[[#This Row],[Type]]))=TRUE,1,"")</f>
        <v/>
      </c>
      <c r="O402" s="1" t="str">
        <f>IF(ISNUMBER(SEARCH("BINARY",Table24[[#This Row],[Type]]))=TRUE,1,"")</f>
        <v/>
      </c>
      <c r="P402" t="str">
        <f>IF(Table24[[#This Row],[Type]]="","",LEFT(Table24[[#This Row],[Type]],1)&amp;LEFT(#REF!,1))</f>
        <v/>
      </c>
      <c r="Q402" s="1" t="str">
        <f>IF(Table24[[#This Row],[Type]]="","",LEFT(Table24[[#This Row],[Type]],1)&amp;LEFT(#REF!,1))</f>
        <v/>
      </c>
      <c r="R402" s="1"/>
      <c r="S402" t="str">
        <f>IF(Table24[[#This Row],[A Counter]]=1,"AI"&amp;#REF!+SUM($N$35:N418),IF(Table24[[#This Row],[B Counter]]=1,"BI"&amp;#REF!+SUM($O$35:O418),""))</f>
        <v/>
      </c>
      <c r="T402" s="1"/>
    </row>
    <row r="403" spans="2:20" x14ac:dyDescent="0.25">
      <c r="B403" s="93" t="str">
        <f>IFERROR(RIGHT(Table24[[#This Row],[Controller Input '#]],3)*1,"")</f>
        <v/>
      </c>
      <c r="C403" s="99"/>
      <c r="D403" s="1"/>
      <c r="E403" s="1" t="s">
        <v>452</v>
      </c>
      <c r="F403" s="1" t="s">
        <v>453</v>
      </c>
      <c r="G403" s="1" t="s">
        <v>133</v>
      </c>
      <c r="H403" s="8"/>
      <c r="I403" s="1" t="s">
        <v>70</v>
      </c>
      <c r="J403" s="1" t="s">
        <v>71</v>
      </c>
      <c r="K403" s="1" t="s">
        <v>80</v>
      </c>
      <c r="L403" s="1"/>
      <c r="M403" s="1"/>
      <c r="N403" s="1">
        <f>IF(ISNUMBER(SEARCH("ANALOG",Table24[[#This Row],[Type]]))=TRUE,1,"")</f>
        <v>1</v>
      </c>
      <c r="O403" s="1" t="str">
        <f>IF(ISNUMBER(SEARCH("BINARY",Table24[[#This Row],[Type]]))=TRUE,1,"")</f>
        <v/>
      </c>
      <c r="P403" t="e">
        <f>IF(Table24[[#This Row],[Type]]="","",LEFT(Table24[[#This Row],[Type]],1)&amp;LEFT(#REF!,1))</f>
        <v>#REF!</v>
      </c>
      <c r="Q403" s="1" t="e">
        <f>IF(Table24[[#This Row],[Type]]="","",LEFT(Table24[[#This Row],[Type]],1)&amp;LEFT(#REF!,1))</f>
        <v>#REF!</v>
      </c>
      <c r="R403" s="1"/>
      <c r="S403" t="e">
        <f>IF(Table24[[#This Row],[A Counter]]=1,"AI"&amp;#REF!+SUM($N$35:N418),IF(Table24[[#This Row],[B Counter]]=1,"BI"&amp;#REF!+SUM($O$35:O418),""))</f>
        <v>#REF!</v>
      </c>
      <c r="T403" s="1"/>
    </row>
    <row r="404" spans="2:20" x14ac:dyDescent="0.25">
      <c r="B404" s="93" t="str">
        <f>IFERROR(RIGHT(Table24[[#This Row],[Controller Input '#]],3)*1,"")</f>
        <v/>
      </c>
      <c r="C404" s="99"/>
      <c r="D404" s="1"/>
      <c r="E404" s="1" t="s">
        <v>454</v>
      </c>
      <c r="F404" s="1" t="s">
        <v>455</v>
      </c>
      <c r="G404" s="1" t="s">
        <v>133</v>
      </c>
      <c r="H404" s="8"/>
      <c r="I404" s="1" t="s">
        <v>70</v>
      </c>
      <c r="J404" s="1" t="s">
        <v>71</v>
      </c>
      <c r="K404" s="1" t="s">
        <v>80</v>
      </c>
      <c r="L404" s="1"/>
      <c r="M404" s="1"/>
      <c r="N404" s="1">
        <f>IF(ISNUMBER(SEARCH("ANALOG",Table24[[#This Row],[Type]]))=TRUE,1,"")</f>
        <v>1</v>
      </c>
      <c r="O404" s="1" t="str">
        <f>IF(ISNUMBER(SEARCH("BINARY",Table24[[#This Row],[Type]]))=TRUE,1,"")</f>
        <v/>
      </c>
      <c r="P404" t="e">
        <f>IF(Table24[[#This Row],[Type]]="","",LEFT(Table24[[#This Row],[Type]],1)&amp;LEFT(#REF!,1))</f>
        <v>#REF!</v>
      </c>
      <c r="Q404" s="1" t="e">
        <f>IF(Table24[[#This Row],[Type]]="","",LEFT(Table24[[#This Row],[Type]],1)&amp;LEFT(#REF!,1))</f>
        <v>#REF!</v>
      </c>
      <c r="R404" s="1"/>
      <c r="S404" t="e">
        <f>IF(Table24[[#This Row],[A Counter]]=1,"AI"&amp;#REF!+SUM($N$35:N402),IF(Table24[[#This Row],[B Counter]]=1,"BI"&amp;#REF!+SUM($O$35:O402),""))</f>
        <v>#REF!</v>
      </c>
      <c r="T404" s="1"/>
    </row>
    <row r="405" spans="2:20" x14ac:dyDescent="0.25">
      <c r="B405" s="93" t="str">
        <f>IFERROR(RIGHT(Table24[[#This Row],[Controller Input '#]],3)*1,"")</f>
        <v/>
      </c>
      <c r="C405" s="99"/>
      <c r="D405" s="1"/>
      <c r="E405" s="1" t="s">
        <v>456</v>
      </c>
      <c r="F405" s="1" t="s">
        <v>457</v>
      </c>
      <c r="G405" s="1" t="s">
        <v>133</v>
      </c>
      <c r="H405" s="8"/>
      <c r="I405" s="1" t="s">
        <v>70</v>
      </c>
      <c r="J405" s="1" t="s">
        <v>71</v>
      </c>
      <c r="K405" s="1" t="s">
        <v>80</v>
      </c>
      <c r="L405" s="1"/>
      <c r="M405" s="1"/>
      <c r="N405" s="1">
        <f>IF(ISNUMBER(SEARCH("ANALOG",Table24[[#This Row],[Type]]))=TRUE,1,"")</f>
        <v>1</v>
      </c>
      <c r="O405" s="1" t="str">
        <f>IF(ISNUMBER(SEARCH("BINARY",Table24[[#This Row],[Type]]))=TRUE,1,"")</f>
        <v/>
      </c>
      <c r="P405" t="e">
        <f>IF(Table24[[#This Row],[Type]]="","",LEFT(Table24[[#This Row],[Type]],1)&amp;LEFT(#REF!,1))</f>
        <v>#REF!</v>
      </c>
      <c r="Q405" s="1" t="e">
        <f>IF(Table24[[#This Row],[Type]]="","",LEFT(Table24[[#This Row],[Type]],1)&amp;LEFT(#REF!,1))</f>
        <v>#REF!</v>
      </c>
      <c r="R405" s="1"/>
      <c r="S405" t="e">
        <f>IF(Table24[[#This Row],[A Counter]]=1,"AI"&amp;#REF!+SUM($N$35:N405),IF(Table24[[#This Row],[B Counter]]=1,"BI"&amp;#REF!+SUM($O$35:O405),""))</f>
        <v>#REF!</v>
      </c>
      <c r="T405" s="1"/>
    </row>
    <row r="406" spans="2:20" x14ac:dyDescent="0.25">
      <c r="B406" s="93" t="str">
        <f>IFERROR(RIGHT(Table24[[#This Row],[Controller Input '#]],3)*1,"")</f>
        <v/>
      </c>
      <c r="C406" s="99"/>
      <c r="D406" s="1"/>
      <c r="E406" t="s">
        <v>458</v>
      </c>
      <c r="F406" t="s">
        <v>459</v>
      </c>
      <c r="G406" s="1" t="s">
        <v>218</v>
      </c>
      <c r="H406" s="8"/>
      <c r="I406" t="s">
        <v>70</v>
      </c>
      <c r="J406" t="s">
        <v>71</v>
      </c>
      <c r="K406" t="s">
        <v>460</v>
      </c>
      <c r="L406" s="1"/>
      <c r="M406" s="1"/>
      <c r="N406" s="1">
        <f>IF(ISNUMBER(SEARCH("ANALOG",Table24[[#This Row],[Type]]))=TRUE,1,"")</f>
        <v>1</v>
      </c>
      <c r="O406" s="1" t="str">
        <f>IF(ISNUMBER(SEARCH("BINARY",Table24[[#This Row],[Type]]))=TRUE,1,"")</f>
        <v/>
      </c>
      <c r="P406" t="e">
        <f>IF(Table24[[#This Row],[Type]]="","",LEFT(Table24[[#This Row],[Type]],1)&amp;LEFT(#REF!,1))</f>
        <v>#REF!</v>
      </c>
      <c r="Q406" s="1" t="e">
        <f>IF(Table24[[#This Row],[Type]]="","",LEFT(Table24[[#This Row],[Type]],1)&amp;LEFT(#REF!,1))</f>
        <v>#REF!</v>
      </c>
      <c r="R406" s="1"/>
      <c r="S406" t="e">
        <f>IF(Table24[[#This Row],[A Counter]]=1,"AI"&amp;#REF!+SUM($N$35:N406),IF(Table24[[#This Row],[B Counter]]=1,"BI"&amp;#REF!+SUM($O$35:O406),""))</f>
        <v>#REF!</v>
      </c>
      <c r="T406" s="1"/>
    </row>
    <row r="407" spans="2:20" x14ac:dyDescent="0.25">
      <c r="B407" s="93" t="str">
        <f>IFERROR(RIGHT(Table24[[#This Row],[Controller Input '#]],3)*1,"")</f>
        <v/>
      </c>
      <c r="C407" s="99"/>
      <c r="D407" s="1"/>
      <c r="E407" t="s">
        <v>461</v>
      </c>
      <c r="F407" t="s">
        <v>462</v>
      </c>
      <c r="G407" t="s">
        <v>112</v>
      </c>
      <c r="H407" s="8"/>
      <c r="I407" t="s">
        <v>103</v>
      </c>
      <c r="J407" t="s">
        <v>71</v>
      </c>
      <c r="K407" t="s">
        <v>112</v>
      </c>
      <c r="L407" s="1"/>
      <c r="M407" s="1"/>
      <c r="N407" s="1" t="str">
        <f>IF(ISNUMBER(SEARCH("ANALOG",Table24[[#This Row],[Type]]))=TRUE,1,"")</f>
        <v/>
      </c>
      <c r="O407" s="1">
        <f>IF(ISNUMBER(SEARCH("BINARY",Table24[[#This Row],[Type]]))=TRUE,1,"")</f>
        <v>1</v>
      </c>
      <c r="P407" t="e">
        <f>IF(Table24[[#This Row],[Type]]="","",LEFT(Table24[[#This Row],[Type]],1)&amp;LEFT(#REF!,1))</f>
        <v>#REF!</v>
      </c>
      <c r="Q407" s="1" t="e">
        <f>IF(Table24[[#This Row],[Type]]="","",LEFT(Table24[[#This Row],[Type]],1)&amp;LEFT(#REF!,1))</f>
        <v>#REF!</v>
      </c>
      <c r="R407" s="1"/>
      <c r="S407" t="e">
        <f>IF(Table24[[#This Row],[A Counter]]=1,"AI"&amp;#REF!+SUM($N$35:N407),IF(Table24[[#This Row],[B Counter]]=1,"BI"&amp;#REF!+SUM($O$35:O407),""))</f>
        <v>#REF!</v>
      </c>
      <c r="T407" s="1"/>
    </row>
    <row r="408" spans="2:20" x14ac:dyDescent="0.25">
      <c r="B408" s="93" t="str">
        <f>IFERROR(RIGHT(Table24[[#This Row],[Controller Input '#]],3)*1,"")</f>
        <v/>
      </c>
      <c r="C408" s="99"/>
      <c r="D408" s="1"/>
      <c r="E408" t="s">
        <v>463</v>
      </c>
      <c r="F408" t="s">
        <v>464</v>
      </c>
      <c r="G408" t="s">
        <v>112</v>
      </c>
      <c r="H408" s="8"/>
      <c r="I408" t="s">
        <v>103</v>
      </c>
      <c r="J408" t="s">
        <v>71</v>
      </c>
      <c r="K408" t="s">
        <v>465</v>
      </c>
      <c r="L408" s="1"/>
      <c r="M408" s="1"/>
      <c r="N408" s="1" t="str">
        <f>IF(ISNUMBER(SEARCH("ANALOG",Table24[[#This Row],[Type]]))=TRUE,1,"")</f>
        <v/>
      </c>
      <c r="O408" s="1">
        <f>IF(ISNUMBER(SEARCH("BINARY",Table24[[#This Row],[Type]]))=TRUE,1,"")</f>
        <v>1</v>
      </c>
      <c r="P408" t="e">
        <f>IF(Table24[[#This Row],[Type]]="","",LEFT(Table24[[#This Row],[Type]],1)&amp;LEFT(#REF!,1))</f>
        <v>#REF!</v>
      </c>
      <c r="Q408" s="1" t="e">
        <f>IF(Table24[[#This Row],[Type]]="","",LEFT(Table24[[#This Row],[Type]],1)&amp;LEFT(#REF!,1))</f>
        <v>#REF!</v>
      </c>
      <c r="R408" s="1"/>
      <c r="S408" t="e">
        <f>IF(Table24[[#This Row],[A Counter]]=1,"AI"&amp;#REF!+SUM($N$35:N408),IF(Table24[[#This Row],[B Counter]]=1,"BI"&amp;#REF!+SUM($O$35:O408),""))</f>
        <v>#REF!</v>
      </c>
      <c r="T408" s="1"/>
    </row>
    <row r="409" spans="2:20" x14ac:dyDescent="0.25">
      <c r="B409" s="93" t="str">
        <f>IFERROR(RIGHT(Table24[[#This Row],[Controller Input '#]],3)*1,"")</f>
        <v/>
      </c>
      <c r="C409" s="99"/>
      <c r="D409" s="1"/>
      <c r="E409" t="s">
        <v>994</v>
      </c>
      <c r="F409" t="s">
        <v>993</v>
      </c>
      <c r="G409" t="s">
        <v>79</v>
      </c>
      <c r="H409" s="8"/>
      <c r="I409" t="s">
        <v>70</v>
      </c>
      <c r="J409" t="s">
        <v>71</v>
      </c>
      <c r="K409" t="s">
        <v>466</v>
      </c>
      <c r="L409" s="1"/>
      <c r="M409" s="1"/>
      <c r="N409" s="1">
        <f>IF(ISNUMBER(SEARCH("ANALOG",Table24[[#This Row],[Type]]))=TRUE,1,"")</f>
        <v>1</v>
      </c>
      <c r="O409" s="1" t="str">
        <f>IF(ISNUMBER(SEARCH("BINARY",Table24[[#This Row],[Type]]))=TRUE,1,"")</f>
        <v/>
      </c>
      <c r="P409" t="e">
        <f>IF(Table24[[#This Row],[Type]]="","",LEFT(Table24[[#This Row],[Type]],1)&amp;LEFT(#REF!,1))</f>
        <v>#REF!</v>
      </c>
      <c r="Q409" s="1" t="e">
        <f>IF(Table24[[#This Row],[Type]]="","",LEFT(Table24[[#This Row],[Type]],1)&amp;LEFT(#REF!,1))</f>
        <v>#REF!</v>
      </c>
      <c r="R409" s="1"/>
      <c r="S409" t="e">
        <f>IF(Table24[[#This Row],[A Counter]]=1,"AI"&amp;#REF!+SUM($N$35:N409),IF(Table24[[#This Row],[B Counter]]=1,"BI"&amp;#REF!+SUM($O$35:O409),""))</f>
        <v>#REF!</v>
      </c>
      <c r="T409" s="1"/>
    </row>
    <row r="410" spans="2:20" x14ac:dyDescent="0.25">
      <c r="B410" s="93" t="str">
        <f>IFERROR(RIGHT(Table24[[#This Row],[Controller Input '#]],3)*1,"")</f>
        <v/>
      </c>
      <c r="C410" s="99"/>
      <c r="D410" s="1"/>
      <c r="E410" t="s">
        <v>468</v>
      </c>
      <c r="F410" t="s">
        <v>469</v>
      </c>
      <c r="G410" t="s">
        <v>79</v>
      </c>
      <c r="H410" s="8"/>
      <c r="I410" t="s">
        <v>70</v>
      </c>
      <c r="J410" t="s">
        <v>470</v>
      </c>
      <c r="K410" t="s">
        <v>80</v>
      </c>
      <c r="L410" s="1"/>
      <c r="M410" s="1"/>
      <c r="N410" s="1">
        <f>IF(ISNUMBER(SEARCH("ANALOG",Table24[[#This Row],[Type]]))=TRUE,1,"")</f>
        <v>1</v>
      </c>
      <c r="O410" s="1" t="str">
        <f>IF(ISNUMBER(SEARCH("BINARY",Table24[[#This Row],[Type]]))=TRUE,1,"")</f>
        <v/>
      </c>
      <c r="P410" t="e">
        <f>IF(Table24[[#This Row],[Type]]="","",LEFT(Table24[[#This Row],[Type]],1)&amp;LEFT(#REF!,1))</f>
        <v>#REF!</v>
      </c>
      <c r="Q410" s="1" t="e">
        <f>IF(Table24[[#This Row],[Type]]="","",LEFT(Table24[[#This Row],[Type]],1)&amp;LEFT(#REF!,1))</f>
        <v>#REF!</v>
      </c>
      <c r="R410" s="1"/>
      <c r="S410" t="e">
        <f>IF(Table24[[#This Row],[A Counter]]=1,"AI"&amp;#REF!+SUM($N$35:N418),IF(Table24[[#This Row],[B Counter]]=1,"BI"&amp;#REF!+SUM($O$35:O418),""))</f>
        <v>#REF!</v>
      </c>
      <c r="T410" s="1"/>
    </row>
    <row r="411" spans="2:20" x14ac:dyDescent="0.25">
      <c r="B411" s="93" t="str">
        <f>IFERROR(RIGHT(Table24[[#This Row],[Controller Input '#]],3)*1,"")</f>
        <v/>
      </c>
      <c r="C411" s="99"/>
      <c r="D411" s="1"/>
      <c r="E411" s="65" t="s">
        <v>471</v>
      </c>
      <c r="F411" s="65" t="s">
        <v>472</v>
      </c>
      <c r="G411" t="s">
        <v>1001</v>
      </c>
      <c r="H411" s="8"/>
      <c r="I411" s="65" t="s">
        <v>70</v>
      </c>
      <c r="J411" s="65" t="s">
        <v>71</v>
      </c>
      <c r="K411" s="65" t="s">
        <v>460</v>
      </c>
      <c r="L411" s="1"/>
      <c r="M411" s="1"/>
      <c r="N411" s="1">
        <f>IF(ISNUMBER(SEARCH("ANALOG",Table24[[#This Row],[Type]]))=TRUE,1,"")</f>
        <v>1</v>
      </c>
      <c r="O411" s="1" t="str">
        <f>IF(ISNUMBER(SEARCH("BINARY",Table24[[#This Row],[Type]]))=TRUE,1,"")</f>
        <v/>
      </c>
      <c r="P411" t="e">
        <f>IF(Table24[[#This Row],[Type]]="","",LEFT(Table24[[#This Row],[Type]],1)&amp;LEFT(#REF!,1))</f>
        <v>#REF!</v>
      </c>
      <c r="Q411" s="1" t="e">
        <f>IF(Table24[[#This Row],[Type]]="","",LEFT(Table24[[#This Row],[Type]],1)&amp;LEFT(#REF!,1))</f>
        <v>#REF!</v>
      </c>
      <c r="R411" s="1"/>
      <c r="S411" t="e">
        <f>IF(Table24[[#This Row],[A Counter]]=1,"AI"&amp;#REF!+SUM($N$35:N411),IF(Table24[[#This Row],[B Counter]]=1,"BI"&amp;#REF!+SUM($O$35:O411),""))</f>
        <v>#REF!</v>
      </c>
      <c r="T411" s="1"/>
    </row>
    <row r="412" spans="2:20" x14ac:dyDescent="0.25">
      <c r="B412" s="93" t="str">
        <f>IFERROR(RIGHT(Table24[[#This Row],[Controller Input '#]],3)*1,"")</f>
        <v/>
      </c>
      <c r="C412" s="99"/>
      <c r="D412" s="1"/>
      <c r="E412" s="65" t="s">
        <v>473</v>
      </c>
      <c r="F412" s="65" t="s">
        <v>474</v>
      </c>
      <c r="G412" t="s">
        <v>1001</v>
      </c>
      <c r="H412" s="8"/>
      <c r="I412" s="65" t="s">
        <v>70</v>
      </c>
      <c r="J412" s="65" t="s">
        <v>71</v>
      </c>
      <c r="K412" s="65" t="s">
        <v>460</v>
      </c>
      <c r="L412" s="1"/>
      <c r="M412" s="1"/>
      <c r="N412" s="1">
        <f>IF(ISNUMBER(SEARCH("ANALOG",Table24[[#This Row],[Type]]))=TRUE,1,"")</f>
        <v>1</v>
      </c>
      <c r="O412" s="1" t="str">
        <f>IF(ISNUMBER(SEARCH("BINARY",Table24[[#This Row],[Type]]))=TRUE,1,"")</f>
        <v/>
      </c>
      <c r="P412" t="e">
        <f>IF(Table24[[#This Row],[Type]]="","",LEFT(Table24[[#This Row],[Type]],1)&amp;LEFT(#REF!,1))</f>
        <v>#REF!</v>
      </c>
      <c r="Q412" s="1" t="e">
        <f>IF(Table24[[#This Row],[Type]]="","",LEFT(Table24[[#This Row],[Type]],1)&amp;LEFT(#REF!,1))</f>
        <v>#REF!</v>
      </c>
      <c r="R412" s="1"/>
      <c r="S412" t="e">
        <f>IF(Table24[[#This Row],[A Counter]]=1,"AI"&amp;#REF!+SUM($N$35:N412),IF(Table24[[#This Row],[B Counter]]=1,"BI"&amp;#REF!+SUM($O$35:O412),""))</f>
        <v>#REF!</v>
      </c>
      <c r="T412" s="1"/>
    </row>
    <row r="413" spans="2:20" x14ac:dyDescent="0.25">
      <c r="B413" s="93" t="str">
        <f>IFERROR(RIGHT(Table24[[#This Row],[Controller Input '#]],3)*1,"")</f>
        <v/>
      </c>
      <c r="C413" s="99"/>
      <c r="D413" s="1"/>
      <c r="E413" s="66" t="s">
        <v>475</v>
      </c>
      <c r="F413" s="66" t="s">
        <v>476</v>
      </c>
      <c r="G413" t="s">
        <v>1000</v>
      </c>
      <c r="H413" s="8"/>
      <c r="I413" s="66" t="s">
        <v>70</v>
      </c>
      <c r="J413" s="66" t="s">
        <v>71</v>
      </c>
      <c r="K413" s="66" t="s">
        <v>80</v>
      </c>
      <c r="L413" s="1"/>
      <c r="M413" s="1"/>
      <c r="N413" s="1">
        <f>IF(ISNUMBER(SEARCH("ANALOG",Table24[[#This Row],[Type]]))=TRUE,1,"")</f>
        <v>1</v>
      </c>
      <c r="O413" s="1" t="str">
        <f>IF(ISNUMBER(SEARCH("BINARY",Table24[[#This Row],[Type]]))=TRUE,1,"")</f>
        <v/>
      </c>
      <c r="P413" t="e">
        <f>IF(Table24[[#This Row],[Type]]="","",LEFT(Table24[[#This Row],[Type]],1)&amp;LEFT(#REF!,1))</f>
        <v>#REF!</v>
      </c>
      <c r="Q413" s="1" t="e">
        <f>IF(Table24[[#This Row],[Type]]="","",LEFT(Table24[[#This Row],[Type]],1)&amp;LEFT(#REF!,1))</f>
        <v>#REF!</v>
      </c>
      <c r="R413" s="1"/>
      <c r="S413" t="e">
        <f>IF(Table24[[#This Row],[A Counter]]=1,"AI"&amp;#REF!+SUM($N$35:N413),IF(Table24[[#This Row],[B Counter]]=1,"BI"&amp;#REF!+SUM($O$35:O413),""))</f>
        <v>#REF!</v>
      </c>
      <c r="T413" s="1"/>
    </row>
    <row r="414" spans="2:20" x14ac:dyDescent="0.25">
      <c r="B414" s="93" t="str">
        <f>IFERROR(RIGHT(Table24[[#This Row],[Controller Input '#]],3)*1,"")</f>
        <v/>
      </c>
      <c r="C414" s="99"/>
      <c r="D414" s="1"/>
      <c r="E414" s="1" t="s">
        <v>477</v>
      </c>
      <c r="F414" s="1" t="s">
        <v>478</v>
      </c>
      <c r="G414" t="s">
        <v>112</v>
      </c>
      <c r="H414" s="8"/>
      <c r="I414" s="1" t="s">
        <v>103</v>
      </c>
      <c r="J414" s="1" t="s">
        <v>71</v>
      </c>
      <c r="K414" t="s">
        <v>112</v>
      </c>
      <c r="L414" s="1"/>
      <c r="M414" s="1"/>
      <c r="N414" s="1" t="str">
        <f>IF(ISNUMBER(SEARCH("ANALOG",Table24[[#This Row],[Type]]))=TRUE,1,"")</f>
        <v/>
      </c>
      <c r="O414" s="1">
        <f>IF(ISNUMBER(SEARCH("BINARY",Table24[[#This Row],[Type]]))=TRUE,1,"")</f>
        <v>1</v>
      </c>
      <c r="P414" t="e">
        <f>IF(Table24[[#This Row],[Type]]="","",LEFT(Table24[[#This Row],[Type]],1)&amp;LEFT(#REF!,1))</f>
        <v>#REF!</v>
      </c>
      <c r="Q414" s="1" t="e">
        <f>IF(Table24[[#This Row],[Type]]="","",LEFT(Table24[[#This Row],[Type]],1)&amp;LEFT(#REF!,1))</f>
        <v>#REF!</v>
      </c>
      <c r="R414" s="1"/>
      <c r="S414" t="e">
        <f>IF(Table24[[#This Row],[A Counter]]=1,"AI"&amp;#REF!+SUM($N$35:N414),IF(Table24[[#This Row],[B Counter]]=1,"BI"&amp;#REF!+SUM($O$35:O414),""))</f>
        <v>#REF!</v>
      </c>
      <c r="T414" s="1"/>
    </row>
    <row r="415" spans="2:20" x14ac:dyDescent="0.25">
      <c r="B415" s="93" t="str">
        <f>IFERROR(RIGHT(Table24[[#This Row],[Controller Input '#]],3)*1,"")</f>
        <v/>
      </c>
      <c r="C415" s="99"/>
      <c r="D415" s="1"/>
      <c r="E415" s="1" t="s">
        <v>479</v>
      </c>
      <c r="F415" s="1" t="s">
        <v>480</v>
      </c>
      <c r="G415" t="s">
        <v>112</v>
      </c>
      <c r="H415" s="8"/>
      <c r="I415" s="1" t="s">
        <v>103</v>
      </c>
      <c r="J415" s="1" t="s">
        <v>71</v>
      </c>
      <c r="K415" t="s">
        <v>112</v>
      </c>
      <c r="L415" s="1"/>
      <c r="M415" s="1"/>
      <c r="N415" s="1" t="str">
        <f>IF(ISNUMBER(SEARCH("ANALOG",Table24[[#This Row],[Type]]))=TRUE,1,"")</f>
        <v/>
      </c>
      <c r="O415" s="1">
        <f>IF(ISNUMBER(SEARCH("BINARY",Table24[[#This Row],[Type]]))=TRUE,1,"")</f>
        <v>1</v>
      </c>
      <c r="P415" t="e">
        <f>IF(Table24[[#This Row],[Type]]="","",LEFT(Table24[[#This Row],[Type]],1)&amp;LEFT(#REF!,1))</f>
        <v>#REF!</v>
      </c>
      <c r="Q415" s="1" t="e">
        <f>IF(Table24[[#This Row],[Type]]="","",LEFT(Table24[[#This Row],[Type]],1)&amp;LEFT(#REF!,1))</f>
        <v>#REF!</v>
      </c>
      <c r="R415" s="1"/>
      <c r="S415" t="e">
        <f>IF(Table24[[#This Row],[A Counter]]=1,"AI"&amp;#REF!+SUM($N$35:N415),IF(Table24[[#This Row],[B Counter]]=1,"BI"&amp;#REF!+SUM($O$35:O415),""))</f>
        <v>#REF!</v>
      </c>
      <c r="T415" s="1"/>
    </row>
    <row r="416" spans="2:20" x14ac:dyDescent="0.25">
      <c r="B416" s="93" t="str">
        <f>IFERROR(RIGHT(Table24[[#This Row],[Controller Input '#]],3)*1,"")</f>
        <v/>
      </c>
      <c r="C416" s="99"/>
      <c r="D416" s="1"/>
      <c r="E416" s="1" t="s">
        <v>481</v>
      </c>
      <c r="F416" s="1" t="s">
        <v>482</v>
      </c>
      <c r="G416" t="s">
        <v>79</v>
      </c>
      <c r="H416" s="8"/>
      <c r="I416" s="1" t="s">
        <v>70</v>
      </c>
      <c r="J416" s="1" t="s">
        <v>71</v>
      </c>
      <c r="K416" s="1" t="s">
        <v>80</v>
      </c>
      <c r="L416" s="1"/>
      <c r="M416" s="1"/>
      <c r="N416" s="1">
        <f>IF(ISNUMBER(SEARCH("ANALOG",Table24[[#This Row],[Type]]))=TRUE,1,"")</f>
        <v>1</v>
      </c>
      <c r="O416" s="1" t="str">
        <f>IF(ISNUMBER(SEARCH("BINARY",Table24[[#This Row],[Type]]))=TRUE,1,"")</f>
        <v/>
      </c>
      <c r="P416" t="e">
        <f>IF(Table24[[#This Row],[Type]]="","",LEFT(Table24[[#This Row],[Type]],1)&amp;LEFT(#REF!,1))</f>
        <v>#REF!</v>
      </c>
      <c r="Q416" s="1" t="e">
        <f>IF(Table24[[#This Row],[Type]]="","",LEFT(Table24[[#This Row],[Type]],1)&amp;LEFT(#REF!,1))</f>
        <v>#REF!</v>
      </c>
      <c r="R416" s="1"/>
      <c r="S416" t="e">
        <f>IF(Table24[[#This Row],[A Counter]]=1,"AI"&amp;#REF!+SUM($N$35:N416),IF(Table24[[#This Row],[B Counter]]=1,"BI"&amp;#REF!+SUM($O$35:O416),""))</f>
        <v>#REF!</v>
      </c>
      <c r="T416" s="1"/>
    </row>
    <row r="417" spans="2:20" x14ac:dyDescent="0.25">
      <c r="B417" s="93" t="str">
        <f>IFERROR(RIGHT(Table24[[#This Row],[Controller Input '#]],3)*1,"")</f>
        <v/>
      </c>
      <c r="C417" s="99"/>
      <c r="D417" s="1"/>
      <c r="E417" t="s">
        <v>995</v>
      </c>
      <c r="F417" t="s">
        <v>996</v>
      </c>
      <c r="G417" s="1" t="s">
        <v>79</v>
      </c>
      <c r="H417" s="8"/>
      <c r="I417" s="1" t="s">
        <v>70</v>
      </c>
      <c r="J417" s="1" t="s">
        <v>71</v>
      </c>
      <c r="K417" s="1" t="s">
        <v>80</v>
      </c>
      <c r="L417" s="1"/>
      <c r="M417" s="1"/>
      <c r="N417" s="1">
        <f>IF(ISNUMBER(SEARCH("ANALOG",Table24[[#This Row],[Type]]))=TRUE,1,"")</f>
        <v>1</v>
      </c>
      <c r="O417" s="1" t="str">
        <f>IF(ISNUMBER(SEARCH("BINARY",Table24[[#This Row],[Type]]))=TRUE,1,"")</f>
        <v/>
      </c>
      <c r="P417" t="e">
        <f>IF(Table24[[#This Row],[Type]]="","",LEFT(Table24[[#This Row],[Type]],1)&amp;LEFT(#REF!,1))</f>
        <v>#REF!</v>
      </c>
      <c r="Q417" s="1" t="e">
        <f>IF(Table24[[#This Row],[Type]]="","",LEFT(Table24[[#This Row],[Type]],1)&amp;LEFT(#REF!,1))</f>
        <v>#REF!</v>
      </c>
      <c r="R417" s="1"/>
      <c r="S417" t="e">
        <f>IF(Table24[[#This Row],[A Counter]]=1,"AI"&amp;#REF!+SUM($N$35:N417),IF(Table24[[#This Row],[B Counter]]=1,"BI"&amp;#REF!+SUM($O$35:O417),""))</f>
        <v>#REF!</v>
      </c>
      <c r="T417" s="1"/>
    </row>
    <row r="418" spans="2:20" x14ac:dyDescent="0.25">
      <c r="B418" s="93" t="str">
        <f>IFERROR(RIGHT(Table24[[#This Row],[Controller Input '#]],3)*1,"")</f>
        <v/>
      </c>
      <c r="C418" s="99"/>
      <c r="D418" s="1"/>
      <c r="E418" s="1" t="s">
        <v>998</v>
      </c>
      <c r="F418" s="1" t="s">
        <v>999</v>
      </c>
      <c r="G418" s="1" t="s">
        <v>112</v>
      </c>
      <c r="H418" s="8"/>
      <c r="I418" s="1" t="s">
        <v>103</v>
      </c>
      <c r="J418" s="1" t="s">
        <v>71</v>
      </c>
      <c r="K418" s="1" t="s">
        <v>112</v>
      </c>
      <c r="L418" s="1"/>
      <c r="M418" s="1"/>
      <c r="N418" s="1" t="str">
        <f>IF(ISNUMBER(SEARCH("ANALOG",Table24[[#This Row],[Type]]))=TRUE,1,"")</f>
        <v/>
      </c>
      <c r="O418" s="1">
        <f>IF(ISNUMBER(SEARCH("BINARY",Table24[[#This Row],[Type]]))=TRUE,1,"")</f>
        <v>1</v>
      </c>
      <c r="P418" t="e">
        <f>IF(Table24[[#This Row],[Type]]="","",LEFT(Table24[[#This Row],[Type]],1)&amp;LEFT(#REF!,1))</f>
        <v>#REF!</v>
      </c>
      <c r="Q418" s="1" t="e">
        <f>IF(Table24[[#This Row],[Type]]="","",LEFT(Table24[[#This Row],[Type]],1)&amp;LEFT(#REF!,1))</f>
        <v>#REF!</v>
      </c>
      <c r="R418" s="1"/>
      <c r="S418" t="e">
        <f>IF(Table24[[#This Row],[A Counter]]=1,"AI"&amp;#REF!+SUM($N$35:N418),IF(Table24[[#This Row],[B Counter]]=1,"BI"&amp;#REF!+SUM($O$35:O418),""))</f>
        <v>#REF!</v>
      </c>
      <c r="T418" s="1"/>
    </row>
  </sheetData>
  <phoneticPr fontId="4" type="noConversion"/>
  <dataValidations count="9">
    <dataValidation type="list" allowBlank="1" showInputMessage="1" showErrorMessage="1" sqref="M266:M322 M326:M382 M386:M387 M208:M262 M92:M103 M114:M117 M119:M122 M124:M127 M129:M132 M134:M137 M139:M142 M146:M160 M168 M172:M204 M81:M87 M34:M47 M50:M63" xr:uid="{324AEFCD-CBB8-48AC-91E5-92B660E64768}">
      <formula1>"AV, BV"</formula1>
    </dataValidation>
    <dataValidation type="list" allowBlank="1" showInputMessage="1" showErrorMessage="1" sqref="L358:L360 L363:L365 L368:L370 L238:L240 L243:L245 L248:L250 L353:L355 L233:L235 L298:L300 L303:L305 L308:L310 L293:L295 L176:L178 L181:L183 L186:L188 L114:L115 L119:L120 L124:L125 L34:L37 L129:L130 L172:L173 L50:L53" xr:uid="{DD1AF3A8-8C25-4C80-A8CF-9354B5803A37}">
      <formula1>INDIRECT(#REF!)</formula1>
    </dataValidation>
    <dataValidation type="list" allowBlank="1" showInputMessage="1" showErrorMessage="1" sqref="K392:K405 K416:K418 K114:K117 K119:K122 K124:K127 K129:K132 K134:K137 K139:K160 K168 K172:K388 K81:K90 K92:K111 K34:K47 K50:K63" xr:uid="{2E851A2B-9D72-41CB-B1D4-8BB4DFB7A8B6}">
      <formula1>Units</formula1>
    </dataValidation>
    <dataValidation type="list" allowBlank="1" showInputMessage="1" showErrorMessage="1" sqref="I414:I418 I392:I405 I114:I117 I119:I122 I124:I127 I129:I132 I134:I137 I139:I160 I168 I172:I388 I81:I90 I92:I111 I34:I47 I50:I63" xr:uid="{ABD0484B-297E-4425-9231-EDA692149F3B}">
      <formula1>Type</formula1>
    </dataValidation>
    <dataValidation type="list" allowBlank="1" showInputMessage="1" showErrorMessage="1" sqref="J392:J405 J414:J418 J114:J117 J119:J122 J124:J127 J129:J132 J134:J137 J139:J160 J168 J172:J388 J81:J90 J92:J111 J34:J47 J50:J63" xr:uid="{CB779700-5A3B-4B09-B247-4668319D2630}">
      <formula1>Connection</formula1>
    </dataValidation>
    <dataValidation type="list" allowBlank="1" showInputMessage="1" showErrorMessage="1" sqref="L266:L292 L204:L232 L326:L352 L386:L387 L146:L160 L168 L92:L111 L40:L47 L56:L63" xr:uid="{6EC150CD-3DB3-479F-A55F-9AC3D2CFE8C0}">
      <formula1>INDIRECT($I40)</formula1>
    </dataValidation>
    <dataValidation type="list" allowBlank="1" showInputMessage="1" showErrorMessage="1" sqref="T114:U117 T119:U122 T124:U127 T129:U132 T134:U137 T139:U160 T172:T387 T168:U168 U172:U359 U64:U66 U11:U62 T81:T90 U72:U81 T92:T111 U83:U111 T34:T47 T50:T63" xr:uid="{4F4CDC56-4AEA-41E2-904E-7D3DBACACDBB}">
      <formula1>Visibility</formula1>
    </dataValidation>
    <dataValidation type="list" allowBlank="1" showInputMessage="1" showErrorMessage="1" sqref="Q114:Q117 Q119:Q122 Q124:Q127 Q129:Q132 Q134:Q137 Q139:Q160 Q168 Q172:Q418 Q81:Q90 Q92:Q111 Q34:Q47 Q50:Q63" xr:uid="{E4AC7496-7851-4AE1-BD98-39E4A227B9EB}">
      <formula1>BacNetStatus</formula1>
    </dataValidation>
    <dataValidation type="list" allowBlank="1" showInputMessage="1" showErrorMessage="1" sqref="D114:D117 D119:D122 D124:D127 D129:D132 D134:D137 D139:D160 D168 D172:D418 D72:D111 D64:D66 D33:D40 D42:D55 D57:D62" xr:uid="{77A5C2BE-09B4-4C68-8028-C1C929CE530E}">
      <formula1>#REF!</formula1>
    </dataValidation>
  </dataValidations>
  <pageMargins left="0.7" right="0.7" top="0.75" bottom="0.75" header="0.3" footer="0.3"/>
  <pageSetup paperSize="3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DD2A5-4C46-4C11-AE2D-54FE107C09C8}">
  <sheetPr codeName="Sheet7"/>
  <dimension ref="A1:AB355"/>
  <sheetViews>
    <sheetView zoomScale="115" zoomScaleNormal="115" zoomScaleSheetLayoutView="115" workbookViewId="0">
      <pane xSplit="6" ySplit="14" topLeftCell="G41" activePane="bottomRight" state="frozen"/>
      <selection pane="topRight" activeCell="G1" sqref="G1"/>
      <selection pane="bottomLeft" activeCell="A13" sqref="A13"/>
      <selection pane="bottomRight" activeCell="G64" sqref="G64"/>
    </sheetView>
  </sheetViews>
  <sheetFormatPr defaultColWidth="9.140625" defaultRowHeight="15" x14ac:dyDescent="0.25"/>
  <cols>
    <col min="1" max="1" width="4.7109375" customWidth="1"/>
    <col min="2" max="2" width="13.7109375" style="90" bestFit="1" customWidth="1"/>
    <col min="3" max="3" width="21.140625" style="90" bestFit="1" customWidth="1"/>
    <col min="4" max="4" width="7.5703125" customWidth="1"/>
    <col min="5" max="5" width="56.140625" customWidth="1"/>
    <col min="6" max="6" width="15.85546875" bestFit="1" customWidth="1"/>
    <col min="7" max="7" width="10" bestFit="1" customWidth="1"/>
    <col min="8" max="8" width="17.5703125" bestFit="1" customWidth="1"/>
    <col min="9" max="9" width="7.5703125" bestFit="1" customWidth="1"/>
    <col min="10" max="10" width="13.7109375" bestFit="1" customWidth="1"/>
    <col min="11" max="11" width="9.85546875" bestFit="1" customWidth="1"/>
    <col min="12" max="12" width="8.7109375" bestFit="1" customWidth="1"/>
    <col min="13" max="13" width="10.5703125" bestFit="1" customWidth="1"/>
    <col min="14" max="14" width="12.140625" bestFit="1" customWidth="1"/>
    <col min="15" max="15" width="12" bestFit="1" customWidth="1"/>
    <col min="16" max="16" width="11" customWidth="1"/>
    <col min="17" max="17" width="8.85546875" customWidth="1"/>
    <col min="18" max="18" width="10.5703125" bestFit="1" customWidth="1"/>
    <col min="19" max="19" width="8" customWidth="1"/>
    <col min="20" max="20" width="6.85546875" customWidth="1"/>
    <col min="21" max="21" width="9.140625" customWidth="1"/>
    <col min="24" max="24" width="11.85546875" bestFit="1" customWidth="1"/>
  </cols>
  <sheetData>
    <row r="1" spans="1:24" ht="67.5" customHeight="1" x14ac:dyDescent="0.25">
      <c r="B1" s="90">
        <f>MAX(Table242[XNNOV '#])</f>
        <v>906</v>
      </c>
      <c r="W1">
        <f>SUM(W21:W189)</f>
        <v>42</v>
      </c>
      <c r="X1">
        <f>SUM(X21:X189)</f>
        <v>29</v>
      </c>
    </row>
    <row r="2" spans="1:24" x14ac:dyDescent="0.25">
      <c r="A2" s="189" t="s">
        <v>42</v>
      </c>
      <c r="B2" s="189"/>
      <c r="C2" s="189"/>
      <c r="D2" s="189"/>
      <c r="E2" s="189"/>
      <c r="F2" s="1" t="s">
        <v>483</v>
      </c>
    </row>
    <row r="3" spans="1:24" x14ac:dyDescent="0.25">
      <c r="A3" s="189" t="s">
        <v>43</v>
      </c>
      <c r="B3" s="189"/>
      <c r="C3" s="189"/>
      <c r="D3" s="189"/>
      <c r="E3" s="189"/>
      <c r="F3" s="2">
        <v>800</v>
      </c>
    </row>
    <row r="4" spans="1:24" x14ac:dyDescent="0.25">
      <c r="A4" s="189" t="s">
        <v>484</v>
      </c>
      <c r="B4" s="189"/>
      <c r="C4" s="189"/>
      <c r="D4" s="189"/>
      <c r="E4" s="189"/>
      <c r="F4" s="1"/>
    </row>
    <row r="5" spans="1:24" hidden="1" x14ac:dyDescent="0.25"/>
    <row r="6" spans="1:24" hidden="1" x14ac:dyDescent="0.25"/>
    <row r="7" spans="1:24" ht="7.5" hidden="1" customHeight="1" x14ac:dyDescent="0.25"/>
    <row r="8" spans="1:24" ht="43.5" hidden="1" customHeight="1" x14ac:dyDescent="0.25">
      <c r="A8" s="4" t="s">
        <v>44</v>
      </c>
      <c r="B8" s="4" t="s">
        <v>45</v>
      </c>
      <c r="C8" s="4" t="s">
        <v>46</v>
      </c>
      <c r="D8" s="4" t="s">
        <v>47</v>
      </c>
      <c r="E8" s="19" t="s">
        <v>48</v>
      </c>
      <c r="F8" s="5" t="s">
        <v>49</v>
      </c>
      <c r="G8" s="4" t="s">
        <v>50</v>
      </c>
      <c r="H8" s="4" t="str">
        <f>"Controller " &amp;$F$2</f>
        <v>Controller Output</v>
      </c>
      <c r="I8" s="4" t="s">
        <v>51</v>
      </c>
      <c r="J8" s="4" t="s">
        <v>52</v>
      </c>
      <c r="K8" s="4" t="s">
        <v>53</v>
      </c>
      <c r="L8" s="4" t="s">
        <v>54</v>
      </c>
      <c r="M8" s="4" t="s">
        <v>485</v>
      </c>
      <c r="N8" s="4" t="s">
        <v>56</v>
      </c>
      <c r="O8" s="4" t="s">
        <v>57</v>
      </c>
      <c r="P8" s="4" t="s">
        <v>58</v>
      </c>
      <c r="Q8" s="4" t="s">
        <v>59</v>
      </c>
      <c r="R8" s="4" t="s">
        <v>486</v>
      </c>
      <c r="S8" s="4" t="s">
        <v>61</v>
      </c>
      <c r="T8" s="4" t="s">
        <v>62</v>
      </c>
      <c r="U8" s="4" t="s">
        <v>487</v>
      </c>
    </row>
    <row r="9" spans="1:24" ht="32.25" customHeight="1" x14ac:dyDescent="0.25">
      <c r="A9" t="s">
        <v>44</v>
      </c>
      <c r="B9" s="4" t="s">
        <v>63</v>
      </c>
      <c r="C9" s="64" t="s">
        <v>488</v>
      </c>
      <c r="D9" s="4" t="s">
        <v>47</v>
      </c>
      <c r="E9" t="s">
        <v>48</v>
      </c>
      <c r="F9" t="s">
        <v>49</v>
      </c>
      <c r="G9" t="s">
        <v>65</v>
      </c>
      <c r="H9" t="s">
        <v>66</v>
      </c>
      <c r="I9" t="s">
        <v>51</v>
      </c>
      <c r="J9" t="s">
        <v>52</v>
      </c>
      <c r="K9" s="6" t="s">
        <v>53</v>
      </c>
      <c r="L9" s="7" t="s">
        <v>54</v>
      </c>
      <c r="M9" s="7" t="s">
        <v>485</v>
      </c>
      <c r="N9" s="7" t="s">
        <v>56</v>
      </c>
      <c r="O9" s="7" t="s">
        <v>57</v>
      </c>
      <c r="P9" s="7" t="s">
        <v>58</v>
      </c>
      <c r="Q9" s="7" t="s">
        <v>59</v>
      </c>
      <c r="R9" s="7" t="s">
        <v>486</v>
      </c>
      <c r="S9" s="7" t="s">
        <v>61</v>
      </c>
      <c r="T9" s="7" t="s">
        <v>62</v>
      </c>
      <c r="U9" t="s">
        <v>489</v>
      </c>
      <c r="W9" t="s">
        <v>490</v>
      </c>
    </row>
    <row r="10" spans="1:24" x14ac:dyDescent="0.25">
      <c r="B10" s="19" t="str">
        <f>IFERROR(RIGHT(Table242[[#This Row],[Controller Output '#]],3)*1,"")</f>
        <v/>
      </c>
      <c r="C10" s="88"/>
      <c r="D10" s="20"/>
      <c r="E10" s="1"/>
      <c r="F10" s="1"/>
      <c r="G10" s="1"/>
      <c r="H10" s="8"/>
      <c r="I10" s="1"/>
      <c r="J10" s="1"/>
      <c r="K10" s="3"/>
      <c r="L10" s="18"/>
      <c r="M10" s="18"/>
      <c r="N10" s="18" t="str">
        <f>IF(ISNUMBER(SEARCH("ANALOG",Table242[[#This Row],[Type]]))=TRUE,1,"")</f>
        <v/>
      </c>
      <c r="O10" s="18" t="str">
        <f>IF(ISNUMBER(SEARCH("BINARY",Table242[[#This Row],[Type]]))=TRUE,1,"")</f>
        <v/>
      </c>
      <c r="P10" s="7" t="str">
        <f>IF(Table242[[#This Row],[Type]]="","",LEFT(Table242[[#This Row],[Type]],1)&amp;LEFT($F$2,1))</f>
        <v/>
      </c>
      <c r="Q10" s="18"/>
      <c r="R10" s="18"/>
      <c r="S10" s="7" t="str">
        <f>IF(Table242[[#This Row],[A Counter]]=1,"AO"&amp;$F$3+SUM($N10:N$10),IF(Table242[[#This Row],[B Counter]]=1,"BO"&amp;$F$3+SUM($O10:O$10),""))</f>
        <v/>
      </c>
      <c r="T10" s="18"/>
    </row>
    <row r="11" spans="1:24" x14ac:dyDescent="0.25">
      <c r="B11" s="19" t="str">
        <f>IFERROR(RIGHT(Table242[[#This Row],[Controller Output '#]],3)*1,"")</f>
        <v/>
      </c>
      <c r="C11" s="88"/>
      <c r="D11" s="20"/>
      <c r="E11" s="1"/>
      <c r="F11" s="1"/>
      <c r="G11" s="1"/>
      <c r="H11" s="8"/>
      <c r="I11" s="1"/>
      <c r="J11" s="1"/>
      <c r="K11" s="3"/>
      <c r="L11" s="18"/>
      <c r="M11" s="18"/>
      <c r="N11" s="18" t="str">
        <f>IF(ISNUMBER(SEARCH("ANALOG",Table242[[#This Row],[Type]]))=TRUE,1,"")</f>
        <v/>
      </c>
      <c r="O11" s="18" t="str">
        <f>IF(ISNUMBER(SEARCH("BINARY",Table242[[#This Row],[Type]]))=TRUE,1,"")</f>
        <v/>
      </c>
      <c r="P11" s="7" t="str">
        <f>IF(Table242[[#This Row],[Type]]="","",LEFT(Table242[[#This Row],[Type]],1)&amp;LEFT($F$2,1))</f>
        <v/>
      </c>
      <c r="Q11" s="18"/>
      <c r="R11" s="18"/>
      <c r="S11" s="7" t="str">
        <f>IF(Table242[[#This Row],[A Counter]]=1,"AO"&amp;$F$3+SUM($N11:N$11),IF(Table242[[#This Row],[B Counter]]=1,"BO"&amp;$F$3+SUM($O11:O$11),""))</f>
        <v/>
      </c>
      <c r="T11" s="18"/>
    </row>
    <row r="12" spans="1:24" ht="15" hidden="1" customHeight="1" x14ac:dyDescent="0.25">
      <c r="A12">
        <v>1</v>
      </c>
      <c r="B12" s="58" t="str">
        <f>IFERROR(RIGHT(Table242[[#This Row],[Controller Output '#]],3)*1,"")</f>
        <v/>
      </c>
      <c r="C12" s="19"/>
      <c r="D12" s="20"/>
      <c r="E12" s="1" t="s">
        <v>491</v>
      </c>
      <c r="F12" s="1" t="s">
        <v>492</v>
      </c>
      <c r="G12" s="1"/>
      <c r="H12" s="8"/>
      <c r="I12" s="1" t="s">
        <v>103</v>
      </c>
      <c r="J12" s="1" t="s">
        <v>470</v>
      </c>
      <c r="K12" s="3" t="s">
        <v>102</v>
      </c>
      <c r="L12" s="1"/>
      <c r="M12" s="1"/>
      <c r="N12" s="1" t="str">
        <f>IF(ISNUMBER(SEARCH("ANALOG",Table242[[#This Row],[Type]]))=TRUE,1,"")</f>
        <v/>
      </c>
      <c r="O12" s="1">
        <f>IF(ISNUMBER(SEARCH("BINARY",Table242[[#This Row],[Type]]))=TRUE,1,"")</f>
        <v>1</v>
      </c>
      <c r="P12" t="str">
        <f>IF(Table242[[#This Row],[Type]]="","",LEFT(Table242[[#This Row],[Type]],1)&amp;LEFT($F$2,1))</f>
        <v>BO</v>
      </c>
      <c r="Q12" s="1"/>
      <c r="R12" s="1"/>
      <c r="S12" t="str">
        <f>IF(Table242[[#This Row],[A Counter]]=1,"AO"&amp;$F$3+SUM($N12:N$12),IF(Table242[[#This Row],[B Counter]]=1,"BO"&amp;$F$3+SUM($O12:O$12),""))</f>
        <v>BO801</v>
      </c>
      <c r="T12" s="18" t="s">
        <v>33</v>
      </c>
    </row>
    <row r="13" spans="1:24" ht="15" hidden="1" customHeight="1" x14ac:dyDescent="0.25">
      <c r="A13">
        <f>A12+1</f>
        <v>2</v>
      </c>
      <c r="B13" s="19" t="str">
        <f>IFERROR(RIGHT(Table242[[#This Row],[Controller Output '#]],3)*1,"")</f>
        <v/>
      </c>
      <c r="C13" s="19"/>
      <c r="D13" s="20"/>
      <c r="E13" s="1" t="s">
        <v>493</v>
      </c>
      <c r="F13" s="1" t="s">
        <v>494</v>
      </c>
      <c r="G13" s="1"/>
      <c r="H13" s="8"/>
      <c r="I13" s="1" t="s">
        <v>70</v>
      </c>
      <c r="J13" s="1" t="s">
        <v>470</v>
      </c>
      <c r="K13" s="3" t="s">
        <v>80</v>
      </c>
      <c r="L13" s="1"/>
      <c r="M13" s="1"/>
      <c r="N13" s="1">
        <f>IF(ISNUMBER(SEARCH("ANALOG",Table242[[#This Row],[Type]]))=TRUE,1,"")</f>
        <v>1</v>
      </c>
      <c r="O13" s="1" t="str">
        <f>IF(ISNUMBER(SEARCH("BINARY",Table242[[#This Row],[Type]]))=TRUE,1,"")</f>
        <v/>
      </c>
      <c r="P13" t="str">
        <f>IF(Table242[[#This Row],[Type]]="","",LEFT(Table242[[#This Row],[Type]],1)&amp;LEFT($F$2,1))</f>
        <v>AO</v>
      </c>
      <c r="Q13" s="1"/>
      <c r="R13" s="1"/>
      <c r="S13" t="str">
        <f>IF(Table242[[#This Row],[A Counter]]=1,"AO"&amp;$F$3+SUM($N$12:N13),IF(Table242[[#This Row],[B Counter]]=1,"BO"&amp;$F$3+SUM($O$12:O13),""))</f>
        <v>AO801</v>
      </c>
      <c r="T13" s="18" t="s">
        <v>33</v>
      </c>
    </row>
    <row r="14" spans="1:24" hidden="1" x14ac:dyDescent="0.25">
      <c r="A14">
        <f t="shared" ref="A14" si="0">A13+1</f>
        <v>3</v>
      </c>
      <c r="B14" s="19" t="str">
        <f>IFERROR(RIGHT(Table242[[#This Row],[Controller Output '#]],3)*1,"")</f>
        <v/>
      </c>
      <c r="C14" s="19"/>
      <c r="D14" s="20"/>
      <c r="E14" s="1" t="s">
        <v>495</v>
      </c>
      <c r="F14" s="1" t="s">
        <v>496</v>
      </c>
      <c r="G14" s="1"/>
      <c r="H14" s="8"/>
      <c r="I14" s="1" t="s">
        <v>497</v>
      </c>
      <c r="J14" s="1" t="s">
        <v>470</v>
      </c>
      <c r="K14" s="3" t="s">
        <v>498</v>
      </c>
      <c r="L14" s="1"/>
      <c r="M14" s="1"/>
      <c r="N14" s="1" t="str">
        <f>IF(ISNUMBER(SEARCH("ANALOG",Table242[[#This Row],[Type]]))=TRUE,1,"")</f>
        <v/>
      </c>
      <c r="O14" s="1" t="str">
        <f>IF(ISNUMBER(SEARCH("BINARY",Table242[[#This Row],[Type]]))=TRUE,1,"")</f>
        <v/>
      </c>
      <c r="P14" t="str">
        <f>IF(Table242[[#This Row],[Type]]="","",LEFT(Table242[[#This Row],[Type]],1)&amp;LEFT($F$2,1))</f>
        <v>AO</v>
      </c>
      <c r="Q14" s="1"/>
      <c r="R14" s="1"/>
      <c r="S14" t="str">
        <f>IF(Table242[[#This Row],[A Counter]]=1,"AO"&amp;$F$3+SUM($N$12:N14),IF(Table242[[#This Row],[B Counter]]=1,"BO"&amp;$F$3+SUM($O$12:O14),""))</f>
        <v/>
      </c>
      <c r="T14" s="18" t="s">
        <v>33</v>
      </c>
    </row>
    <row r="15" spans="1:24" x14ac:dyDescent="0.25">
      <c r="A15">
        <v>1</v>
      </c>
      <c r="B15" s="89">
        <f>IFERROR(RIGHT(Table242[[#This Row],[Controller Output '#]],3)*1,"")</f>
        <v>101</v>
      </c>
      <c r="C15" s="102" t="s">
        <v>1064</v>
      </c>
      <c r="D15" s="20"/>
      <c r="E15" s="127" t="s">
        <v>1104</v>
      </c>
      <c r="F15" s="11" t="s">
        <v>1105</v>
      </c>
      <c r="G15" s="1" t="s">
        <v>79</v>
      </c>
      <c r="H15" s="8"/>
      <c r="I15" s="1" t="s">
        <v>70</v>
      </c>
      <c r="J15" s="1" t="s">
        <v>71</v>
      </c>
      <c r="K15" s="1" t="s">
        <v>80</v>
      </c>
      <c r="L15" s="1" t="s">
        <v>81</v>
      </c>
      <c r="M15" s="1"/>
      <c r="N15" s="1">
        <f>IF(ISNUMBER(SEARCH("ANALOG",Table242[[#This Row],[Type]]))=TRUE,1,"")</f>
        <v>1</v>
      </c>
      <c r="O15" s="1" t="str">
        <f>IF(ISNUMBER(SEARCH("BINARY",Table242[[#This Row],[Type]]))=TRUE,1,"")</f>
        <v/>
      </c>
      <c r="P15" t="str">
        <f>IF(Table242[[#This Row],[Type]]="","",LEFT(Table242[[#This Row],[Type]],1)&amp;LEFT($F$2,1))</f>
        <v>AO</v>
      </c>
      <c r="Q15" s="1"/>
      <c r="R15" s="1"/>
      <c r="S15" t="str">
        <f>IF(Table242[[#This Row],[A Counter]]=1,"AO"&amp;$F$3+SUM($N$12:N15),IF(Table242[[#This Row],[B Counter]]=1,"BO"&amp;$F$3+SUM($O$12:O15),""))</f>
        <v>AO802</v>
      </c>
      <c r="T15" s="18"/>
    </row>
    <row r="16" spans="1:24" x14ac:dyDescent="0.25">
      <c r="A16">
        <f>A15+1</f>
        <v>2</v>
      </c>
      <c r="B16" s="89">
        <f>IFERROR(RIGHT(Table242[[#This Row],[Controller Output '#]],3)*1,"")</f>
        <v>102</v>
      </c>
      <c r="C16" s="102" t="s">
        <v>1065</v>
      </c>
      <c r="D16" s="20"/>
      <c r="E16" s="127" t="s">
        <v>1106</v>
      </c>
      <c r="F16" s="11" t="s">
        <v>1107</v>
      </c>
      <c r="G16" s="1" t="s">
        <v>79</v>
      </c>
      <c r="H16" s="8"/>
      <c r="I16" s="1" t="s">
        <v>70</v>
      </c>
      <c r="J16" s="1" t="s">
        <v>71</v>
      </c>
      <c r="K16" s="1" t="s">
        <v>80</v>
      </c>
      <c r="L16" s="1" t="s">
        <v>81</v>
      </c>
      <c r="M16" s="1"/>
      <c r="N16" s="1">
        <f>IF(ISNUMBER(SEARCH("ANALOG",Table242[[#This Row],[Type]]))=TRUE,1,"")</f>
        <v>1</v>
      </c>
      <c r="O16" s="1" t="str">
        <f>IF(ISNUMBER(SEARCH("BINARY",Table242[[#This Row],[Type]]))=TRUE,1,"")</f>
        <v/>
      </c>
      <c r="P16" t="str">
        <f>IF(Table242[[#This Row],[Type]]="","",LEFT(Table242[[#This Row],[Type]],1)&amp;LEFT($F$2,1))</f>
        <v>AO</v>
      </c>
      <c r="Q16" s="1"/>
      <c r="R16" s="1"/>
      <c r="S16" t="str">
        <f>IF(Table242[[#This Row],[A Counter]]=1,"AO"&amp;$F$3+SUM($N$12:N16),IF(Table242[[#This Row],[B Counter]]=1,"BO"&amp;$F$3+SUM($O$12:O16),""))</f>
        <v>AO803</v>
      </c>
      <c r="T16" s="18"/>
    </row>
    <row r="17" spans="1:28" x14ac:dyDescent="0.25">
      <c r="A17">
        <f t="shared" ref="A17:A80" si="1">A16+1</f>
        <v>3</v>
      </c>
      <c r="B17" s="89">
        <f>IFERROR(RIGHT(Table242[[#This Row],[Controller Output '#]],3)*1,"")</f>
        <v>103</v>
      </c>
      <c r="C17" s="102" t="s">
        <v>1066</v>
      </c>
      <c r="D17" s="20"/>
      <c r="E17" s="127" t="s">
        <v>1108</v>
      </c>
      <c r="F17" s="11" t="s">
        <v>1109</v>
      </c>
      <c r="G17" s="1" t="s">
        <v>79</v>
      </c>
      <c r="H17" s="8"/>
      <c r="I17" s="1" t="s">
        <v>70</v>
      </c>
      <c r="J17" s="1" t="s">
        <v>71</v>
      </c>
      <c r="K17" s="3" t="s">
        <v>80</v>
      </c>
      <c r="L17" s="1" t="s">
        <v>81</v>
      </c>
      <c r="M17" s="1"/>
      <c r="N17" s="1">
        <f>IF(ISNUMBER(SEARCH("ANALOG",Table242[[#This Row],[Type]]))=TRUE,1,"")</f>
        <v>1</v>
      </c>
      <c r="O17" s="1" t="str">
        <f>IF(ISNUMBER(SEARCH("BINARY",Table242[[#This Row],[Type]]))=TRUE,1,"")</f>
        <v/>
      </c>
      <c r="P17" t="str">
        <f>IF(Table242[[#This Row],[Type]]="","",LEFT(Table242[[#This Row],[Type]],1)&amp;LEFT($F$2,1))</f>
        <v>AO</v>
      </c>
      <c r="Q17" s="1"/>
      <c r="R17" s="1"/>
      <c r="S17" t="str">
        <f>IF(Table242[[#This Row],[A Counter]]=1,"AO"&amp;$F$3+SUM($N$12:N17),IF(Table242[[#This Row],[B Counter]]=1,"BO"&amp;$F$3+SUM($O$12:O17),""))</f>
        <v>AO804</v>
      </c>
      <c r="T17" s="18"/>
    </row>
    <row r="18" spans="1:28" x14ac:dyDescent="0.25">
      <c r="A18">
        <f t="shared" si="1"/>
        <v>4</v>
      </c>
      <c r="B18" s="89">
        <f>IFERROR(RIGHT(Table242[[#This Row],[Controller Output '#]],3)*1,"")</f>
        <v>104</v>
      </c>
      <c r="C18" s="102" t="s">
        <v>1067</v>
      </c>
      <c r="D18" s="20"/>
      <c r="E18" s="127" t="s">
        <v>1110</v>
      </c>
      <c r="F18" s="11" t="s">
        <v>1111</v>
      </c>
      <c r="G18" s="1" t="s">
        <v>79</v>
      </c>
      <c r="H18" s="8"/>
      <c r="I18" s="1" t="s">
        <v>70</v>
      </c>
      <c r="J18" s="1" t="s">
        <v>71</v>
      </c>
      <c r="K18" s="3" t="s">
        <v>80</v>
      </c>
      <c r="L18" s="1" t="s">
        <v>81</v>
      </c>
      <c r="M18" s="1"/>
      <c r="N18" s="1">
        <f>IF(ISNUMBER(SEARCH("ANALOG",Table242[[#This Row],[Type]]))=TRUE,1,"")</f>
        <v>1</v>
      </c>
      <c r="O18" s="1" t="str">
        <f>IF(ISNUMBER(SEARCH("BINARY",Table242[[#This Row],[Type]]))=TRUE,1,"")</f>
        <v/>
      </c>
      <c r="P18" t="str">
        <f>IF(Table242[[#This Row],[Type]]="","",LEFT(Table242[[#This Row],[Type]],1)&amp;LEFT($F$2,1))</f>
        <v>AO</v>
      </c>
      <c r="Q18" s="1"/>
      <c r="R18" s="1"/>
      <c r="S18" t="str">
        <f>IF(Table242[[#This Row],[A Counter]]=1,"AO"&amp;$F$3+SUM($N$12:N18),IF(Table242[[#This Row],[B Counter]]=1,"BO"&amp;$F$3+SUM($O$12:O18),""))</f>
        <v>AO805</v>
      </c>
      <c r="T18" s="18"/>
    </row>
    <row r="19" spans="1:28" x14ac:dyDescent="0.25">
      <c r="A19">
        <f t="shared" si="1"/>
        <v>5</v>
      </c>
      <c r="B19" s="89">
        <f>IFERROR(RIGHT(Table242[[#This Row],[Controller Output '#]],3)*1,"")</f>
        <v>105</v>
      </c>
      <c r="C19" s="102" t="s">
        <v>1062</v>
      </c>
      <c r="D19" s="20"/>
      <c r="E19" s="127" t="s">
        <v>1112</v>
      </c>
      <c r="F19" s="11" t="s">
        <v>1113</v>
      </c>
      <c r="G19" s="1" t="s">
        <v>79</v>
      </c>
      <c r="H19" s="8"/>
      <c r="I19" s="1" t="s">
        <v>70</v>
      </c>
      <c r="J19" s="1" t="s">
        <v>71</v>
      </c>
      <c r="K19" s="3" t="s">
        <v>80</v>
      </c>
      <c r="L19" s="1" t="s">
        <v>81</v>
      </c>
      <c r="M19" s="1"/>
      <c r="N19" s="1">
        <f>IF(ISNUMBER(SEARCH("ANALOG",Table242[[#This Row],[Type]]))=TRUE,1,"")</f>
        <v>1</v>
      </c>
      <c r="O19" s="1" t="str">
        <f>IF(ISNUMBER(SEARCH("BINARY",Table242[[#This Row],[Type]]))=TRUE,1,"")</f>
        <v/>
      </c>
      <c r="P19" t="str">
        <f>IF(Table242[[#This Row],[Type]]="","",LEFT(Table242[[#This Row],[Type]],1)&amp;LEFT($F$2,1))</f>
        <v>AO</v>
      </c>
      <c r="Q19" s="1"/>
      <c r="R19" s="1"/>
      <c r="S19" t="str">
        <f>IF(Table242[[#This Row],[A Counter]]=1,"AO"&amp;$F$3+SUM($N$12:N19),IF(Table242[[#This Row],[B Counter]]=1,"BO"&amp;$F$3+SUM($O$12:O19),""))</f>
        <v>AO806</v>
      </c>
      <c r="T19" s="18"/>
    </row>
    <row r="20" spans="1:28" x14ac:dyDescent="0.25">
      <c r="A20">
        <f t="shared" si="1"/>
        <v>6</v>
      </c>
      <c r="B20" s="89">
        <f>IFERROR(RIGHT(Table242[[#This Row],[Controller Output '#]],3)*1,"")</f>
        <v>106</v>
      </c>
      <c r="C20" s="102" t="s">
        <v>1063</v>
      </c>
      <c r="D20" s="20"/>
      <c r="E20" s="127" t="s">
        <v>1114</v>
      </c>
      <c r="F20" s="11" t="s">
        <v>1115</v>
      </c>
      <c r="G20" s="1" t="s">
        <v>79</v>
      </c>
      <c r="H20" s="8"/>
      <c r="I20" s="1" t="s">
        <v>70</v>
      </c>
      <c r="J20" s="1" t="s">
        <v>71</v>
      </c>
      <c r="K20" s="3" t="s">
        <v>80</v>
      </c>
      <c r="L20" s="1" t="s">
        <v>81</v>
      </c>
      <c r="M20" s="11"/>
      <c r="N20" s="1">
        <f>IF(ISNUMBER(SEARCH("ANALOG",Table242[[#This Row],[Type]]))=TRUE,1,"")</f>
        <v>1</v>
      </c>
      <c r="O20" s="1" t="str">
        <f>IF(ISNUMBER(SEARCH("BINARY",Table242[[#This Row],[Type]]))=TRUE,1,"")</f>
        <v/>
      </c>
      <c r="P20" t="str">
        <f>IF(Table242[[#This Row],[Type]]="","",LEFT(Table242[[#This Row],[Type]],1)&amp;LEFT($F$2,1))</f>
        <v>AO</v>
      </c>
      <c r="Q20" s="1"/>
      <c r="R20" s="1"/>
      <c r="S20" t="str">
        <f>IF(Table242[[#This Row],[A Counter]]=1,"AO"&amp;$F$3+SUM($N$12:N83),IF(Table242[[#This Row],[B Counter]]=1,"BO"&amp;$F$3+SUM($O$12:O83),""))</f>
        <v>AO822</v>
      </c>
      <c r="T20" s="18"/>
    </row>
    <row r="21" spans="1:28" ht="15.75" customHeight="1" x14ac:dyDescent="0.25">
      <c r="A21">
        <f t="shared" si="1"/>
        <v>7</v>
      </c>
      <c r="B21" s="91">
        <f>IFERROR(RIGHT(Table242[[#This Row],[Controller Output '#]],3)*1,"")</f>
        <v>201</v>
      </c>
      <c r="C21" s="91" t="s">
        <v>1068</v>
      </c>
      <c r="D21" s="20"/>
      <c r="E21" s="128" t="s">
        <v>499</v>
      </c>
      <c r="F21" s="1" t="s">
        <v>500</v>
      </c>
      <c r="G21" s="1" t="s">
        <v>112</v>
      </c>
      <c r="H21" s="8"/>
      <c r="I21" s="1" t="s">
        <v>103</v>
      </c>
      <c r="J21" s="1" t="s">
        <v>71</v>
      </c>
      <c r="K21" s="3"/>
      <c r="L21" s="1" t="s">
        <v>153</v>
      </c>
      <c r="M21" s="1"/>
      <c r="N21" s="1" t="str">
        <f>IF(ISNUMBER(SEARCH("ANALOG",Table242[[#This Row],[Type]]))=TRUE,1,"")</f>
        <v/>
      </c>
      <c r="O21" s="1">
        <f>IF(ISNUMBER(SEARCH("BINARY",Table242[[#This Row],[Type]]))=TRUE,1,"")</f>
        <v>1</v>
      </c>
      <c r="P21" t="str">
        <f>IF(Table242[[#This Row],[Type]]="","",LEFT(Table242[[#This Row],[Type]],1)&amp;LEFT($F$2,1))</f>
        <v>BO</v>
      </c>
      <c r="Q21" s="1"/>
      <c r="R21" s="1"/>
      <c r="S21" t="str">
        <f>IF(Table242[[#This Row],[A Counter]]=1,"AO"&amp;$F$3+SUM($N$12:N21),IF(Table242[[#This Row],[B Counter]]=1,"BO"&amp;$F$3+SUM($O$12:O21),""))</f>
        <v>BO802</v>
      </c>
      <c r="T21" s="1"/>
      <c r="W21">
        <v>1</v>
      </c>
      <c r="X21">
        <v>1</v>
      </c>
      <c r="AB21" cm="1">
        <f t="array" ref="AB21:AB75">_xlfn.UNIQUE(B21:B89)</f>
        <v>201</v>
      </c>
    </row>
    <row r="22" spans="1:28" x14ac:dyDescent="0.25">
      <c r="A22">
        <f t="shared" si="1"/>
        <v>8</v>
      </c>
      <c r="B22" s="91">
        <f>IFERROR(RIGHT(Table242[[#This Row],[Controller Output '#]],3)*1,"")</f>
        <v>202</v>
      </c>
      <c r="C22" s="91" t="s">
        <v>1161</v>
      </c>
      <c r="D22" s="20"/>
      <c r="E22" s="126" t="s">
        <v>503</v>
      </c>
      <c r="F22" s="1" t="s">
        <v>504</v>
      </c>
      <c r="G22" s="1" t="s">
        <v>133</v>
      </c>
      <c r="H22" s="8"/>
      <c r="I22" s="1" t="s">
        <v>70</v>
      </c>
      <c r="J22" s="1" t="s">
        <v>71</v>
      </c>
      <c r="K22" s="3" t="s">
        <v>80</v>
      </c>
      <c r="L22" s="1" t="s">
        <v>81</v>
      </c>
      <c r="M22" s="1"/>
      <c r="N22" s="1">
        <f>IF(ISNUMBER(SEARCH("ANALOG",Table242[[#This Row],[Type]]))=TRUE,1,"")</f>
        <v>1</v>
      </c>
      <c r="O22" s="1" t="str">
        <f>IF(ISNUMBER(SEARCH("BINARY",Table242[[#This Row],[Type]]))=TRUE,1,"")</f>
        <v/>
      </c>
      <c r="P22" t="str">
        <f>IF(Table242[[#This Row],[Type]]="","",LEFT(Table242[[#This Row],[Type]],1)&amp;LEFT($F$2,1))</f>
        <v>AO</v>
      </c>
      <c r="Q22" s="1"/>
      <c r="R22" s="1"/>
      <c r="S22" t="str">
        <f>IF(Table242[[#This Row],[A Counter]]=1,"AO"&amp;$F$3+SUM($N$12:N24),IF(Table242[[#This Row],[B Counter]]=1,"BO"&amp;$F$3+SUM($O$12:O24),""))</f>
        <v>AO809</v>
      </c>
      <c r="T22" s="1"/>
      <c r="W22">
        <v>1</v>
      </c>
      <c r="AB22">
        <v>202</v>
      </c>
    </row>
    <row r="23" spans="1:28" x14ac:dyDescent="0.25">
      <c r="A23">
        <f t="shared" si="1"/>
        <v>9</v>
      </c>
      <c r="B23" s="91">
        <f>IFERROR(RIGHT(Table242[[#This Row],[Controller Output '#]],3)*1,"")</f>
        <v>203</v>
      </c>
      <c r="C23" s="91" t="s">
        <v>1069</v>
      </c>
      <c r="D23" s="1"/>
      <c r="E23" s="140" t="s">
        <v>501</v>
      </c>
      <c r="F23" s="24" t="s">
        <v>502</v>
      </c>
      <c r="G23" s="24" t="s">
        <v>112</v>
      </c>
      <c r="H23" s="141"/>
      <c r="I23" s="24" t="s">
        <v>103</v>
      </c>
      <c r="J23" s="24" t="s">
        <v>71</v>
      </c>
      <c r="K23" s="142"/>
      <c r="L23" s="24" t="s">
        <v>153</v>
      </c>
      <c r="M23" s="24"/>
      <c r="N23" s="24" t="str">
        <f>IF(ISNUMBER(SEARCH("ANALOG",Table242[[#This Row],[Type]]))=TRUE,1,"")</f>
        <v/>
      </c>
      <c r="O23" s="24">
        <f>IF(ISNUMBER(SEARCH("BINARY",Table242[[#This Row],[Type]]))=TRUE,1,"")</f>
        <v>1</v>
      </c>
      <c r="P23" s="24" t="str">
        <f>IF(Table242[[#This Row],[Type]]="","",LEFT(Table242[[#This Row],[Type]],1)&amp;LEFT($F$2,1))</f>
        <v>BO</v>
      </c>
      <c r="Q23" s="24"/>
      <c r="R23" s="24"/>
      <c r="S23" s="24" t="str">
        <f>IF(Table242[[#This Row],[A Counter]]=1,"AO"&amp;$F$3+SUM($N$12:N22),IF(Table242[[#This Row],[B Counter]]=1,"BO"&amp;$F$3+SUM($O$12:O22),""))</f>
        <v>BO802</v>
      </c>
      <c r="T23" s="1"/>
      <c r="AB23">
        <v>203</v>
      </c>
    </row>
    <row r="24" spans="1:28" x14ac:dyDescent="0.25">
      <c r="A24">
        <f t="shared" si="1"/>
        <v>10</v>
      </c>
      <c r="B24" s="91">
        <f>IFERROR(RIGHT(Table242[[#This Row],[Controller Output '#]],3)*1,"")</f>
        <v>204</v>
      </c>
      <c r="C24" s="91" t="s">
        <v>1070</v>
      </c>
      <c r="D24" s="20"/>
      <c r="E24" s="126" t="s">
        <v>505</v>
      </c>
      <c r="F24" s="1" t="s">
        <v>506</v>
      </c>
      <c r="G24" s="1" t="s">
        <v>133</v>
      </c>
      <c r="H24" s="21"/>
      <c r="I24" s="23" t="s">
        <v>70</v>
      </c>
      <c r="J24" s="23" t="s">
        <v>71</v>
      </c>
      <c r="K24" s="103" t="s">
        <v>80</v>
      </c>
      <c r="L24" s="23" t="s">
        <v>81</v>
      </c>
      <c r="M24" s="11"/>
      <c r="N24" s="1">
        <f>IF(ISNUMBER(SEARCH("ANALOG",Table242[[#This Row],[Type]]))=TRUE,1,"")</f>
        <v>1</v>
      </c>
      <c r="O24" s="1" t="str">
        <f>IF(ISNUMBER(SEARCH("BINARY",Table242[[#This Row],[Type]]))=TRUE,1,"")</f>
        <v/>
      </c>
      <c r="P24" t="str">
        <f>IF(Table242[[#This Row],[Type]]="","",LEFT(Table242[[#This Row],[Type]],1)&amp;LEFT($F$2,1))</f>
        <v>AO</v>
      </c>
      <c r="Q24" s="1"/>
      <c r="R24" s="1"/>
      <c r="S24" t="str">
        <f>IF(Table242[[#This Row],[A Counter]]=1,"AO"&amp;$F$3+SUM($N$12:N24),IF(Table242[[#This Row],[B Counter]]=1,"BO"&amp;$F$3+SUM($O$12:O24),""))</f>
        <v>AO809</v>
      </c>
      <c r="T24" s="1"/>
      <c r="W24">
        <v>1</v>
      </c>
      <c r="X24">
        <v>1</v>
      </c>
      <c r="AB24">
        <v>204</v>
      </c>
    </row>
    <row r="25" spans="1:28" x14ac:dyDescent="0.25">
      <c r="A25">
        <f t="shared" si="1"/>
        <v>11</v>
      </c>
      <c r="B25" s="91">
        <f>IFERROR(RIGHT(Table242[[#This Row],[Controller Output '#]],3)*1,"")</f>
        <v>205</v>
      </c>
      <c r="C25" s="91" t="s">
        <v>1162</v>
      </c>
      <c r="D25" s="1"/>
      <c r="E25" s="140" t="s">
        <v>507</v>
      </c>
      <c r="F25" s="25" t="s">
        <v>508</v>
      </c>
      <c r="G25" s="25" t="s">
        <v>112</v>
      </c>
      <c r="H25" s="143"/>
      <c r="I25" s="25" t="s">
        <v>103</v>
      </c>
      <c r="J25" s="25" t="s">
        <v>71</v>
      </c>
      <c r="K25" s="144"/>
      <c r="L25" s="25" t="s">
        <v>153</v>
      </c>
      <c r="M25" s="25"/>
      <c r="N25" s="25" t="str">
        <f>IF(ISNUMBER(SEARCH("ANALOG",Table242[[#This Row],[Type]]))=TRUE,1,"")</f>
        <v/>
      </c>
      <c r="O25" s="25">
        <f>IF(ISNUMBER(SEARCH("BINARY",Table242[[#This Row],[Type]]))=TRUE,1,"")</f>
        <v>1</v>
      </c>
      <c r="P25" s="25" t="str">
        <f>IF(Table242[[#This Row],[Type]]="","",LEFT(Table242[[#This Row],[Type]],1)&amp;LEFT($F$2,1))</f>
        <v>BO</v>
      </c>
      <c r="Q25" s="25"/>
      <c r="R25" s="25"/>
      <c r="S25" s="25" t="str">
        <f>IF(Table242[[#This Row],[A Counter]]=1,"AO"&amp;$F$3+SUM($N$12:N28),IF(Table242[[#This Row],[B Counter]]=1,"BO"&amp;$F$3+SUM($O$12:O28),""))</f>
        <v>BO805</v>
      </c>
      <c r="T25" s="11"/>
      <c r="W25">
        <v>1</v>
      </c>
      <c r="AB25">
        <v>205</v>
      </c>
    </row>
    <row r="26" spans="1:28" x14ac:dyDescent="0.25">
      <c r="A26">
        <f t="shared" si="1"/>
        <v>12</v>
      </c>
      <c r="B26" s="91">
        <f>IFERROR(RIGHT(Table242[[#This Row],[Controller Output '#]],3)*1,"")</f>
        <v>206</v>
      </c>
      <c r="C26" s="91" t="s">
        <v>1071</v>
      </c>
      <c r="D26" s="1"/>
      <c r="E26" s="126" t="s">
        <v>511</v>
      </c>
      <c r="F26" s="1" t="s">
        <v>512</v>
      </c>
      <c r="G26" s="1" t="s">
        <v>133</v>
      </c>
      <c r="H26" s="21"/>
      <c r="I26" s="23" t="s">
        <v>70</v>
      </c>
      <c r="J26" s="23" t="s">
        <v>71</v>
      </c>
      <c r="K26" s="103" t="s">
        <v>80</v>
      </c>
      <c r="L26" s="23" t="s">
        <v>81</v>
      </c>
      <c r="M26" s="11"/>
      <c r="N26" s="1">
        <f>IF(ISNUMBER(SEARCH("ANALOG",Table242[[#This Row],[Type]]))=TRUE,1,"")</f>
        <v>1</v>
      </c>
      <c r="O26" s="1" t="str">
        <f>IF(ISNUMBER(SEARCH("BINARY",Table242[[#This Row],[Type]]))=TRUE,1,"")</f>
        <v/>
      </c>
      <c r="P26" t="str">
        <f>IF(Table242[[#This Row],[Type]]="","",LEFT(Table242[[#This Row],[Type]],1)&amp;LEFT($F$2,1))</f>
        <v>AO</v>
      </c>
      <c r="Q26" s="1"/>
      <c r="R26" s="1"/>
      <c r="S26" t="str">
        <f>IF(Table242[[#This Row],[A Counter]]=1,"AO"&amp;$F$3+SUM($N$12:N28),IF(Table242[[#This Row],[B Counter]]=1,"BO"&amp;$F$3+SUM($O$12:O28),""))</f>
        <v>AO811</v>
      </c>
      <c r="T26" s="1"/>
      <c r="AB26">
        <v>206</v>
      </c>
    </row>
    <row r="27" spans="1:28" x14ac:dyDescent="0.25">
      <c r="A27">
        <f t="shared" si="1"/>
        <v>13</v>
      </c>
      <c r="B27" s="91">
        <f>IFERROR(RIGHT(Table242[[#This Row],[Controller Output '#]],3)*1,"")</f>
        <v>301</v>
      </c>
      <c r="C27" s="91" t="s">
        <v>1072</v>
      </c>
      <c r="D27" s="1"/>
      <c r="E27" s="125" t="s">
        <v>509</v>
      </c>
      <c r="F27" s="1" t="s">
        <v>510</v>
      </c>
      <c r="G27" s="1" t="s">
        <v>112</v>
      </c>
      <c r="H27" s="8"/>
      <c r="I27" s="23" t="s">
        <v>103</v>
      </c>
      <c r="J27" s="23" t="s">
        <v>71</v>
      </c>
      <c r="K27" s="103" t="s">
        <v>112</v>
      </c>
      <c r="L27" s="23" t="s">
        <v>112</v>
      </c>
      <c r="M27" s="1"/>
      <c r="N27" s="1" t="str">
        <f>IF(ISNUMBER(SEARCH("ANALOG",Table242[[#This Row],[Type]]))=TRUE,1,"")</f>
        <v/>
      </c>
      <c r="O27" s="1">
        <f>IF(ISNUMBER(SEARCH("BINARY",Table242[[#This Row],[Type]]))=TRUE,1,"")</f>
        <v>1</v>
      </c>
      <c r="P27" t="str">
        <f>IF(Table242[[#This Row],[Type]]="","",LEFT(Table242[[#This Row],[Type]],1)&amp;LEFT($F$2,1))</f>
        <v>BO</v>
      </c>
      <c r="Q27" s="1"/>
      <c r="R27" s="1"/>
      <c r="S27" t="str">
        <f>IF(Table242[[#This Row],[A Counter]]=1,"AO"&amp;$F$3+SUM($N$12:N28),IF(Table242[[#This Row],[B Counter]]=1,"BO"&amp;$F$3+SUM($O$12:O28),""))</f>
        <v>BO805</v>
      </c>
      <c r="T27" s="1"/>
      <c r="W27">
        <v>1</v>
      </c>
      <c r="X27">
        <v>1</v>
      </c>
      <c r="AB27">
        <v>301</v>
      </c>
    </row>
    <row r="28" spans="1:28" x14ac:dyDescent="0.25">
      <c r="A28">
        <f t="shared" si="1"/>
        <v>14</v>
      </c>
      <c r="B28" s="91">
        <f>IFERROR(RIGHT(Table242[[#This Row],[Controller Output '#]],3)*1,"")</f>
        <v>302</v>
      </c>
      <c r="C28" s="91" t="s">
        <v>1073</v>
      </c>
      <c r="D28" s="1"/>
      <c r="E28" s="125" t="s">
        <v>513</v>
      </c>
      <c r="F28" s="1" t="s">
        <v>514</v>
      </c>
      <c r="G28" s="1" t="s">
        <v>133</v>
      </c>
      <c r="H28" s="8"/>
      <c r="I28" s="23" t="s">
        <v>70</v>
      </c>
      <c r="J28" s="23" t="s">
        <v>71</v>
      </c>
      <c r="K28" s="103" t="s">
        <v>80</v>
      </c>
      <c r="L28" s="23" t="s">
        <v>81</v>
      </c>
      <c r="M28" s="1"/>
      <c r="N28" s="1">
        <f>IF(ISNUMBER(SEARCH("ANALOG",Table242[[#This Row],[Type]]))=TRUE,1,"")</f>
        <v>1</v>
      </c>
      <c r="O28" s="1" t="str">
        <f>IF(ISNUMBER(SEARCH("BINARY",Table242[[#This Row],[Type]]))=TRUE,1,"")</f>
        <v/>
      </c>
      <c r="P28" t="str">
        <f>IF(Table242[[#This Row],[Type]]="","",LEFT(Table242[[#This Row],[Type]],1)&amp;LEFT($F$2,1))</f>
        <v>AO</v>
      </c>
      <c r="Q28" s="1"/>
      <c r="R28" s="1"/>
      <c r="S28" t="str">
        <f>IF(Table242[[#This Row],[A Counter]]=1,"AO"&amp;$F$3+SUM($N$12:N28),IF(Table242[[#This Row],[B Counter]]=1,"BO"&amp;$F$3+SUM($O$12:O28),""))</f>
        <v>AO811</v>
      </c>
      <c r="T28" s="1"/>
      <c r="W28">
        <v>1</v>
      </c>
      <c r="AB28">
        <v>302</v>
      </c>
    </row>
    <row r="29" spans="1:28" x14ac:dyDescent="0.25">
      <c r="A29">
        <f t="shared" si="1"/>
        <v>15</v>
      </c>
      <c r="B29" s="91">
        <f>IFERROR(RIGHT(Table242[[#This Row],[Controller Output '#]],3)*1,"")</f>
        <v>303</v>
      </c>
      <c r="C29" s="91" t="s">
        <v>1074</v>
      </c>
      <c r="D29" s="1"/>
      <c r="E29" s="125" t="s">
        <v>518</v>
      </c>
      <c r="F29" s="1" t="s">
        <v>519</v>
      </c>
      <c r="G29" s="1" t="s">
        <v>112</v>
      </c>
      <c r="H29" s="8"/>
      <c r="I29" s="23" t="s">
        <v>103</v>
      </c>
      <c r="J29" s="23" t="s">
        <v>71</v>
      </c>
      <c r="K29" s="23" t="s">
        <v>112</v>
      </c>
      <c r="L29" s="23" t="s">
        <v>112</v>
      </c>
      <c r="M29" s="1"/>
      <c r="N29" s="1" t="str">
        <f>IF(ISNUMBER(SEARCH("ANALOG",Table242[[#This Row],[Type]]))=TRUE,1,"")</f>
        <v/>
      </c>
      <c r="O29" s="1">
        <f>IF(ISNUMBER(SEARCH("BINARY",Table242[[#This Row],[Type]]))=TRUE,1,"")</f>
        <v>1</v>
      </c>
      <c r="P29" t="str">
        <f>IF(Table242[[#This Row],[Type]]="","",LEFT(Table242[[#This Row],[Type]],1)&amp;LEFT($F$2,1))</f>
        <v>BO</v>
      </c>
      <c r="Q29" s="1"/>
      <c r="R29" s="1"/>
      <c r="S29" t="str">
        <f>IF(Table242[[#This Row],[A Counter]]=1,"AO"&amp;$F$3+SUM($N$12:N29),IF(Table242[[#This Row],[B Counter]]=1,"BO"&amp;$F$3+SUM($O$12:O29),""))</f>
        <v>BO806</v>
      </c>
      <c r="T29" s="1"/>
      <c r="AB29">
        <v>303</v>
      </c>
    </row>
    <row r="30" spans="1:28" x14ac:dyDescent="0.25">
      <c r="A30">
        <f t="shared" si="1"/>
        <v>16</v>
      </c>
      <c r="B30" s="91">
        <f>IFERROR(RIGHT(Table242[[#This Row],[Controller Output '#]],3)*1,"")</f>
        <v>304</v>
      </c>
      <c r="C30" s="91" t="s">
        <v>1075</v>
      </c>
      <c r="D30" s="1"/>
      <c r="E30" s="125" t="s">
        <v>522</v>
      </c>
      <c r="F30" s="1" t="s">
        <v>523</v>
      </c>
      <c r="G30" s="1" t="s">
        <v>112</v>
      </c>
      <c r="H30" s="8"/>
      <c r="I30" s="23" t="s">
        <v>103</v>
      </c>
      <c r="J30" s="23" t="s">
        <v>71</v>
      </c>
      <c r="K30" s="23" t="s">
        <v>112</v>
      </c>
      <c r="L30" s="23" t="s">
        <v>112</v>
      </c>
      <c r="M30" s="1"/>
      <c r="N30" s="1" t="str">
        <f>IF(ISNUMBER(SEARCH("ANALOG",Table242[[#This Row],[Type]]))=TRUE,1,"")</f>
        <v/>
      </c>
      <c r="O30" s="1">
        <f>IF(ISNUMBER(SEARCH("BINARY",Table242[[#This Row],[Type]]))=TRUE,1,"")</f>
        <v>1</v>
      </c>
      <c r="P30" t="str">
        <f>IF(Table242[[#This Row],[Type]]="","",LEFT(Table242[[#This Row],[Type]],1)&amp;LEFT($F$2,1))</f>
        <v>BO</v>
      </c>
      <c r="Q30" s="1"/>
      <c r="R30" s="1"/>
      <c r="S30" t="str">
        <f>IF(Table242[[#This Row],[A Counter]]=1,"AO"&amp;$F$3+SUM($N$12:N31),IF(Table242[[#This Row],[B Counter]]=1,"BO"&amp;$F$3+SUM($O$12:O31),""))</f>
        <v>BO808</v>
      </c>
      <c r="T30" s="1"/>
      <c r="W30">
        <v>1</v>
      </c>
      <c r="X30">
        <v>1</v>
      </c>
      <c r="AB30">
        <v>304</v>
      </c>
    </row>
    <row r="31" spans="1:28" x14ac:dyDescent="0.25">
      <c r="A31">
        <f t="shared" si="1"/>
        <v>17</v>
      </c>
      <c r="B31" s="91">
        <f>IFERROR(RIGHT(Table242[[#This Row],[Controller Output '#]],3)*1,"")</f>
        <v>305</v>
      </c>
      <c r="C31" s="91" t="s">
        <v>1076</v>
      </c>
      <c r="D31" s="1"/>
      <c r="E31" s="125" t="s">
        <v>1015</v>
      </c>
      <c r="F31" s="1" t="s">
        <v>517</v>
      </c>
      <c r="G31" s="1" t="s">
        <v>112</v>
      </c>
      <c r="H31" s="8"/>
      <c r="I31" s="23" t="s">
        <v>103</v>
      </c>
      <c r="J31" s="23" t="s">
        <v>71</v>
      </c>
      <c r="K31" s="23" t="s">
        <v>112</v>
      </c>
      <c r="L31" s="23" t="s">
        <v>112</v>
      </c>
      <c r="M31" s="1"/>
      <c r="N31" s="1" t="str">
        <f>IF(ISNUMBER(SEARCH("ANALOG",Table242[[#This Row],[Type]]))=TRUE,1,"")</f>
        <v/>
      </c>
      <c r="O31" s="1">
        <f>IF(ISNUMBER(SEARCH("BINARY",Table242[[#This Row],[Type]]))=TRUE,1,"")</f>
        <v>1</v>
      </c>
      <c r="P31" t="str">
        <f>IF(Table242[[#This Row],[Type]]="","",LEFT(Table242[[#This Row],[Type]],1)&amp;LEFT($F$2,1))</f>
        <v>BO</v>
      </c>
      <c r="Q31" s="1"/>
      <c r="R31" s="1"/>
      <c r="S31" t="str">
        <f>IF(Table242[[#This Row],[A Counter]]=1,"AO"&amp;$F$3+SUM($N$12:N31),IF(Table242[[#This Row],[B Counter]]=1,"BO"&amp;$F$3+SUM($O$12:O31),""))</f>
        <v>BO808</v>
      </c>
      <c r="T31" s="1"/>
      <c r="W31">
        <v>1</v>
      </c>
      <c r="AB31">
        <v>305</v>
      </c>
    </row>
    <row r="32" spans="1:28" x14ac:dyDescent="0.25">
      <c r="A32">
        <f t="shared" si="1"/>
        <v>18</v>
      </c>
      <c r="B32" s="91">
        <f>IFERROR(RIGHT(Table242[[#This Row],[Controller Output '#]],3)*1,"")</f>
        <v>306</v>
      </c>
      <c r="C32" s="91" t="s">
        <v>1077</v>
      </c>
      <c r="D32" s="1"/>
      <c r="E32" s="125" t="s">
        <v>520</v>
      </c>
      <c r="F32" s="1" t="s">
        <v>521</v>
      </c>
      <c r="G32" s="1" t="s">
        <v>79</v>
      </c>
      <c r="H32" s="8"/>
      <c r="I32" s="23" t="s">
        <v>70</v>
      </c>
      <c r="J32" s="23" t="s">
        <v>71</v>
      </c>
      <c r="K32" s="23" t="s">
        <v>80</v>
      </c>
      <c r="L32" s="23" t="s">
        <v>81</v>
      </c>
      <c r="M32" s="1"/>
      <c r="N32" s="1">
        <f>IF(ISNUMBER(SEARCH("ANALOG",Table242[[#This Row],[Type]]))=TRUE,1,"")</f>
        <v>1</v>
      </c>
      <c r="O32" s="1" t="str">
        <f>IF(ISNUMBER(SEARCH("BINARY",Table242[[#This Row],[Type]]))=TRUE,1,"")</f>
        <v/>
      </c>
      <c r="P32" t="str">
        <f>IF(Table242[[#This Row],[Type]]="","",LEFT(Table242[[#This Row],[Type]],1)&amp;LEFT($F$2,1))</f>
        <v>AO</v>
      </c>
      <c r="Q32" s="1"/>
      <c r="R32" s="1"/>
      <c r="S32" t="str">
        <f>IF(Table242[[#This Row],[A Counter]]=1,"AO"&amp;$F$3+SUM($N$12:N42),IF(Table242[[#This Row],[B Counter]]=1,"BO"&amp;$F$3+SUM($O$12:O42),""))</f>
        <v>AO814</v>
      </c>
      <c r="T32" s="11"/>
      <c r="W32">
        <v>1</v>
      </c>
      <c r="X32">
        <v>1</v>
      </c>
      <c r="AB32">
        <v>306</v>
      </c>
    </row>
    <row r="33" spans="1:28" x14ac:dyDescent="0.25">
      <c r="A33">
        <f t="shared" si="1"/>
        <v>19</v>
      </c>
      <c r="B33" s="91">
        <f>IFERROR(RIGHT(Table242[[#This Row],[Controller Output '#]],3)*1,"")</f>
        <v>401</v>
      </c>
      <c r="C33" s="91" t="s">
        <v>1079</v>
      </c>
      <c r="D33" s="1"/>
      <c r="E33" s="126" t="s">
        <v>515</v>
      </c>
      <c r="F33" s="1" t="s">
        <v>516</v>
      </c>
      <c r="G33" s="1" t="s">
        <v>112</v>
      </c>
      <c r="H33" s="21"/>
      <c r="I33" s="23" t="s">
        <v>103</v>
      </c>
      <c r="J33" s="23" t="s">
        <v>71</v>
      </c>
      <c r="K33" s="103" t="s">
        <v>112</v>
      </c>
      <c r="L33" s="23" t="s">
        <v>112</v>
      </c>
      <c r="M33" s="1"/>
      <c r="N33" s="1" t="str">
        <f>IF(ISNUMBER(SEARCH("ANALOG",Table242[[#This Row],[Type]]))=TRUE,1,"")</f>
        <v/>
      </c>
      <c r="O33" s="1">
        <f>IF(ISNUMBER(SEARCH("BINARY",Table242[[#This Row],[Type]]))=TRUE,1,"")</f>
        <v>1</v>
      </c>
      <c r="P33" t="str">
        <f>IF(Table242[[#This Row],[Type]]="","",LEFT(Table242[[#This Row],[Type]],1)&amp;LEFT($F$2,1))</f>
        <v>BO</v>
      </c>
      <c r="Q33" s="1"/>
      <c r="R33" s="1"/>
      <c r="S33" t="str">
        <f>IF(Table242[[#This Row],[A Counter]]=1,"AO"&amp;$F$3+SUM($N$12:N33),IF(Table242[[#This Row],[B Counter]]=1,"BO"&amp;$F$3+SUM($O$12:O33),""))</f>
        <v>BO809</v>
      </c>
      <c r="T33" s="1"/>
      <c r="AB33">
        <v>401</v>
      </c>
    </row>
    <row r="34" spans="1:28" x14ac:dyDescent="0.25">
      <c r="A34">
        <f t="shared" si="1"/>
        <v>20</v>
      </c>
      <c r="B34" s="91">
        <f>IFERROR(RIGHT(Table242[[#This Row],[Controller Output '#]],3)*1,"")</f>
        <v>402</v>
      </c>
      <c r="C34" s="91" t="s">
        <v>1080</v>
      </c>
      <c r="D34" s="11"/>
      <c r="E34" s="126" t="s">
        <v>524</v>
      </c>
      <c r="F34" s="1" t="s">
        <v>525</v>
      </c>
      <c r="G34" s="1" t="s">
        <v>112</v>
      </c>
      <c r="H34" s="8"/>
      <c r="I34" s="23" t="s">
        <v>103</v>
      </c>
      <c r="J34" s="23" t="s">
        <v>71</v>
      </c>
      <c r="K34" s="103" t="s">
        <v>112</v>
      </c>
      <c r="L34" s="23" t="s">
        <v>112</v>
      </c>
      <c r="M34" s="1"/>
      <c r="N34" s="1" t="str">
        <f>IF(ISNUMBER(SEARCH("ANALOG",Table242[[#This Row],[Type]]))=TRUE,1,"")</f>
        <v/>
      </c>
      <c r="O34" s="1">
        <f>IF(ISNUMBER(SEARCH("BINARY",Table242[[#This Row],[Type]]))=TRUE,1,"")</f>
        <v>1</v>
      </c>
      <c r="P34" t="str">
        <f>IF(Table242[[#This Row],[Type]]="","",LEFT(Table242[[#This Row],[Type]],1)&amp;LEFT($F$2,1))</f>
        <v>BO</v>
      </c>
      <c r="Q34" s="1"/>
      <c r="R34" s="1"/>
      <c r="S34" t="str">
        <f>IF(Table242[[#This Row],[A Counter]]=1,"AO"&amp;$F$3+SUM($N$12:N34),IF(Table242[[#This Row],[B Counter]]=1,"BO"&amp;$F$3+SUM($O$12:O34),""))</f>
        <v>BO810</v>
      </c>
      <c r="T34" s="1"/>
      <c r="U34" s="10"/>
      <c r="W34">
        <v>1</v>
      </c>
      <c r="X34">
        <v>1</v>
      </c>
      <c r="AB34">
        <v>402</v>
      </c>
    </row>
    <row r="35" spans="1:28" x14ac:dyDescent="0.25">
      <c r="A35">
        <f t="shared" si="1"/>
        <v>21</v>
      </c>
      <c r="B35" s="91">
        <f>IFERROR(RIGHT(Table242[[#This Row],[Controller Output '#]],3)*1,"")</f>
        <v>403</v>
      </c>
      <c r="C35" s="91" t="s">
        <v>1081</v>
      </c>
      <c r="D35" s="1"/>
      <c r="E35" s="126" t="s">
        <v>526</v>
      </c>
      <c r="F35" s="1" t="s">
        <v>527</v>
      </c>
      <c r="G35" s="1" t="s">
        <v>112</v>
      </c>
      <c r="H35" s="8"/>
      <c r="I35" s="23" t="s">
        <v>103</v>
      </c>
      <c r="J35" s="23" t="s">
        <v>71</v>
      </c>
      <c r="K35" s="103" t="s">
        <v>112</v>
      </c>
      <c r="L35" s="23" t="s">
        <v>112</v>
      </c>
      <c r="M35" s="1"/>
      <c r="N35" s="1" t="str">
        <f>IF(ISNUMBER(SEARCH("ANALOG",Table242[[#This Row],[Type]]))=TRUE,1,"")</f>
        <v/>
      </c>
      <c r="O35" s="1">
        <f>IF(ISNUMBER(SEARCH("BINARY",Table242[[#This Row],[Type]]))=TRUE,1,"")</f>
        <v>1</v>
      </c>
      <c r="P35" t="str">
        <f>IF(Table242[[#This Row],[Type]]="","",LEFT(Table242[[#This Row],[Type]],1)&amp;LEFT($F$2,1))</f>
        <v>BO</v>
      </c>
      <c r="Q35" s="1"/>
      <c r="R35" s="1"/>
      <c r="S35" t="str">
        <f>IF(Table242[[#This Row],[A Counter]]=1,"AO"&amp;$F$3+SUM($N$12:N47),IF(Table242[[#This Row],[B Counter]]=1,"BO"&amp;$F$3+SUM($O$12:O47),""))</f>
        <v>BO815</v>
      </c>
      <c r="T35" s="1"/>
      <c r="W35">
        <v>1</v>
      </c>
      <c r="X35">
        <v>1</v>
      </c>
      <c r="AB35">
        <v>403</v>
      </c>
    </row>
    <row r="36" spans="1:28" x14ac:dyDescent="0.25">
      <c r="A36">
        <f t="shared" si="1"/>
        <v>22</v>
      </c>
      <c r="B36" s="91">
        <f>IFERROR(RIGHT(Table242[[#This Row],[Controller Output '#]],3)*1,"")</f>
        <v>404</v>
      </c>
      <c r="C36" s="91">
        <v>404</v>
      </c>
      <c r="D36" s="1"/>
      <c r="E36" s="126"/>
      <c r="F36" s="1"/>
      <c r="G36" s="1"/>
      <c r="H36" s="8"/>
      <c r="I36" s="1"/>
      <c r="J36" s="1"/>
      <c r="K36" s="1"/>
      <c r="L36" s="1"/>
      <c r="M36" s="1"/>
      <c r="N36" s="1"/>
      <c r="O36" s="1"/>
      <c r="Q36" s="1"/>
      <c r="R36" s="1"/>
      <c r="T36" s="1"/>
      <c r="AB36">
        <v>404</v>
      </c>
    </row>
    <row r="37" spans="1:28" x14ac:dyDescent="0.25">
      <c r="A37">
        <f t="shared" si="1"/>
        <v>23</v>
      </c>
      <c r="B37" s="91">
        <f>IFERROR(RIGHT(Table242[[#This Row],[Controller Output '#]],3)*1,"")</f>
        <v>405</v>
      </c>
      <c r="C37" s="91">
        <v>405</v>
      </c>
      <c r="D37" s="1"/>
      <c r="E37" s="126"/>
      <c r="F37" s="1"/>
      <c r="G37" s="1"/>
      <c r="H37" s="8"/>
      <c r="I37" s="1"/>
      <c r="J37" s="1"/>
      <c r="K37" s="1"/>
      <c r="L37" s="1"/>
      <c r="M37" s="1"/>
      <c r="N37" s="1"/>
      <c r="O37" s="1"/>
      <c r="Q37" s="1"/>
      <c r="R37" s="1"/>
      <c r="T37" s="1"/>
      <c r="W37">
        <v>1</v>
      </c>
      <c r="X37">
        <v>1</v>
      </c>
      <c r="AB37">
        <v>405</v>
      </c>
    </row>
    <row r="38" spans="1:28" x14ac:dyDescent="0.25">
      <c r="A38">
        <f t="shared" si="1"/>
        <v>24</v>
      </c>
      <c r="B38" s="91">
        <f>IFERROR(RIGHT(Table242[[#This Row],[Controller Output '#]],3)*1,"")</f>
        <v>406</v>
      </c>
      <c r="C38" s="91" t="s">
        <v>1082</v>
      </c>
      <c r="E38" s="126" t="s">
        <v>1121</v>
      </c>
      <c r="F38" s="1" t="s">
        <v>1120</v>
      </c>
      <c r="G38" s="1" t="s">
        <v>112</v>
      </c>
      <c r="H38" s="8"/>
      <c r="I38" s="23" t="s">
        <v>103</v>
      </c>
      <c r="J38" s="23" t="s">
        <v>1078</v>
      </c>
      <c r="K38" s="23" t="s">
        <v>112</v>
      </c>
      <c r="L38" s="23" t="s">
        <v>112</v>
      </c>
      <c r="M38" s="1"/>
      <c r="N38" s="1"/>
      <c r="O38" s="1"/>
      <c r="Q38" s="1"/>
      <c r="R38" s="1"/>
      <c r="T38" s="1"/>
      <c r="AB38">
        <v>406</v>
      </c>
    </row>
    <row r="39" spans="1:28" x14ac:dyDescent="0.25">
      <c r="A39">
        <f>A38+1</f>
        <v>25</v>
      </c>
      <c r="B39" s="91">
        <f>IFERROR(RIGHT(Table242[[#This Row],[Controller Output '#]],3)*1,"")</f>
        <v>501</v>
      </c>
      <c r="C39" s="91" t="s">
        <v>1083</v>
      </c>
      <c r="D39" s="11"/>
      <c r="E39" s="125" t="s">
        <v>528</v>
      </c>
      <c r="F39" s="1" t="s">
        <v>529</v>
      </c>
      <c r="G39" s="1" t="s">
        <v>112</v>
      </c>
      <c r="H39" s="8"/>
      <c r="I39" s="23" t="s">
        <v>103</v>
      </c>
      <c r="J39" s="23" t="s">
        <v>71</v>
      </c>
      <c r="K39" s="103"/>
      <c r="L39" s="23" t="s">
        <v>153</v>
      </c>
      <c r="M39" s="1"/>
      <c r="N39" s="1"/>
      <c r="O39" s="1"/>
      <c r="Q39" s="1"/>
      <c r="R39" s="1"/>
      <c r="T39" s="1"/>
      <c r="Z39">
        <v>303</v>
      </c>
      <c r="AB39">
        <v>501</v>
      </c>
    </row>
    <row r="40" spans="1:28" x14ac:dyDescent="0.25">
      <c r="A40">
        <f t="shared" si="1"/>
        <v>26</v>
      </c>
      <c r="B40" s="91">
        <f>IFERROR(RIGHT(Table242[[#This Row],[Controller Output '#]],3)*1,"")</f>
        <v>502</v>
      </c>
      <c r="C40" s="91" t="s">
        <v>1163</v>
      </c>
      <c r="D40" s="1"/>
      <c r="E40" s="145" t="s">
        <v>532</v>
      </c>
      <c r="F40" s="24" t="s">
        <v>533</v>
      </c>
      <c r="G40" s="1" t="s">
        <v>133</v>
      </c>
      <c r="H40" s="141"/>
      <c r="I40" s="147" t="s">
        <v>70</v>
      </c>
      <c r="J40" s="147" t="s">
        <v>71</v>
      </c>
      <c r="K40" s="148" t="s">
        <v>80</v>
      </c>
      <c r="L40" s="147" t="s">
        <v>81</v>
      </c>
      <c r="M40" s="153"/>
      <c r="N40" s="24">
        <f>IF(ISNUMBER(SEARCH("ANALOG",Table242[[#This Row],[Type]]))=TRUE,1,"")</f>
        <v>1</v>
      </c>
      <c r="O40" s="24" t="str">
        <f>IF(ISNUMBER(SEARCH("BINARY",Table242[[#This Row],[Type]]))=TRUE,1,"")</f>
        <v/>
      </c>
      <c r="P40" s="24" t="str">
        <f>IF(Table242[[#This Row],[Type]]="","",LEFT(Table242[[#This Row],[Type]],1)&amp;LEFT($F$2,1))</f>
        <v>AO</v>
      </c>
      <c r="Q40" s="24"/>
      <c r="R40" s="24"/>
      <c r="S40" s="24" t="str">
        <f>IF(Table242[[#This Row],[A Counter]]=1,"AO"&amp;$F$3+SUM($N$12:N47),IF(Table242[[#This Row],[B Counter]]=1,"BO"&amp;$F$3+SUM($O$12:O47),""))</f>
        <v>AO816</v>
      </c>
      <c r="T40" s="1"/>
      <c r="Z40">
        <v>304</v>
      </c>
      <c r="AB40">
        <v>502</v>
      </c>
    </row>
    <row r="41" spans="1:28" x14ac:dyDescent="0.25">
      <c r="A41">
        <f t="shared" si="1"/>
        <v>27</v>
      </c>
      <c r="B41" s="91">
        <f>IFERROR(RIGHT(Table242[[#This Row],[Controller Output '#]],3)*1,"")</f>
        <v>503</v>
      </c>
      <c r="C41" s="91" t="s">
        <v>1129</v>
      </c>
      <c r="D41" s="1"/>
      <c r="E41" s="145" t="s">
        <v>530</v>
      </c>
      <c r="F41" s="24" t="s">
        <v>531</v>
      </c>
      <c r="G41" s="24" t="s">
        <v>112</v>
      </c>
      <c r="H41" s="146"/>
      <c r="I41" s="147" t="s">
        <v>103</v>
      </c>
      <c r="J41" s="147" t="s">
        <v>71</v>
      </c>
      <c r="K41" s="148"/>
      <c r="L41" s="147" t="s">
        <v>153</v>
      </c>
      <c r="M41" s="24"/>
      <c r="N41" s="24" t="str">
        <f>IF(ISNUMBER(SEARCH("ANALOG",Table242[[#This Row],[Type]]))=TRUE,1,"")</f>
        <v/>
      </c>
      <c r="O41" s="24">
        <f>IF(ISNUMBER(SEARCH("BINARY",Table242[[#This Row],[Type]]))=TRUE,1,"")</f>
        <v>1</v>
      </c>
      <c r="P41" s="24" t="str">
        <f>IF(Table242[[#This Row],[Type]]="","",LEFT(Table242[[#This Row],[Type]],1)&amp;LEFT($F$2,1))</f>
        <v>BO</v>
      </c>
      <c r="Q41" s="24"/>
      <c r="R41" s="24"/>
      <c r="S41" s="24" t="str">
        <f>IF(Table242[[#This Row],[A Counter]]=1,"AO"&amp;$F$3+SUM($N$12:N47),IF(Table242[[#This Row],[B Counter]]=1,"BO"&amp;$F$3+SUM($O$12:O47),""))</f>
        <v>BO815</v>
      </c>
      <c r="T41" s="11"/>
      <c r="U41" s="10"/>
      <c r="W41">
        <v>1</v>
      </c>
      <c r="X41">
        <v>1</v>
      </c>
      <c r="AB41">
        <v>503</v>
      </c>
    </row>
    <row r="42" spans="1:28" x14ac:dyDescent="0.25">
      <c r="A42">
        <f t="shared" si="1"/>
        <v>28</v>
      </c>
      <c r="B42" s="91">
        <f>IFERROR(RIGHT(Table242[[#This Row],[Controller Output '#]],3)*1,"")</f>
        <v>504</v>
      </c>
      <c r="C42" s="91" t="s">
        <v>1084</v>
      </c>
      <c r="D42" s="1"/>
      <c r="E42" s="145" t="s">
        <v>534</v>
      </c>
      <c r="F42" s="25" t="s">
        <v>535</v>
      </c>
      <c r="G42" s="1" t="s">
        <v>133</v>
      </c>
      <c r="H42" s="149"/>
      <c r="I42" s="150" t="s">
        <v>70</v>
      </c>
      <c r="J42" s="150" t="s">
        <v>71</v>
      </c>
      <c r="K42" s="151" t="s">
        <v>80</v>
      </c>
      <c r="L42" s="150" t="s">
        <v>81</v>
      </c>
      <c r="M42" s="25"/>
      <c r="N42" s="25">
        <f>IF(ISNUMBER(SEARCH("ANALOG",Table242[[#This Row],[Type]]))=TRUE,1,"")</f>
        <v>1</v>
      </c>
      <c r="O42" s="25" t="str">
        <f>IF(ISNUMBER(SEARCH("BINARY",Table242[[#This Row],[Type]]))=TRUE,1,"")</f>
        <v/>
      </c>
      <c r="P42" s="25" t="str">
        <f>IF(Table242[[#This Row],[Type]]="","",LEFT(Table242[[#This Row],[Type]],1)&amp;LEFT($F$2,1))</f>
        <v>AO</v>
      </c>
      <c r="Q42" s="25"/>
      <c r="R42" s="25"/>
      <c r="S42" s="25" t="str">
        <f>IF(Table242[[#This Row],[A Counter]]=1,"AO"&amp;$F$3+SUM($N$12:N42),IF(Table242[[#This Row],[B Counter]]=1,"BO"&amp;$F$3+SUM($O$12:O42),""))</f>
        <v>AO814</v>
      </c>
      <c r="T42" s="1"/>
      <c r="AB42">
        <v>504</v>
      </c>
    </row>
    <row r="43" spans="1:28" x14ac:dyDescent="0.25">
      <c r="A43">
        <f t="shared" si="1"/>
        <v>29</v>
      </c>
      <c r="B43" s="91">
        <f>IFERROR(RIGHT(Table242[[#This Row],[Controller Output '#]],3)*1,"")</f>
        <v>505</v>
      </c>
      <c r="C43" s="91" t="s">
        <v>1164</v>
      </c>
      <c r="D43" s="1"/>
      <c r="E43" s="145" t="s">
        <v>536</v>
      </c>
      <c r="F43" s="25" t="s">
        <v>537</v>
      </c>
      <c r="G43" s="25" t="s">
        <v>112</v>
      </c>
      <c r="H43" s="149"/>
      <c r="I43" s="150" t="s">
        <v>103</v>
      </c>
      <c r="J43" s="150" t="s">
        <v>71</v>
      </c>
      <c r="K43" s="151"/>
      <c r="L43" s="150" t="s">
        <v>153</v>
      </c>
      <c r="M43" s="152"/>
      <c r="N43" s="25" t="str">
        <f>IF(ISNUMBER(SEARCH("ANALOG",Table242[[#This Row],[Type]]))=TRUE,1,"")</f>
        <v/>
      </c>
      <c r="O43" s="25">
        <f>IF(ISNUMBER(SEARCH("BINARY",Table242[[#This Row],[Type]]))=TRUE,1,"")</f>
        <v>1</v>
      </c>
      <c r="P43" s="25" t="str">
        <f>IF(Table242[[#This Row],[Type]]="","",LEFT(Table242[[#This Row],[Type]],1)&amp;LEFT($F$2,1))</f>
        <v>BO</v>
      </c>
      <c r="Q43" s="25"/>
      <c r="R43" s="25"/>
      <c r="S43" s="25" t="str">
        <f>IF(Table242[[#This Row],[A Counter]]=1,"AO"&amp;$F$3+SUM($N$12:N45),IF(Table242[[#This Row],[B Counter]]=1,"BO"&amp;$F$3+SUM($O$12:O45),""))</f>
        <v>BO814</v>
      </c>
      <c r="T43" s="1"/>
      <c r="W43">
        <v>1</v>
      </c>
      <c r="X43">
        <v>1</v>
      </c>
      <c r="AB43">
        <v>505</v>
      </c>
    </row>
    <row r="44" spans="1:28" x14ac:dyDescent="0.25">
      <c r="A44">
        <f t="shared" si="1"/>
        <v>30</v>
      </c>
      <c r="B44" s="91">
        <f>IFERROR(RIGHT(Table242[[#This Row],[Controller Output '#]],3)*1,"")</f>
        <v>506</v>
      </c>
      <c r="C44" s="91" t="s">
        <v>1096</v>
      </c>
      <c r="D44" s="1"/>
      <c r="E44" s="145" t="s">
        <v>540</v>
      </c>
      <c r="F44" s="24" t="s">
        <v>541</v>
      </c>
      <c r="G44" s="1" t="s">
        <v>133</v>
      </c>
      <c r="H44" s="141"/>
      <c r="I44" s="147" t="s">
        <v>70</v>
      </c>
      <c r="J44" s="147" t="s">
        <v>71</v>
      </c>
      <c r="K44" s="148" t="s">
        <v>80</v>
      </c>
      <c r="L44" s="147" t="s">
        <v>81</v>
      </c>
      <c r="M44" s="153"/>
      <c r="N44" s="24">
        <f>IF(ISNUMBER(SEARCH("ANALOG",Table242[[#This Row],[Type]]))=TRUE,1,"")</f>
        <v>1</v>
      </c>
      <c r="O44" s="24" t="str">
        <f>IF(ISNUMBER(SEARCH("BINARY",Table242[[#This Row],[Type]]))=TRUE,1,"")</f>
        <v/>
      </c>
      <c r="P44" s="24" t="str">
        <f>IF(Table242[[#This Row],[Type]]="","",LEFT(Table242[[#This Row],[Type]],1)&amp;LEFT($F$2,1))</f>
        <v>AO</v>
      </c>
      <c r="Q44" s="24"/>
      <c r="R44" s="24"/>
      <c r="S44" s="24" t="str">
        <f>IF(Table242[[#This Row],[A Counter]]=1,"AO"&amp;$F$3+SUM($N$12:N47),IF(Table242[[#This Row],[B Counter]]=1,"BO"&amp;$F$3+SUM($O$12:O47),""))</f>
        <v>AO816</v>
      </c>
      <c r="T44" s="1"/>
      <c r="AB44">
        <v>506</v>
      </c>
    </row>
    <row r="45" spans="1:28" x14ac:dyDescent="0.25">
      <c r="A45">
        <f t="shared" si="1"/>
        <v>31</v>
      </c>
      <c r="B45" s="91">
        <f>IFERROR(RIGHT(Table242[[#This Row],[Controller Output '#]],3)*1,"")</f>
        <v>601</v>
      </c>
      <c r="C45" s="91" t="s">
        <v>1097</v>
      </c>
      <c r="D45" s="1"/>
      <c r="E45" s="126" t="s">
        <v>538</v>
      </c>
      <c r="F45" s="1" t="s">
        <v>539</v>
      </c>
      <c r="G45" s="1" t="s">
        <v>112</v>
      </c>
      <c r="H45" s="8"/>
      <c r="I45" s="23" t="s">
        <v>103</v>
      </c>
      <c r="J45" s="23" t="s">
        <v>71</v>
      </c>
      <c r="K45" s="103" t="s">
        <v>112</v>
      </c>
      <c r="L45" s="23" t="s">
        <v>112</v>
      </c>
      <c r="M45" s="1"/>
      <c r="N45" s="1" t="str">
        <f>IF(ISNUMBER(SEARCH("ANALOG",Table242[[#This Row],[Type]]))=TRUE,1,"")</f>
        <v/>
      </c>
      <c r="O45" s="1">
        <f>IF(ISNUMBER(SEARCH("BINARY",Table242[[#This Row],[Type]]))=TRUE,1,"")</f>
        <v>1</v>
      </c>
      <c r="P45" t="str">
        <f>IF(Table242[[#This Row],[Type]]="","",LEFT(Table242[[#This Row],[Type]],1)&amp;LEFT($F$2,1))</f>
        <v>BO</v>
      </c>
      <c r="Q45" s="1"/>
      <c r="R45" s="1"/>
      <c r="S45" t="str">
        <f>IF(Table242[[#This Row],[A Counter]]=1,"AO"&amp;$F$3+SUM($N$12:N46),IF(Table242[[#This Row],[B Counter]]=1,"BO"&amp;$F$3+SUM($O$12:O46),""))</f>
        <v>BO814</v>
      </c>
      <c r="T45" s="1"/>
      <c r="AB45">
        <v>601</v>
      </c>
    </row>
    <row r="46" spans="1:28" x14ac:dyDescent="0.25">
      <c r="A46">
        <f t="shared" si="1"/>
        <v>32</v>
      </c>
      <c r="B46" s="91">
        <f>IFERROR(RIGHT(Table242[[#This Row],[Controller Output '#]],3)*1,"")</f>
        <v>602</v>
      </c>
      <c r="C46" s="91" t="s">
        <v>1130</v>
      </c>
      <c r="D46" s="11"/>
      <c r="E46" s="126" t="s">
        <v>542</v>
      </c>
      <c r="F46" s="1" t="s">
        <v>543</v>
      </c>
      <c r="G46" s="1" t="s">
        <v>133</v>
      </c>
      <c r="H46" s="8"/>
      <c r="I46" s="23" t="s">
        <v>70</v>
      </c>
      <c r="J46" s="23" t="s">
        <v>71</v>
      </c>
      <c r="K46" s="103" t="s">
        <v>80</v>
      </c>
      <c r="L46" s="23" t="s">
        <v>81</v>
      </c>
      <c r="M46" s="1"/>
      <c r="N46" s="1">
        <f>IF(ISNUMBER(SEARCH("ANALOG",Table242[[#This Row],[Type]]))=TRUE,1,"")</f>
        <v>1</v>
      </c>
      <c r="O46" s="1" t="str">
        <f>IF(ISNUMBER(SEARCH("BINARY",Table242[[#This Row],[Type]]))=TRUE,1,"")</f>
        <v/>
      </c>
      <c r="P46" t="str">
        <f>IF(Table242[[#This Row],[Type]]="","",LEFT(Table242[[#This Row],[Type]],1)&amp;LEFT($F$2,1))</f>
        <v>AO</v>
      </c>
      <c r="Q46" s="1"/>
      <c r="R46" s="1"/>
      <c r="S46" t="str">
        <f>IF(Table242[[#This Row],[A Counter]]=1,"AO"&amp;$F$3+SUM($N$12:N46),IF(Table242[[#This Row],[B Counter]]=1,"BO"&amp;$F$3+SUM($O$12:O46),""))</f>
        <v>AO816</v>
      </c>
      <c r="T46" s="1"/>
      <c r="AB46">
        <v>602</v>
      </c>
    </row>
    <row r="47" spans="1:28" x14ac:dyDescent="0.25">
      <c r="A47">
        <f t="shared" si="1"/>
        <v>33</v>
      </c>
      <c r="B47" s="91">
        <f>IFERROR(RIGHT(Table242[[#This Row],[Controller Output '#]],3)*1,"")</f>
        <v>603</v>
      </c>
      <c r="C47" s="91" t="s">
        <v>1085</v>
      </c>
      <c r="D47" s="1"/>
      <c r="E47" s="126" t="s">
        <v>546</v>
      </c>
      <c r="F47" s="1" t="s">
        <v>547</v>
      </c>
      <c r="G47" s="1" t="s">
        <v>112</v>
      </c>
      <c r="H47" s="8"/>
      <c r="I47" s="23" t="s">
        <v>103</v>
      </c>
      <c r="J47" s="23" t="s">
        <v>71</v>
      </c>
      <c r="K47" s="103" t="s">
        <v>112</v>
      </c>
      <c r="L47" s="23" t="s">
        <v>112</v>
      </c>
      <c r="M47" s="1"/>
      <c r="N47" s="1" t="str">
        <f>IF(ISNUMBER(SEARCH("ANALOG",Table242[[#This Row],[Type]]))=TRUE,1,"")</f>
        <v/>
      </c>
      <c r="O47" s="1">
        <f>IF(ISNUMBER(SEARCH("BINARY",Table242[[#This Row],[Type]]))=TRUE,1,"")</f>
        <v>1</v>
      </c>
      <c r="P47" t="str">
        <f>IF(Table242[[#This Row],[Type]]="","",LEFT(Table242[[#This Row],[Type]],1)&amp;LEFT($F$2,1))</f>
        <v>BO</v>
      </c>
      <c r="Q47" s="1"/>
      <c r="R47" s="1"/>
      <c r="S47" t="str">
        <f>IF(Table242[[#This Row],[A Counter]]=1,"AO"&amp;$F$3+SUM($N$12:N52),IF(Table242[[#This Row],[B Counter]]=1,"BO"&amp;$F$3+SUM($O$12:O52),""))</f>
        <v>BO819</v>
      </c>
      <c r="T47" s="1"/>
      <c r="AB47">
        <v>603</v>
      </c>
    </row>
    <row r="48" spans="1:28" x14ac:dyDescent="0.25">
      <c r="A48">
        <f t="shared" si="1"/>
        <v>34</v>
      </c>
      <c r="B48" s="91">
        <f>IFERROR(RIGHT(Table242[[#This Row],[Controller Output '#]],3)*1,"")</f>
        <v>604</v>
      </c>
      <c r="C48" s="91" t="s">
        <v>1098</v>
      </c>
      <c r="D48" s="1"/>
      <c r="E48" s="126" t="s">
        <v>548</v>
      </c>
      <c r="F48" s="1" t="s">
        <v>549</v>
      </c>
      <c r="G48" s="1" t="s">
        <v>112</v>
      </c>
      <c r="H48" s="8"/>
      <c r="I48" s="23" t="s">
        <v>103</v>
      </c>
      <c r="J48" s="23" t="s">
        <v>71</v>
      </c>
      <c r="K48" s="103" t="s">
        <v>112</v>
      </c>
      <c r="L48" s="23" t="s">
        <v>112</v>
      </c>
      <c r="M48" s="1"/>
      <c r="N48" s="1" t="str">
        <f>IF(ISNUMBER(SEARCH("ANALOG",Table242[[#This Row],[Type]]))=TRUE,1,"")</f>
        <v/>
      </c>
      <c r="O48" s="1">
        <f>IF(ISNUMBER(SEARCH("BINARY",Table242[[#This Row],[Type]]))=TRUE,1,"")</f>
        <v>1</v>
      </c>
      <c r="P48" t="str">
        <f>IF(Table242[[#This Row],[Type]]="","",LEFT(Table242[[#This Row],[Type]],1)&amp;LEFT($F$2,1))</f>
        <v>BO</v>
      </c>
      <c r="Q48" s="1"/>
      <c r="R48" s="1"/>
      <c r="S48" t="str">
        <f>IF(Table242[[#This Row],[A Counter]]=1,"AO"&amp;$F$3+SUM($N$12:N57),IF(Table242[[#This Row],[B Counter]]=1,"BO"&amp;$F$3+SUM($O$12:O57),""))</f>
        <v>BO821</v>
      </c>
      <c r="T48" s="11"/>
      <c r="U48" s="10"/>
      <c r="W48">
        <v>1</v>
      </c>
      <c r="X48">
        <v>1</v>
      </c>
      <c r="AB48">
        <v>604</v>
      </c>
    </row>
    <row r="49" spans="1:28" x14ac:dyDescent="0.25">
      <c r="A49">
        <f t="shared" si="1"/>
        <v>35</v>
      </c>
      <c r="B49" s="91">
        <f>IFERROR(RIGHT(Table242[[#This Row],[Controller Output '#]],3)*1,"")</f>
        <v>605</v>
      </c>
      <c r="C49" s="91" t="s">
        <v>1099</v>
      </c>
      <c r="D49" s="1"/>
      <c r="E49" s="126" t="s">
        <v>1117</v>
      </c>
      <c r="F49" s="1" t="s">
        <v>1118</v>
      </c>
      <c r="G49" s="1" t="s">
        <v>112</v>
      </c>
      <c r="H49" s="21"/>
      <c r="I49" s="23" t="s">
        <v>103</v>
      </c>
      <c r="J49" s="23" t="s">
        <v>71</v>
      </c>
      <c r="K49" s="103" t="s">
        <v>112</v>
      </c>
      <c r="L49" s="23" t="s">
        <v>112</v>
      </c>
      <c r="M49" s="1"/>
      <c r="N49" s="1" t="str">
        <f>IF(ISNUMBER(SEARCH("ANALOG",Table242[[#This Row],[Type]]))=TRUE,1,"")</f>
        <v/>
      </c>
      <c r="O49" s="1">
        <f>IF(ISNUMBER(SEARCH("BINARY",Table242[[#This Row],[Type]]))=TRUE,1,"")</f>
        <v>1</v>
      </c>
      <c r="P49" t="str">
        <f>IF(Table242[[#This Row],[Type]]="","",LEFT(Table242[[#This Row],[Type]],1)&amp;LEFT($F$2,1))</f>
        <v>BO</v>
      </c>
      <c r="Q49" s="1"/>
      <c r="R49" s="1"/>
      <c r="S49" t="str">
        <f>IF(Table242[[#This Row],[A Counter]]=1,"AO"&amp;$F$3+SUM($N$12:N59),IF(Table242[[#This Row],[B Counter]]=1,"BO"&amp;$F$3+SUM($O$12:O59),""))</f>
        <v>BO822</v>
      </c>
      <c r="T49" s="1"/>
      <c r="W49">
        <v>1</v>
      </c>
      <c r="AB49">
        <v>605</v>
      </c>
    </row>
    <row r="50" spans="1:28" x14ac:dyDescent="0.25">
      <c r="A50">
        <f t="shared" si="1"/>
        <v>36</v>
      </c>
      <c r="B50" s="91">
        <f>IFERROR(RIGHT(Table242[[#This Row],[Controller Output '#]],3)*1,"")</f>
        <v>606</v>
      </c>
      <c r="C50" s="91" t="s">
        <v>1086</v>
      </c>
      <c r="D50" s="1"/>
      <c r="E50" s="129" t="s">
        <v>552</v>
      </c>
      <c r="F50" s="23" t="s">
        <v>553</v>
      </c>
      <c r="G50" s="23" t="s">
        <v>79</v>
      </c>
      <c r="H50" s="21"/>
      <c r="I50" s="23" t="s">
        <v>70</v>
      </c>
      <c r="J50" s="23" t="s">
        <v>71</v>
      </c>
      <c r="K50" s="103" t="s">
        <v>80</v>
      </c>
      <c r="L50" s="23" t="s">
        <v>81</v>
      </c>
      <c r="M50" s="11"/>
      <c r="N50" s="1">
        <f>IF(ISNUMBER(SEARCH("ANALOG",Table242[[#This Row],[Type]]))=TRUE,1,"")</f>
        <v>1</v>
      </c>
      <c r="O50" s="1" t="str">
        <f>IF(ISNUMBER(SEARCH("BINARY",Table242[[#This Row],[Type]]))=TRUE,1,"")</f>
        <v/>
      </c>
      <c r="P50" t="str">
        <f>IF(Table242[[#This Row],[Type]]="","",LEFT(Table242[[#This Row],[Type]],1)&amp;LEFT($F$2,1))</f>
        <v>AO</v>
      </c>
      <c r="Q50" s="1"/>
      <c r="R50" s="1"/>
      <c r="S50" t="str">
        <f>IF(Table242[[#This Row],[A Counter]]=1,"AO"&amp;$F$3+SUM($N$12:N57),IF(Table242[[#This Row],[B Counter]]=1,"BO"&amp;$F$3+SUM($O$12:O57),""))</f>
        <v>AO817</v>
      </c>
      <c r="T50" s="1"/>
      <c r="W50">
        <v>1</v>
      </c>
      <c r="X50">
        <v>1</v>
      </c>
      <c r="AB50">
        <v>606</v>
      </c>
    </row>
    <row r="51" spans="1:28" x14ac:dyDescent="0.25">
      <c r="A51">
        <f t="shared" si="1"/>
        <v>37</v>
      </c>
      <c r="B51" s="91">
        <f>IFERROR(RIGHT(Table242[[#This Row],[Controller Output '#]],3)*1,"")</f>
        <v>701</v>
      </c>
      <c r="C51" s="91" t="s">
        <v>1087</v>
      </c>
      <c r="D51" s="1"/>
      <c r="E51" s="125" t="s">
        <v>544</v>
      </c>
      <c r="F51" s="1" t="s">
        <v>545</v>
      </c>
      <c r="G51" s="1" t="s">
        <v>112</v>
      </c>
      <c r="H51" s="21"/>
      <c r="I51" s="23" t="s">
        <v>103</v>
      </c>
      <c r="J51" s="23" t="s">
        <v>71</v>
      </c>
      <c r="K51" s="103" t="s">
        <v>112</v>
      </c>
      <c r="L51" s="23" t="s">
        <v>112</v>
      </c>
      <c r="M51" s="11"/>
      <c r="N51" s="1" t="str">
        <f>IF(ISNUMBER(SEARCH("ANALOG",Table242[[#This Row],[Type]]))=TRUE,1,"")</f>
        <v/>
      </c>
      <c r="O51" s="1">
        <f>IF(ISNUMBER(SEARCH("BINARY",Table242[[#This Row],[Type]]))=TRUE,1,"")</f>
        <v>1</v>
      </c>
      <c r="P51" t="str">
        <f>IF(Table242[[#This Row],[Type]]="","",LEFT(Table242[[#This Row],[Type]],1)&amp;LEFT($F$2,1))</f>
        <v>BO</v>
      </c>
      <c r="Q51" s="1"/>
      <c r="R51" s="1"/>
      <c r="S51" t="str">
        <f>IF(Table242[[#This Row],[A Counter]]=1,"AO"&amp;$F$3+SUM($N$12:N63),IF(Table242[[#This Row],[B Counter]]=1,"BO"&amp;$F$3+SUM($O$12:O63),""))</f>
        <v>BO824</v>
      </c>
      <c r="T51" s="1"/>
      <c r="W51">
        <v>1</v>
      </c>
      <c r="AB51">
        <v>701</v>
      </c>
    </row>
    <row r="52" spans="1:28" x14ac:dyDescent="0.25">
      <c r="A52">
        <f t="shared" si="1"/>
        <v>38</v>
      </c>
      <c r="B52" s="91">
        <f>IFERROR(RIGHT(Table242[[#This Row],[Controller Output '#]],3)*1,"")</f>
        <v>702</v>
      </c>
      <c r="C52" s="91" t="s">
        <v>1088</v>
      </c>
      <c r="D52" s="1"/>
      <c r="E52" s="125" t="s">
        <v>550</v>
      </c>
      <c r="F52" s="1" t="s">
        <v>551</v>
      </c>
      <c r="G52" s="1" t="s">
        <v>112</v>
      </c>
      <c r="H52" s="21"/>
      <c r="I52" s="23" t="s">
        <v>103</v>
      </c>
      <c r="J52" s="23" t="s">
        <v>71</v>
      </c>
      <c r="K52" s="103" t="s">
        <v>112</v>
      </c>
      <c r="L52" s="23" t="s">
        <v>112</v>
      </c>
      <c r="M52" s="11"/>
      <c r="N52" s="1" t="str">
        <f>IF(ISNUMBER(SEARCH("ANALOG",Table242[[#This Row],[Type]]))=TRUE,1,"")</f>
        <v/>
      </c>
      <c r="O52" s="1">
        <f>IF(ISNUMBER(SEARCH("BINARY",Table242[[#This Row],[Type]]))=TRUE,1,"")</f>
        <v>1</v>
      </c>
      <c r="P52" t="str">
        <f>IF(Table242[[#This Row],[Type]]="","",LEFT(Table242[[#This Row],[Type]],1)&amp;LEFT($F$2,1))</f>
        <v>BO</v>
      </c>
      <c r="Q52" s="1"/>
      <c r="R52" s="1"/>
      <c r="S52" t="str">
        <f>IF(Table242[[#This Row],[A Counter]]=1,"AO"&amp;$F$3+SUM($N$12:N57),IF(Table242[[#This Row],[B Counter]]=1,"BO"&amp;$F$3+SUM($O$12:O57),""))</f>
        <v>BO821</v>
      </c>
      <c r="T52" s="1"/>
      <c r="W52">
        <v>1</v>
      </c>
      <c r="X52">
        <v>1</v>
      </c>
      <c r="AB52">
        <v>702</v>
      </c>
    </row>
    <row r="53" spans="1:28" x14ac:dyDescent="0.25">
      <c r="A53">
        <f t="shared" si="1"/>
        <v>39</v>
      </c>
      <c r="B53" s="91">
        <f>IFERROR(RIGHT(Table242[[#This Row],[Controller Output '#]],3)*1,"")</f>
        <v>703</v>
      </c>
      <c r="C53" s="91" t="s">
        <v>1089</v>
      </c>
      <c r="D53" s="1"/>
      <c r="E53" s="125" t="s">
        <v>554</v>
      </c>
      <c r="F53" s="1" t="s">
        <v>555</v>
      </c>
      <c r="G53" s="1" t="s">
        <v>112</v>
      </c>
      <c r="H53" s="8"/>
      <c r="I53" s="23" t="s">
        <v>103</v>
      </c>
      <c r="J53" s="23" t="s">
        <v>71</v>
      </c>
      <c r="K53" s="23" t="s">
        <v>112</v>
      </c>
      <c r="L53" s="23" t="s">
        <v>112</v>
      </c>
      <c r="M53" s="1"/>
      <c r="N53" s="1" t="str">
        <f>IF(ISNUMBER(SEARCH("ANALOG",Table242[[#This Row],[Type]]))=TRUE,1,"")</f>
        <v/>
      </c>
      <c r="O53" s="1">
        <f>IF(ISNUMBER(SEARCH("BINARY",Table242[[#This Row],[Type]]))=TRUE,1,"")</f>
        <v>1</v>
      </c>
      <c r="P53" t="str">
        <f>IF(Table242[[#This Row],[Type]]="","",LEFT(Table242[[#This Row],[Type]],1)&amp;LEFT($F$2,1))</f>
        <v>BO</v>
      </c>
      <c r="Q53" s="1"/>
      <c r="R53" s="1"/>
      <c r="S53" t="str">
        <f>IF(Table242[[#This Row],[A Counter]]=1,"AO"&amp;$F$3+SUM($N$12:N63),IF(Table242[[#This Row],[B Counter]]=1,"BO"&amp;$F$3+SUM($O$12:O63),""))</f>
        <v>BO824</v>
      </c>
      <c r="T53" s="1"/>
      <c r="W53">
        <v>1</v>
      </c>
      <c r="AB53">
        <v>703</v>
      </c>
    </row>
    <row r="54" spans="1:28" x14ac:dyDescent="0.25">
      <c r="A54">
        <f t="shared" si="1"/>
        <v>40</v>
      </c>
      <c r="B54" s="91">
        <f>IFERROR(RIGHT(Table242[[#This Row],[Controller Output '#]],3)*1,"")</f>
        <v>704</v>
      </c>
      <c r="C54" s="91">
        <v>704</v>
      </c>
      <c r="D54" s="1"/>
      <c r="E54" s="125"/>
      <c r="F54" s="1"/>
      <c r="G54" s="1"/>
      <c r="H54" s="8"/>
      <c r="I54" s="1"/>
      <c r="J54" s="1"/>
      <c r="K54" s="1"/>
      <c r="L54" s="1"/>
      <c r="M54" s="1"/>
      <c r="N54" s="1"/>
      <c r="O54" s="1"/>
      <c r="Q54" s="1"/>
      <c r="R54" s="1"/>
      <c r="T54" s="1"/>
      <c r="W54">
        <v>1</v>
      </c>
      <c r="X54">
        <v>1</v>
      </c>
      <c r="AB54">
        <v>704</v>
      </c>
    </row>
    <row r="55" spans="1:28" x14ac:dyDescent="0.25">
      <c r="A55">
        <f t="shared" si="1"/>
        <v>41</v>
      </c>
      <c r="B55" s="91">
        <f>IFERROR(RIGHT(Table242[[#This Row],[Controller Output '#]],3)*1,"")</f>
        <v>705</v>
      </c>
      <c r="C55" s="91">
        <v>705</v>
      </c>
      <c r="D55" s="1"/>
      <c r="E55" s="125"/>
      <c r="F55" s="1"/>
      <c r="G55" s="1"/>
      <c r="H55" s="8"/>
      <c r="I55" s="1"/>
      <c r="J55" s="1"/>
      <c r="K55" s="1"/>
      <c r="L55" s="1"/>
      <c r="M55" s="1"/>
      <c r="N55" s="1"/>
      <c r="O55" s="1"/>
      <c r="Q55" s="1"/>
      <c r="R55" s="1"/>
      <c r="T55" s="1"/>
      <c r="W55">
        <v>1</v>
      </c>
      <c r="AB55">
        <v>705</v>
      </c>
    </row>
    <row r="56" spans="1:28" x14ac:dyDescent="0.25">
      <c r="A56">
        <f t="shared" si="1"/>
        <v>42</v>
      </c>
      <c r="B56" s="91">
        <f>IFERROR(RIGHT(Table242[[#This Row],[Controller Output '#]],3)*1,"")</f>
        <v>706</v>
      </c>
      <c r="C56" s="91">
        <v>706</v>
      </c>
      <c r="D56" s="1"/>
      <c r="E56" s="125"/>
      <c r="F56" s="1"/>
      <c r="G56" s="1"/>
      <c r="H56" s="8"/>
      <c r="I56" s="1"/>
      <c r="J56" s="1"/>
      <c r="K56" s="1"/>
      <c r="L56" s="1"/>
      <c r="M56" s="1"/>
      <c r="N56" s="1"/>
      <c r="O56" s="1"/>
      <c r="Q56" s="1"/>
      <c r="R56" s="1"/>
      <c r="T56" s="11"/>
      <c r="W56">
        <v>1</v>
      </c>
      <c r="X56">
        <v>1</v>
      </c>
      <c r="AB56">
        <v>706</v>
      </c>
    </row>
    <row r="57" spans="1:28" x14ac:dyDescent="0.25">
      <c r="A57">
        <f t="shared" si="1"/>
        <v>43</v>
      </c>
      <c r="B57" s="91">
        <f>IFERROR(RIGHT(Table242[[#This Row],[Controller Output '#]],3)*1,"")</f>
        <v>801</v>
      </c>
      <c r="C57" s="91" t="s">
        <v>1090</v>
      </c>
      <c r="D57" s="1"/>
      <c r="E57" s="126" t="s">
        <v>556</v>
      </c>
      <c r="F57" s="1" t="s">
        <v>557</v>
      </c>
      <c r="G57" s="1" t="s">
        <v>112</v>
      </c>
      <c r="H57" s="8"/>
      <c r="I57" s="23" t="s">
        <v>103</v>
      </c>
      <c r="J57" s="23" t="s">
        <v>71</v>
      </c>
      <c r="K57" s="103"/>
      <c r="L57" s="23" t="s">
        <v>153</v>
      </c>
      <c r="M57" s="1"/>
      <c r="N57" s="1" t="str">
        <f>IF(ISNUMBER(SEARCH("ANALOG",Table242[[#This Row],[Type]]))=TRUE,1,"")</f>
        <v/>
      </c>
      <c r="O57" s="1">
        <f>IF(ISNUMBER(SEARCH("BINARY",Table242[[#This Row],[Type]]))=TRUE,1,"")</f>
        <v>1</v>
      </c>
      <c r="P57" t="str">
        <f>IF(Table242[[#This Row],[Type]]="","",LEFT(Table242[[#This Row],[Type]],1)&amp;LEFT($F$2,1))</f>
        <v>BO</v>
      </c>
      <c r="Q57" s="1"/>
      <c r="R57" s="1"/>
      <c r="S57" t="str">
        <f>IF(Table242[[#This Row],[A Counter]]=1,"AO"&amp;$F$3+SUM($N$12:N63),IF(Table242[[#This Row],[B Counter]]=1,"BO"&amp;$F$3+SUM($O$12:O63),""))</f>
        <v>BO824</v>
      </c>
      <c r="T57" s="11"/>
      <c r="AB57">
        <v>801</v>
      </c>
    </row>
    <row r="58" spans="1:28" x14ac:dyDescent="0.25">
      <c r="A58">
        <f t="shared" si="1"/>
        <v>44</v>
      </c>
      <c r="B58" s="91">
        <f>IFERROR(RIGHT(Table242[[#This Row],[Controller Output '#]],3)*1,"")</f>
        <v>802</v>
      </c>
      <c r="C58" s="91" t="s">
        <v>1100</v>
      </c>
      <c r="D58" s="1"/>
      <c r="E58" s="126" t="s">
        <v>560</v>
      </c>
      <c r="F58" s="1" t="s">
        <v>561</v>
      </c>
      <c r="G58" s="1" t="s">
        <v>133</v>
      </c>
      <c r="H58" s="8"/>
      <c r="I58" s="23" t="s">
        <v>70</v>
      </c>
      <c r="J58" s="23" t="s">
        <v>71</v>
      </c>
      <c r="K58" s="103" t="s">
        <v>80</v>
      </c>
      <c r="L58" s="23" t="s">
        <v>81</v>
      </c>
      <c r="M58" s="1"/>
      <c r="N58" s="1">
        <f>IF(ISNUMBER(SEARCH("ANALOG",Table242[[#This Row],[Type]]))=TRUE,1,"")</f>
        <v>1</v>
      </c>
      <c r="O58" s="1" t="str">
        <f>IF(ISNUMBER(SEARCH("BINARY",Table242[[#This Row],[Type]]))=TRUE,1,"")</f>
        <v/>
      </c>
      <c r="P58" t="str">
        <f>IF(Table242[[#This Row],[Type]]="","",LEFT(Table242[[#This Row],[Type]],1)&amp;LEFT($F$2,1))</f>
        <v>AO</v>
      </c>
      <c r="Q58" s="1"/>
      <c r="R58" s="1"/>
      <c r="S58" t="str">
        <f>IF(Table242[[#This Row],[A Counter]]=1,"AO"&amp;$F$3+SUM($N$12:N71),IF(Table242[[#This Row],[B Counter]]=1,"BO"&amp;$F$3+SUM($O$12:O71),""))</f>
        <v>AO822</v>
      </c>
      <c r="T58" s="1"/>
      <c r="W58">
        <v>1</v>
      </c>
      <c r="X58">
        <v>1</v>
      </c>
      <c r="AB58">
        <v>802</v>
      </c>
    </row>
    <row r="59" spans="1:28" x14ac:dyDescent="0.25">
      <c r="A59">
        <f t="shared" si="1"/>
        <v>45</v>
      </c>
      <c r="B59" s="91">
        <f>IFERROR(RIGHT(Table242[[#This Row],[Controller Output '#]],3)*1,"")</f>
        <v>803</v>
      </c>
      <c r="C59" s="91" t="s">
        <v>1101</v>
      </c>
      <c r="D59" s="1"/>
      <c r="E59" s="126" t="s">
        <v>558</v>
      </c>
      <c r="F59" s="1" t="s">
        <v>559</v>
      </c>
      <c r="G59" s="1" t="s">
        <v>112</v>
      </c>
      <c r="H59" s="21"/>
      <c r="I59" s="23" t="s">
        <v>103</v>
      </c>
      <c r="J59" s="23" t="s">
        <v>71</v>
      </c>
      <c r="K59" s="103"/>
      <c r="L59" s="23" t="s">
        <v>153</v>
      </c>
      <c r="M59" s="1"/>
      <c r="N59" s="1" t="str">
        <f>IF(ISNUMBER(SEARCH("ANALOG",Table242[[#This Row],[Type]]))=TRUE,1,"")</f>
        <v/>
      </c>
      <c r="O59" s="1">
        <f>IF(ISNUMBER(SEARCH("BINARY",Table242[[#This Row],[Type]]))=TRUE,1,"")</f>
        <v>1</v>
      </c>
      <c r="P59" t="str">
        <f>IF(Table242[[#This Row],[Type]]="","",LEFT(Table242[[#This Row],[Type]],1)&amp;LEFT($F$2,1))</f>
        <v>BO</v>
      </c>
      <c r="Q59" s="1"/>
      <c r="R59" s="1"/>
      <c r="S59" t="str">
        <f>IF(Table242[[#This Row],[A Counter]]=1,"AO"&amp;$F$3+SUM($N$12:N74),IF(Table242[[#This Row],[B Counter]]=1,"BO"&amp;$F$3+SUM($O$12:O74),""))</f>
        <v>BO830</v>
      </c>
      <c r="T59" s="1"/>
      <c r="W59">
        <v>1</v>
      </c>
      <c r="X59">
        <v>1</v>
      </c>
      <c r="AB59">
        <v>803</v>
      </c>
    </row>
    <row r="60" spans="1:28" x14ac:dyDescent="0.25">
      <c r="A60">
        <f t="shared" si="1"/>
        <v>46</v>
      </c>
      <c r="B60" s="91">
        <f>IFERROR(RIGHT(Table242[[#This Row],[Controller Output '#]],3)*1,"")</f>
        <v>804</v>
      </c>
      <c r="C60" s="91" t="s">
        <v>1102</v>
      </c>
      <c r="D60" s="1"/>
      <c r="E60" s="126" t="s">
        <v>562</v>
      </c>
      <c r="F60" s="1" t="s">
        <v>563</v>
      </c>
      <c r="G60" s="1" t="s">
        <v>133</v>
      </c>
      <c r="H60" s="21"/>
      <c r="I60" s="23" t="s">
        <v>70</v>
      </c>
      <c r="J60" s="23" t="s">
        <v>71</v>
      </c>
      <c r="K60" s="103" t="s">
        <v>80</v>
      </c>
      <c r="L60" s="23" t="s">
        <v>81</v>
      </c>
      <c r="M60" s="1"/>
      <c r="N60" s="1">
        <f>IF(ISNUMBER(SEARCH("ANALOG",Table242[[#This Row],[Type]]))=TRUE,1,"")</f>
        <v>1</v>
      </c>
      <c r="O60" s="1" t="str">
        <f>IF(ISNUMBER(SEARCH("BINARY",Table242[[#This Row],[Type]]))=TRUE,1,"")</f>
        <v/>
      </c>
      <c r="P60" t="str">
        <f>IF(Table242[[#This Row],[Type]]="","",LEFT(Table242[[#This Row],[Type]],1)&amp;LEFT($F$2,1))</f>
        <v>AO</v>
      </c>
      <c r="Q60" s="1"/>
      <c r="R60" s="1"/>
      <c r="S60" t="str">
        <f>IF(Table242[[#This Row],[A Counter]]=1,"AO"&amp;$F$3+SUM($N$12:N60),IF(Table242[[#This Row],[B Counter]]=1,"BO"&amp;$F$3+SUM($O$12:O60),""))</f>
        <v>AO819</v>
      </c>
      <c r="T60" s="1"/>
      <c r="AB60">
        <v>804</v>
      </c>
    </row>
    <row r="61" spans="1:28" x14ac:dyDescent="0.25">
      <c r="A61">
        <f t="shared" si="1"/>
        <v>47</v>
      </c>
      <c r="B61" s="91">
        <f>IFERROR(RIGHT(Table242[[#This Row],[Controller Output '#]],3)*1,"")</f>
        <v>805</v>
      </c>
      <c r="C61" s="91" t="s">
        <v>1091</v>
      </c>
      <c r="D61" s="1"/>
      <c r="E61" s="126" t="s">
        <v>564</v>
      </c>
      <c r="F61" s="1" t="s">
        <v>565</v>
      </c>
      <c r="G61" s="1" t="s">
        <v>112</v>
      </c>
      <c r="H61" s="21"/>
      <c r="I61" s="23" t="s">
        <v>103</v>
      </c>
      <c r="J61" s="23" t="s">
        <v>71</v>
      </c>
      <c r="K61" s="103"/>
      <c r="L61" s="23" t="s">
        <v>153</v>
      </c>
      <c r="M61" s="11"/>
      <c r="N61" s="1" t="str">
        <f>IF(ISNUMBER(SEARCH("ANALOG",Table242[[#This Row],[Type]]))=TRUE,1,"")</f>
        <v/>
      </c>
      <c r="O61" s="1">
        <f>IF(ISNUMBER(SEARCH("BINARY",Table242[[#This Row],[Type]]))=TRUE,1,"")</f>
        <v>1</v>
      </c>
      <c r="P61" t="str">
        <f>IF(Table242[[#This Row],[Type]]="","",LEFT(Table242[[#This Row],[Type]],1)&amp;LEFT($F$2,1))</f>
        <v>BO</v>
      </c>
      <c r="Q61" s="1"/>
      <c r="R61" s="1"/>
      <c r="S61" t="str">
        <f>IF(Table242[[#This Row],[A Counter]]=1,"AO"&amp;$F$3+SUM($N$12:N65),IF(Table242[[#This Row],[B Counter]]=1,"BO"&amp;$F$3+SUM($O$12:O65),""))</f>
        <v>BO825</v>
      </c>
      <c r="T61" s="1"/>
      <c r="W61">
        <v>1</v>
      </c>
      <c r="AB61">
        <v>805</v>
      </c>
    </row>
    <row r="62" spans="1:28" x14ac:dyDescent="0.25">
      <c r="A62">
        <f t="shared" si="1"/>
        <v>48</v>
      </c>
      <c r="B62" s="91">
        <f>IFERROR(RIGHT(Table242[[#This Row],[Controller Output '#]],3)*1,"")</f>
        <v>806</v>
      </c>
      <c r="C62" s="91" t="s">
        <v>1092</v>
      </c>
      <c r="D62" s="1"/>
      <c r="E62" s="126" t="s">
        <v>568</v>
      </c>
      <c r="F62" s="1" t="s">
        <v>569</v>
      </c>
      <c r="G62" s="1" t="s">
        <v>133</v>
      </c>
      <c r="H62" s="8"/>
      <c r="I62" s="23" t="s">
        <v>70</v>
      </c>
      <c r="J62" s="23" t="s">
        <v>71</v>
      </c>
      <c r="K62" s="103" t="s">
        <v>80</v>
      </c>
      <c r="L62" s="23" t="s">
        <v>81</v>
      </c>
      <c r="M62" s="11"/>
      <c r="N62" s="1">
        <f>IF(ISNUMBER(SEARCH("ANALOG",Table242[[#This Row],[Type]]))=TRUE,1,"")</f>
        <v>1</v>
      </c>
      <c r="O62" s="1" t="str">
        <f>IF(ISNUMBER(SEARCH("BINARY",Table242[[#This Row],[Type]]))=TRUE,1,"")</f>
        <v/>
      </c>
      <c r="P62" t="str">
        <f>IF(Table242[[#This Row],[Type]]="","",LEFT(Table242[[#This Row],[Type]],1)&amp;LEFT($F$2,1))</f>
        <v>AO</v>
      </c>
      <c r="Q62" s="1"/>
      <c r="R62" s="1"/>
      <c r="S62" t="str">
        <f>IF(Table242[[#This Row],[A Counter]]=1,"AO"&amp;$F$3+SUM($N$12:N62),IF(Table242[[#This Row],[B Counter]]=1,"BO"&amp;$F$3+SUM($O$12:O62),""))</f>
        <v>AO820</v>
      </c>
      <c r="T62" s="1"/>
      <c r="Z62">
        <v>505</v>
      </c>
      <c r="AB62">
        <v>806</v>
      </c>
    </row>
    <row r="63" spans="1:28" x14ac:dyDescent="0.25">
      <c r="A63">
        <f t="shared" si="1"/>
        <v>49</v>
      </c>
      <c r="B63" s="91">
        <f>IFERROR(RIGHT(Table242[[#This Row],[Controller Output '#]],3)*1,"")</f>
        <v>901</v>
      </c>
      <c r="C63" s="91" t="s">
        <v>1103</v>
      </c>
      <c r="D63" s="1"/>
      <c r="E63" s="125" t="s">
        <v>566</v>
      </c>
      <c r="F63" s="1" t="s">
        <v>567</v>
      </c>
      <c r="G63" s="1" t="s">
        <v>112</v>
      </c>
      <c r="H63" s="8"/>
      <c r="I63" s="23" t="s">
        <v>103</v>
      </c>
      <c r="J63" s="23" t="s">
        <v>71</v>
      </c>
      <c r="K63" s="103" t="s">
        <v>112</v>
      </c>
      <c r="L63" s="23" t="s">
        <v>112</v>
      </c>
      <c r="M63" s="1"/>
      <c r="N63" s="1" t="str">
        <f>IF(ISNUMBER(SEARCH("ANALOG",Table242[[#This Row],[Type]]))=TRUE,1,"")</f>
        <v/>
      </c>
      <c r="O63" s="1">
        <f>IF(ISNUMBER(SEARCH("BINARY",Table242[[#This Row],[Type]]))=TRUE,1,"")</f>
        <v>1</v>
      </c>
      <c r="P63" t="str">
        <f>IF(Table242[[#This Row],[Type]]="","",LEFT(Table242[[#This Row],[Type]],1)&amp;LEFT($F$2,1))</f>
        <v>BO</v>
      </c>
      <c r="Q63" s="1"/>
      <c r="R63" s="1"/>
      <c r="S63" t="str">
        <f>IF(Table242[[#This Row],[A Counter]]=1,"AO"&amp;$F$3+SUM($N$12:N64),IF(Table242[[#This Row],[B Counter]]=1,"BO"&amp;$F$3+SUM($O$12:O64),""))</f>
        <v>BO824</v>
      </c>
      <c r="T63" s="1"/>
      <c r="Z63">
        <v>506</v>
      </c>
      <c r="AB63">
        <v>901</v>
      </c>
    </row>
    <row r="64" spans="1:28" x14ac:dyDescent="0.25">
      <c r="A64">
        <f t="shared" si="1"/>
        <v>50</v>
      </c>
      <c r="B64" s="91">
        <f>IFERROR(RIGHT(Table242[[#This Row],[Controller Output '#]],3)*1,"")</f>
        <v>902</v>
      </c>
      <c r="C64" s="91" t="s">
        <v>1093</v>
      </c>
      <c r="D64" s="1"/>
      <c r="E64" s="125" t="s">
        <v>570</v>
      </c>
      <c r="F64" s="1" t="s">
        <v>571</v>
      </c>
      <c r="G64" s="1" t="s">
        <v>133</v>
      </c>
      <c r="H64" s="8"/>
      <c r="I64" s="23" t="s">
        <v>70</v>
      </c>
      <c r="J64" s="23" t="s">
        <v>71</v>
      </c>
      <c r="K64" s="103" t="s">
        <v>80</v>
      </c>
      <c r="L64" s="23" t="s">
        <v>81</v>
      </c>
      <c r="M64" s="1"/>
      <c r="N64" s="1">
        <f>IF(ISNUMBER(SEARCH("ANALOG",Table242[[#This Row],[Type]]))=TRUE,1,"")</f>
        <v>1</v>
      </c>
      <c r="O64" s="1" t="str">
        <f>IF(ISNUMBER(SEARCH("BINARY",Table242[[#This Row],[Type]]))=TRUE,1,"")</f>
        <v/>
      </c>
      <c r="P64" t="str">
        <f>IF(Table242[[#This Row],[Type]]="","",LEFT(Table242[[#This Row],[Type]],1)&amp;LEFT($F$2,1))</f>
        <v>AO</v>
      </c>
      <c r="Q64" s="1"/>
      <c r="R64" s="1"/>
      <c r="S64" t="str">
        <f>IF(Table242[[#This Row],[A Counter]]=1,"AO"&amp;$F$3+SUM($N$12:N64),IF(Table242[[#This Row],[B Counter]]=1,"BO"&amp;$F$3+SUM($O$12:O64),""))</f>
        <v>AO821</v>
      </c>
      <c r="T64" s="1"/>
      <c r="W64">
        <v>1</v>
      </c>
      <c r="X64">
        <v>1</v>
      </c>
      <c r="AB64">
        <v>902</v>
      </c>
    </row>
    <row r="65" spans="1:28" x14ac:dyDescent="0.25">
      <c r="A65">
        <f t="shared" si="1"/>
        <v>51</v>
      </c>
      <c r="B65" s="91">
        <f>IFERROR(RIGHT(Table242[[#This Row],[Controller Output '#]],3)*1,"")</f>
        <v>903</v>
      </c>
      <c r="C65" s="91" t="s">
        <v>1094</v>
      </c>
      <c r="D65" s="1"/>
      <c r="E65" s="125" t="s">
        <v>574</v>
      </c>
      <c r="F65" s="1" t="s">
        <v>575</v>
      </c>
      <c r="G65" s="1" t="s">
        <v>112</v>
      </c>
      <c r="H65" s="8"/>
      <c r="I65" s="23" t="s">
        <v>103</v>
      </c>
      <c r="J65" s="23" t="s">
        <v>71</v>
      </c>
      <c r="K65" s="103" t="s">
        <v>112</v>
      </c>
      <c r="L65" s="23" t="s">
        <v>112</v>
      </c>
      <c r="M65" s="1"/>
      <c r="N65" s="1" t="str">
        <f>IF(ISNUMBER(SEARCH("ANALOG",Table242[[#This Row],[Type]]))=TRUE,1,"")</f>
        <v/>
      </c>
      <c r="O65" s="1">
        <f>IF(ISNUMBER(SEARCH("BINARY",Table242[[#This Row],[Type]]))=TRUE,1,"")</f>
        <v>1</v>
      </c>
      <c r="P65" t="str">
        <f>IF(Table242[[#This Row],[Type]]="","",LEFT(Table242[[#This Row],[Type]],1)&amp;LEFT($F$2,1))</f>
        <v>BO</v>
      </c>
      <c r="Q65" s="1"/>
      <c r="R65" s="1"/>
      <c r="S65" t="str">
        <f>IF(Table242[[#This Row],[A Counter]]=1,"AO"&amp;$F$3+SUM($N$12:N71),IF(Table242[[#This Row],[B Counter]]=1,"BO"&amp;$F$3+SUM($O$12:O71),""))</f>
        <v>BO830</v>
      </c>
      <c r="T65" s="1"/>
      <c r="AB65">
        <v>903</v>
      </c>
    </row>
    <row r="66" spans="1:28" x14ac:dyDescent="0.25">
      <c r="A66">
        <f t="shared" si="1"/>
        <v>52</v>
      </c>
      <c r="B66" s="91">
        <f>IFERROR(RIGHT(Table242[[#This Row],[Controller Output '#]],3)*1,"")</f>
        <v>904</v>
      </c>
      <c r="C66" s="91" t="s">
        <v>1095</v>
      </c>
      <c r="D66" s="1"/>
      <c r="E66" s="125" t="s">
        <v>576</v>
      </c>
      <c r="F66" s="1" t="s">
        <v>577</v>
      </c>
      <c r="G66" s="1" t="s">
        <v>112</v>
      </c>
      <c r="H66" s="8"/>
      <c r="I66" s="23" t="s">
        <v>103</v>
      </c>
      <c r="J66" s="23" t="s">
        <v>71</v>
      </c>
      <c r="K66" s="103" t="s">
        <v>112</v>
      </c>
      <c r="L66" s="23" t="s">
        <v>112</v>
      </c>
      <c r="M66" s="1"/>
      <c r="N66" s="1" t="str">
        <f>IF(ISNUMBER(SEARCH("ANALOG",Table242[[#This Row],[Type]]))=TRUE,1,"")</f>
        <v/>
      </c>
      <c r="O66" s="1">
        <f>IF(ISNUMBER(SEARCH("BINARY",Table242[[#This Row],[Type]]))=TRUE,1,"")</f>
        <v>1</v>
      </c>
      <c r="P66" t="str">
        <f>IF(Table242[[#This Row],[Type]]="","",LEFT(Table242[[#This Row],[Type]],1)&amp;LEFT($F$2,1))</f>
        <v>BO</v>
      </c>
      <c r="Q66" s="1"/>
      <c r="R66" s="1"/>
      <c r="S66" t="str">
        <f>IF(Table242[[#This Row],[A Counter]]=1,"AO"&amp;$F$3+SUM($N$12:N66),IF(Table242[[#This Row],[B Counter]]=1,"BO"&amp;$F$3+SUM($O$12:O66),""))</f>
        <v>BO826</v>
      </c>
      <c r="T66" s="1"/>
      <c r="W66">
        <v>1</v>
      </c>
      <c r="X66">
        <v>1</v>
      </c>
      <c r="AB66">
        <v>904</v>
      </c>
    </row>
    <row r="67" spans="1:28" x14ac:dyDescent="0.25">
      <c r="A67">
        <f t="shared" si="1"/>
        <v>53</v>
      </c>
      <c r="B67" s="91">
        <f>IFERROR(RIGHT(Table242[[#This Row],[Controller Output '#]],3)*1,"")</f>
        <v>905</v>
      </c>
      <c r="C67" s="91" t="s">
        <v>1122</v>
      </c>
      <c r="D67" s="1"/>
      <c r="E67" s="125" t="s">
        <v>1116</v>
      </c>
      <c r="F67" s="1" t="s">
        <v>1119</v>
      </c>
      <c r="G67" s="1" t="s">
        <v>112</v>
      </c>
      <c r="H67" s="21"/>
      <c r="I67" s="23" t="s">
        <v>103</v>
      </c>
      <c r="J67" s="23" t="s">
        <v>71</v>
      </c>
      <c r="K67" s="103" t="s">
        <v>112</v>
      </c>
      <c r="L67" s="23" t="s">
        <v>112</v>
      </c>
      <c r="M67" s="1"/>
      <c r="N67" s="1" t="str">
        <f>IF(ISNUMBER(SEARCH("ANALOG",Table242[[#This Row],[Type]]))=TRUE,1,"")</f>
        <v/>
      </c>
      <c r="O67" s="1">
        <f>IF(ISNUMBER(SEARCH("BINARY",Table242[[#This Row],[Type]]))=TRUE,1,"")</f>
        <v>1</v>
      </c>
      <c r="P67" t="str">
        <f>IF(Table242[[#This Row],[Type]]="","",LEFT(Table242[[#This Row],[Type]],1)&amp;LEFT($F$2,1))</f>
        <v>BO</v>
      </c>
      <c r="Q67" s="1"/>
      <c r="R67" s="1"/>
      <c r="S67" t="str">
        <f>IF(Table242[[#This Row],[A Counter]]=1,"AO"&amp;$F$3+SUM($N$12:N70),IF(Table242[[#This Row],[B Counter]]=1,"BO"&amp;$F$3+SUM($O$12:O70),""))</f>
        <v>BO829</v>
      </c>
      <c r="T67" s="1"/>
      <c r="AB67">
        <v>905</v>
      </c>
    </row>
    <row r="68" spans="1:28" x14ac:dyDescent="0.25">
      <c r="A68">
        <f t="shared" si="1"/>
        <v>54</v>
      </c>
      <c r="B68" s="91">
        <f>IFERROR(RIGHT(Table242[[#This Row],[Controller Output '#]],3)*1,"")</f>
        <v>906</v>
      </c>
      <c r="C68" s="91" t="s">
        <v>1123</v>
      </c>
      <c r="D68" s="1"/>
      <c r="E68" s="154" t="s">
        <v>582</v>
      </c>
      <c r="F68" s="23" t="s">
        <v>583</v>
      </c>
      <c r="G68" s="23" t="s">
        <v>79</v>
      </c>
      <c r="H68" s="21"/>
      <c r="I68" s="23" t="s">
        <v>70</v>
      </c>
      <c r="J68" s="23" t="s">
        <v>71</v>
      </c>
      <c r="K68" s="103" t="s">
        <v>80</v>
      </c>
      <c r="L68" s="23" t="s">
        <v>81</v>
      </c>
      <c r="M68" s="1"/>
      <c r="N68" s="1">
        <f>IF(ISNUMBER(SEARCH("ANALOG",Table242[[#This Row],[Type]]))=TRUE,1,"")</f>
        <v>1</v>
      </c>
      <c r="O68" s="1" t="str">
        <f>IF(ISNUMBER(SEARCH("BINARY",Table242[[#This Row],[Type]]))=TRUE,1,"")</f>
        <v/>
      </c>
      <c r="P68" t="str">
        <f>IF(Table242[[#This Row],[Type]]="","",LEFT(Table242[[#This Row],[Type]],1)&amp;LEFT($F$2,1))</f>
        <v>AO</v>
      </c>
      <c r="Q68" s="1"/>
      <c r="R68" s="1"/>
      <c r="S68" t="str">
        <f>IF(Table242[[#This Row],[A Counter]]=1,"AO"&amp;$F$3+SUM($N$12:N70),IF(Table242[[#This Row],[B Counter]]=1,"BO"&amp;$F$3+SUM($O$12:O70),""))</f>
        <v>AO822</v>
      </c>
      <c r="T68" s="1"/>
      <c r="AB68">
        <v>906</v>
      </c>
    </row>
    <row r="69" spans="1:28" x14ac:dyDescent="0.25">
      <c r="A69">
        <f t="shared" si="1"/>
        <v>55</v>
      </c>
      <c r="B69" s="91">
        <f>IFERROR(RIGHT(Table242[[#This Row],[Controller Output '#]],3)*1,"")</f>
        <v>1</v>
      </c>
      <c r="C69" s="91">
        <v>1001</v>
      </c>
      <c r="D69" s="11"/>
      <c r="E69" s="126" t="s">
        <v>572</v>
      </c>
      <c r="F69" s="1" t="s">
        <v>573</v>
      </c>
      <c r="G69" s="1" t="s">
        <v>112</v>
      </c>
      <c r="H69" s="21"/>
      <c r="I69" s="23" t="s">
        <v>103</v>
      </c>
      <c r="J69" s="23" t="s">
        <v>71</v>
      </c>
      <c r="K69" s="103" t="s">
        <v>112</v>
      </c>
      <c r="L69" s="23" t="s">
        <v>112</v>
      </c>
      <c r="M69" s="1"/>
      <c r="N69" s="1" t="str">
        <f>IF(ISNUMBER(SEARCH("ANALOG",Table242[[#This Row],[Type]]))=TRUE,1,"")</f>
        <v/>
      </c>
      <c r="O69" s="1">
        <f>IF(ISNUMBER(SEARCH("BINARY",Table242[[#This Row],[Type]]))=TRUE,1,"")</f>
        <v>1</v>
      </c>
      <c r="P69" t="str">
        <f>IF(Table242[[#This Row],[Type]]="","",LEFT(Table242[[#This Row],[Type]],1)&amp;LEFT($F$2,1))</f>
        <v>BO</v>
      </c>
      <c r="Q69" s="1"/>
      <c r="R69" s="1"/>
      <c r="S69" t="str">
        <f>IF(Table242[[#This Row],[A Counter]]=1,"AO"&amp;$F$3+SUM($N$12:N90),IF(Table242[[#This Row],[B Counter]]=1,"BO"&amp;$F$3+SUM($O$12:O90),""))</f>
        <v>BO830</v>
      </c>
      <c r="T69" s="1"/>
      <c r="AB69">
        <v>1</v>
      </c>
    </row>
    <row r="70" spans="1:28" x14ac:dyDescent="0.25">
      <c r="A70">
        <f t="shared" si="1"/>
        <v>56</v>
      </c>
      <c r="B70" s="91">
        <f>IFERROR(RIGHT(Table242[[#This Row],[Controller Output '#]],3)*1,"")</f>
        <v>2</v>
      </c>
      <c r="C70" s="91">
        <v>1002</v>
      </c>
      <c r="D70" s="1"/>
      <c r="E70" s="126" t="s">
        <v>578</v>
      </c>
      <c r="F70" s="1" t="s">
        <v>579</v>
      </c>
      <c r="G70" s="1" t="s">
        <v>112</v>
      </c>
      <c r="H70" s="21"/>
      <c r="I70" s="23" t="s">
        <v>103</v>
      </c>
      <c r="J70" s="23" t="s">
        <v>71</v>
      </c>
      <c r="K70" s="103" t="s">
        <v>112</v>
      </c>
      <c r="L70" s="23" t="s">
        <v>112</v>
      </c>
      <c r="M70" s="1"/>
      <c r="N70" s="1" t="str">
        <f>IF(ISNUMBER(SEARCH("ANALOG",Table242[[#This Row],[Type]]))=TRUE,1,"")</f>
        <v/>
      </c>
      <c r="O70" s="1">
        <f>IF(ISNUMBER(SEARCH("BINARY",Table242[[#This Row],[Type]]))=TRUE,1,"")</f>
        <v>1</v>
      </c>
      <c r="P70" t="str">
        <f>IF(Table242[[#This Row],[Type]]="","",LEFT(Table242[[#This Row],[Type]],1)&amp;LEFT($F$2,1))</f>
        <v>BO</v>
      </c>
      <c r="Q70" s="1"/>
      <c r="R70" s="1"/>
      <c r="S70" t="str">
        <f>IF(Table242[[#This Row],[A Counter]]=1,"AO"&amp;$F$3+SUM($N$12:N70),IF(Table242[[#This Row],[B Counter]]=1,"BO"&amp;$F$3+SUM($O$12:O70),""))</f>
        <v>BO829</v>
      </c>
      <c r="T70" s="1"/>
      <c r="AB70">
        <v>2</v>
      </c>
    </row>
    <row r="71" spans="1:28" x14ac:dyDescent="0.25">
      <c r="A71">
        <f t="shared" si="1"/>
        <v>57</v>
      </c>
      <c r="B71" s="91">
        <f>IFERROR(RIGHT(Table242[[#This Row],[Controller Output '#]],3)*1,"")</f>
        <v>3</v>
      </c>
      <c r="C71" s="91">
        <v>1003</v>
      </c>
      <c r="D71" s="1"/>
      <c r="E71" s="126" t="s">
        <v>580</v>
      </c>
      <c r="F71" s="1" t="s">
        <v>581</v>
      </c>
      <c r="G71" s="1" t="s">
        <v>112</v>
      </c>
      <c r="H71" s="8"/>
      <c r="I71" s="23" t="s">
        <v>103</v>
      </c>
      <c r="J71" s="23" t="s">
        <v>71</v>
      </c>
      <c r="K71" s="23" t="s">
        <v>112</v>
      </c>
      <c r="L71" s="23" t="s">
        <v>112</v>
      </c>
      <c r="M71" s="1"/>
      <c r="N71" s="1" t="str">
        <f>IF(ISNUMBER(SEARCH("ANALOG",Table242[[#This Row],[Type]]))=TRUE,1,"")</f>
        <v/>
      </c>
      <c r="O71" s="1">
        <f>IF(ISNUMBER(SEARCH("BINARY",Table242[[#This Row],[Type]]))=TRUE,1,"")</f>
        <v>1</v>
      </c>
      <c r="P71" t="str">
        <f>IF(Table242[[#This Row],[Type]]="","",LEFT(Table242[[#This Row],[Type]],1)&amp;LEFT($F$2,1))</f>
        <v>BO</v>
      </c>
      <c r="Q71" s="1"/>
      <c r="R71" s="1"/>
      <c r="S71" t="str">
        <f>IF(Table242[[#This Row],[A Counter]]=1,"AO"&amp;$F$3+SUM($N$12:N74),IF(Table242[[#This Row],[B Counter]]=1,"BO"&amp;$F$3+SUM($O$12:O74),""))</f>
        <v>BO830</v>
      </c>
      <c r="T71" s="1"/>
      <c r="W71">
        <v>1</v>
      </c>
      <c r="X71">
        <v>1</v>
      </c>
      <c r="AB71">
        <v>3</v>
      </c>
    </row>
    <row r="72" spans="1:28" x14ac:dyDescent="0.25">
      <c r="A72">
        <f t="shared" si="1"/>
        <v>58</v>
      </c>
      <c r="B72" s="91">
        <f>IFERROR(RIGHT(Table242[[#This Row],[Controller Output '#]],3)*1,"")</f>
        <v>4</v>
      </c>
      <c r="C72" s="91">
        <v>1004</v>
      </c>
      <c r="D72" s="1"/>
      <c r="E72" s="126"/>
      <c r="F72" s="1"/>
      <c r="G72" s="1"/>
      <c r="H72" s="8"/>
      <c r="I72" s="1"/>
      <c r="J72" s="1"/>
      <c r="K72" s="1"/>
      <c r="L72" s="1"/>
      <c r="M72" s="1"/>
      <c r="N72" s="1"/>
      <c r="O72" s="1"/>
      <c r="Q72" s="1"/>
      <c r="R72" s="1"/>
      <c r="T72" s="1"/>
      <c r="W72">
        <v>1</v>
      </c>
      <c r="AB72">
        <v>4</v>
      </c>
    </row>
    <row r="73" spans="1:28" x14ac:dyDescent="0.25">
      <c r="A73">
        <f t="shared" si="1"/>
        <v>59</v>
      </c>
      <c r="B73" s="91">
        <f>IFERROR(RIGHT(Table242[[#This Row],[Controller Output '#]],3)*1,"")</f>
        <v>5</v>
      </c>
      <c r="C73" s="91">
        <v>1005</v>
      </c>
      <c r="D73" s="1"/>
      <c r="E73" s="126"/>
      <c r="F73" s="1"/>
      <c r="G73" s="1"/>
      <c r="H73" s="8"/>
      <c r="I73" s="1"/>
      <c r="J73" s="1"/>
      <c r="K73" s="1"/>
      <c r="L73" s="1"/>
      <c r="M73" s="1"/>
      <c r="N73" s="1"/>
      <c r="O73" s="1"/>
      <c r="Q73" s="1"/>
      <c r="R73" s="1"/>
      <c r="T73" s="1"/>
      <c r="W73">
        <v>1</v>
      </c>
      <c r="X73">
        <v>1</v>
      </c>
      <c r="AB73">
        <v>5</v>
      </c>
    </row>
    <row r="74" spans="1:28" x14ac:dyDescent="0.25">
      <c r="A74">
        <f t="shared" si="1"/>
        <v>60</v>
      </c>
      <c r="B74" s="91">
        <f>IFERROR(RIGHT(Table242[[#This Row],[Controller Output '#]],3)*1,"")</f>
        <v>6</v>
      </c>
      <c r="C74" s="91">
        <v>1006</v>
      </c>
      <c r="D74" s="1"/>
      <c r="E74" s="126"/>
      <c r="F74" s="1"/>
      <c r="G74" s="1"/>
      <c r="H74" s="8"/>
      <c r="I74" s="1"/>
      <c r="J74" s="1"/>
      <c r="K74" s="1"/>
      <c r="L74" s="1"/>
      <c r="M74" s="1"/>
      <c r="N74" s="1"/>
      <c r="O74" s="1"/>
      <c r="Q74" s="1"/>
      <c r="R74" s="1"/>
      <c r="T74" s="1"/>
      <c r="W74">
        <v>1</v>
      </c>
      <c r="AB74">
        <v>6</v>
      </c>
    </row>
    <row r="75" spans="1:28" x14ac:dyDescent="0.25">
      <c r="A75">
        <f t="shared" si="1"/>
        <v>61</v>
      </c>
      <c r="B75" s="91" t="str">
        <f>IFERROR(RIGHT(Table242[[#This Row],[Controller Output '#]],3)*1,"")</f>
        <v/>
      </c>
      <c r="C75" s="91"/>
      <c r="D75" s="1"/>
      <c r="E75" s="1"/>
      <c r="F75" s="1"/>
      <c r="G75" s="1"/>
      <c r="H75" s="8"/>
      <c r="I75" s="1"/>
      <c r="J75" s="1"/>
      <c r="K75" s="1"/>
      <c r="L75" s="1"/>
      <c r="M75" s="1"/>
      <c r="N75" s="1"/>
      <c r="O75" s="1"/>
      <c r="Q75" s="1"/>
      <c r="R75" s="1"/>
      <c r="T75" s="1"/>
      <c r="W75">
        <v>1</v>
      </c>
      <c r="X75">
        <v>1</v>
      </c>
      <c r="AB75" t="str">
        <v/>
      </c>
    </row>
    <row r="76" spans="1:28" x14ac:dyDescent="0.25">
      <c r="A76">
        <f t="shared" si="1"/>
        <v>62</v>
      </c>
      <c r="B76" s="91" t="str">
        <f>IFERROR(RIGHT(Table242[[#This Row],[Controller Output '#]],3)*1,"")</f>
        <v/>
      </c>
      <c r="C76" s="91"/>
      <c r="D76" s="1"/>
      <c r="E76" s="1"/>
      <c r="F76" s="1"/>
      <c r="G76" s="1"/>
      <c r="H76" s="8"/>
      <c r="I76" s="1"/>
      <c r="J76" s="1"/>
      <c r="K76" s="1"/>
      <c r="L76" s="1"/>
      <c r="M76" s="1"/>
      <c r="N76" s="1"/>
      <c r="O76" s="1"/>
      <c r="Q76" s="1"/>
      <c r="R76" s="1"/>
      <c r="T76" s="1"/>
      <c r="W76">
        <v>1</v>
      </c>
    </row>
    <row r="77" spans="1:28" x14ac:dyDescent="0.25">
      <c r="A77">
        <f t="shared" si="1"/>
        <v>63</v>
      </c>
      <c r="B77" s="91" t="str">
        <f>IFERROR(RIGHT(Table242[[#This Row],[Controller Output '#]],3)*1,"")</f>
        <v/>
      </c>
      <c r="C77" s="91"/>
      <c r="D77" s="1"/>
      <c r="E77" s="1"/>
      <c r="F77" s="1"/>
      <c r="G77" s="1"/>
      <c r="H77" s="8"/>
      <c r="I77" s="1"/>
      <c r="J77" s="1"/>
      <c r="K77" s="1"/>
      <c r="L77" s="1"/>
      <c r="M77" s="1"/>
      <c r="N77" s="1"/>
      <c r="O77" s="1"/>
      <c r="Q77" s="1"/>
      <c r="R77" s="1"/>
      <c r="T77" s="1"/>
      <c r="W77">
        <v>1</v>
      </c>
      <c r="X77">
        <v>1</v>
      </c>
    </row>
    <row r="78" spans="1:28" x14ac:dyDescent="0.25">
      <c r="A78">
        <f t="shared" si="1"/>
        <v>64</v>
      </c>
      <c r="B78" s="91" t="str">
        <f>IFERROR(RIGHT(Table242[[#This Row],[Controller Output '#]],3)*1,"")</f>
        <v/>
      </c>
      <c r="C78" s="91"/>
      <c r="D78" s="1"/>
      <c r="E78" s="1"/>
      <c r="F78" s="1"/>
      <c r="G78" s="1"/>
      <c r="H78" s="8"/>
      <c r="I78" s="1"/>
      <c r="J78" s="1"/>
      <c r="K78" s="1"/>
      <c r="L78" s="1"/>
      <c r="M78" s="1"/>
      <c r="N78" s="1"/>
      <c r="O78" s="1"/>
      <c r="Q78" s="1"/>
      <c r="R78" s="1"/>
      <c r="T78" s="1"/>
      <c r="W78">
        <v>1</v>
      </c>
    </row>
    <row r="79" spans="1:28" x14ac:dyDescent="0.25">
      <c r="A79">
        <f t="shared" si="1"/>
        <v>65</v>
      </c>
      <c r="B79" s="91" t="str">
        <f>IFERROR(RIGHT(Table242[[#This Row],[Controller Output '#]],3)*1,"")</f>
        <v/>
      </c>
      <c r="C79" s="91"/>
      <c r="D79" s="1"/>
      <c r="E79" s="1"/>
      <c r="F79" s="1"/>
      <c r="G79" s="1"/>
      <c r="H79" s="8"/>
      <c r="I79" s="1"/>
      <c r="J79" s="1"/>
      <c r="K79" s="1"/>
      <c r="L79" s="1"/>
      <c r="M79" s="1"/>
      <c r="N79" s="1"/>
      <c r="O79" s="1"/>
      <c r="Q79" s="1"/>
      <c r="R79" s="1"/>
      <c r="T79" s="1"/>
      <c r="W79">
        <v>1</v>
      </c>
      <c r="X79">
        <v>1</v>
      </c>
    </row>
    <row r="80" spans="1:28" x14ac:dyDescent="0.25">
      <c r="A80">
        <f t="shared" si="1"/>
        <v>66</v>
      </c>
      <c r="B80" s="91" t="str">
        <f>IFERROR(RIGHT(Table242[[#This Row],[Controller Output '#]],3)*1,"")</f>
        <v/>
      </c>
      <c r="C80" s="91"/>
      <c r="D80" s="1"/>
      <c r="E80" s="1"/>
      <c r="F80" s="1"/>
      <c r="G80" s="1"/>
      <c r="H80" s="8"/>
      <c r="I80" s="1"/>
      <c r="J80" s="1"/>
      <c r="K80" s="3"/>
      <c r="L80" s="1"/>
      <c r="M80" s="1"/>
      <c r="N80" s="1"/>
      <c r="O80" s="1"/>
      <c r="Q80" s="1"/>
      <c r="R80" s="1"/>
      <c r="T80" s="1"/>
    </row>
    <row r="81" spans="1:24" x14ac:dyDescent="0.25">
      <c r="A81">
        <f t="shared" ref="A81:A144" si="2">A80+1</f>
        <v>67</v>
      </c>
      <c r="B81" s="91" t="str">
        <f>IFERROR(RIGHT(Table242[[#This Row],[Controller Output '#]],3)*1,"")</f>
        <v/>
      </c>
      <c r="C81" s="91"/>
      <c r="D81" s="1"/>
      <c r="E81" s="1"/>
      <c r="F81" s="1"/>
      <c r="G81" s="1"/>
      <c r="H81" s="8"/>
      <c r="I81" s="1"/>
      <c r="J81" s="1"/>
      <c r="K81" s="1"/>
      <c r="L81" s="1"/>
      <c r="M81" s="1"/>
      <c r="N81" s="1"/>
      <c r="O81" s="1"/>
      <c r="Q81" s="1"/>
      <c r="R81" s="1"/>
      <c r="T81" s="1"/>
      <c r="W81">
        <v>1</v>
      </c>
      <c r="X81">
        <v>1</v>
      </c>
    </row>
    <row r="82" spans="1:24" x14ac:dyDescent="0.25">
      <c r="A82">
        <f t="shared" si="2"/>
        <v>68</v>
      </c>
      <c r="B82" s="91" t="str">
        <f>IFERROR(RIGHT(Table242[[#This Row],[Controller Output '#]],3)*1,"")</f>
        <v/>
      </c>
      <c r="C82" s="91"/>
      <c r="D82" s="11"/>
      <c r="E82" s="1"/>
      <c r="F82" s="1"/>
      <c r="G82" s="1"/>
      <c r="H82" s="8"/>
      <c r="I82" s="1"/>
      <c r="J82" s="1"/>
      <c r="K82" s="1"/>
      <c r="L82" s="1"/>
      <c r="M82" s="1"/>
      <c r="N82" s="1"/>
      <c r="O82" s="1"/>
      <c r="Q82" s="1"/>
      <c r="R82" s="1"/>
      <c r="T82" s="1"/>
      <c r="W82">
        <v>1</v>
      </c>
      <c r="X82">
        <v>1</v>
      </c>
    </row>
    <row r="83" spans="1:24" x14ac:dyDescent="0.25">
      <c r="A83">
        <f t="shared" si="2"/>
        <v>69</v>
      </c>
      <c r="B83" s="91" t="str">
        <f>IFERROR(RIGHT(Table242[[#This Row],[Controller Output '#]],3)*1,"")</f>
        <v/>
      </c>
      <c r="C83" s="91"/>
      <c r="D83" s="1"/>
      <c r="E83" s="1"/>
      <c r="F83" s="1"/>
      <c r="G83" s="1"/>
      <c r="H83" s="8"/>
      <c r="I83" s="1"/>
      <c r="J83" s="1"/>
      <c r="K83" s="1"/>
      <c r="L83" s="1"/>
      <c r="M83" s="1"/>
      <c r="N83" s="1"/>
      <c r="O83" s="1"/>
      <c r="Q83" s="1"/>
      <c r="R83" s="1"/>
      <c r="T83" s="1"/>
    </row>
    <row r="84" spans="1:24" x14ac:dyDescent="0.25">
      <c r="A84">
        <f t="shared" si="2"/>
        <v>70</v>
      </c>
      <c r="B84" s="91" t="str">
        <f>IFERROR(RIGHT(Table242[[#This Row],[Controller Output '#]],3)*1,"")</f>
        <v/>
      </c>
      <c r="C84" s="91"/>
      <c r="D84" s="11"/>
      <c r="E84" s="1"/>
      <c r="F84" s="1"/>
      <c r="G84" s="1"/>
      <c r="H84" s="8"/>
      <c r="I84" s="1"/>
      <c r="J84" s="1"/>
      <c r="K84" s="1"/>
      <c r="L84" s="1"/>
      <c r="M84" s="1"/>
      <c r="N84" s="1"/>
      <c r="O84" s="1"/>
      <c r="Q84" s="1"/>
      <c r="R84" s="1"/>
      <c r="T84" s="1"/>
      <c r="W84">
        <v>1</v>
      </c>
      <c r="X84">
        <v>1</v>
      </c>
    </row>
    <row r="85" spans="1:24" x14ac:dyDescent="0.25">
      <c r="A85">
        <f t="shared" si="2"/>
        <v>71</v>
      </c>
      <c r="B85" s="91" t="str">
        <f>IFERROR(RIGHT(Table242[[#This Row],[Controller Output '#]],3)*1,"")</f>
        <v/>
      </c>
      <c r="C85" s="91"/>
      <c r="D85" s="1"/>
      <c r="E85" s="1"/>
      <c r="F85" s="1"/>
      <c r="G85" s="1"/>
      <c r="H85" s="8"/>
      <c r="I85" s="1"/>
      <c r="J85" s="1"/>
      <c r="K85" s="1"/>
      <c r="L85" s="1"/>
      <c r="M85" s="1"/>
      <c r="N85" s="1"/>
      <c r="O85" s="1"/>
      <c r="Q85" s="1"/>
      <c r="R85" s="1"/>
      <c r="T85" s="1"/>
    </row>
    <row r="86" spans="1:24" x14ac:dyDescent="0.25">
      <c r="A86">
        <f t="shared" si="2"/>
        <v>72</v>
      </c>
      <c r="B86" s="91" t="str">
        <f>IFERROR(RIGHT(Table242[[#This Row],[Controller Output '#]],3)*1,"")</f>
        <v/>
      </c>
      <c r="C86" s="91"/>
      <c r="D86" s="1"/>
      <c r="E86" s="1"/>
      <c r="F86" s="1"/>
      <c r="G86" s="1"/>
      <c r="H86" s="8"/>
      <c r="I86" s="1"/>
      <c r="J86" s="1"/>
      <c r="K86" s="1"/>
      <c r="L86" s="1"/>
      <c r="M86" s="1"/>
      <c r="N86" s="1"/>
      <c r="O86" s="1"/>
      <c r="Q86" s="1"/>
      <c r="R86" s="1"/>
      <c r="T86" s="1"/>
    </row>
    <row r="87" spans="1:24" x14ac:dyDescent="0.25">
      <c r="A87">
        <f t="shared" si="2"/>
        <v>73</v>
      </c>
      <c r="B87" s="91" t="str">
        <f>IFERROR(RIGHT(Table242[[#This Row],[Controller Output '#]],3)*1,"")</f>
        <v/>
      </c>
      <c r="C87" s="91"/>
      <c r="D87" s="1"/>
      <c r="E87" s="1"/>
      <c r="F87" s="1"/>
      <c r="G87" s="1"/>
      <c r="H87" s="8"/>
      <c r="I87" s="1"/>
      <c r="J87" s="1"/>
      <c r="K87" s="1"/>
      <c r="L87" s="1"/>
      <c r="M87" s="1"/>
      <c r="N87" s="1"/>
      <c r="O87" s="1"/>
      <c r="Q87" s="1"/>
      <c r="R87" s="1"/>
      <c r="T87" s="1"/>
      <c r="W87">
        <v>1</v>
      </c>
      <c r="X87">
        <v>1</v>
      </c>
    </row>
    <row r="88" spans="1:24" x14ac:dyDescent="0.25">
      <c r="A88">
        <f t="shared" si="2"/>
        <v>74</v>
      </c>
      <c r="B88" s="91" t="str">
        <f>IFERROR(RIGHT(Table242[[#This Row],[Controller Output '#]],3)*1,"")</f>
        <v/>
      </c>
      <c r="C88" s="91"/>
      <c r="D88" s="1"/>
      <c r="E88" s="1"/>
      <c r="F88" s="1"/>
      <c r="G88" s="1"/>
      <c r="H88" s="8"/>
      <c r="I88" s="1"/>
      <c r="J88" s="1"/>
      <c r="K88" s="1"/>
      <c r="L88" s="1"/>
      <c r="M88" s="1"/>
      <c r="N88" s="1"/>
      <c r="O88" s="1"/>
      <c r="Q88" s="1"/>
      <c r="R88" s="1"/>
      <c r="T88" s="11"/>
    </row>
    <row r="89" spans="1:24" x14ac:dyDescent="0.25">
      <c r="A89">
        <f t="shared" si="2"/>
        <v>75</v>
      </c>
      <c r="B89" s="91" t="str">
        <f>IFERROR(RIGHT(Table242[[#This Row],[Controller Output '#]],3)*1,"")</f>
        <v/>
      </c>
      <c r="C89" s="91"/>
      <c r="D89" s="1"/>
      <c r="E89" s="1"/>
      <c r="F89" s="1"/>
      <c r="G89" s="1"/>
      <c r="H89" s="8"/>
      <c r="I89" s="1"/>
      <c r="J89" s="1"/>
      <c r="K89" s="1"/>
      <c r="L89" s="1"/>
      <c r="M89" s="1"/>
      <c r="N89" s="1"/>
      <c r="O89" s="1"/>
      <c r="Q89" s="1"/>
      <c r="R89" s="1"/>
      <c r="T89" s="11"/>
      <c r="W89">
        <v>1</v>
      </c>
      <c r="X89">
        <v>1</v>
      </c>
    </row>
    <row r="90" spans="1:24" x14ac:dyDescent="0.25">
      <c r="A90">
        <f t="shared" si="2"/>
        <v>76</v>
      </c>
      <c r="B90" s="91" t="str">
        <f>IFERROR(RIGHT(Table242[[#This Row],[Controller Output '#]],3)*1,"")</f>
        <v/>
      </c>
      <c r="C90" s="91"/>
      <c r="D90" s="1"/>
      <c r="E90" s="1"/>
      <c r="F90" s="1"/>
      <c r="G90" s="1"/>
      <c r="H90" s="8"/>
      <c r="I90" s="1"/>
      <c r="J90" s="1"/>
      <c r="K90" s="1"/>
      <c r="L90" s="1"/>
      <c r="M90" s="11"/>
      <c r="N90" s="1"/>
      <c r="O90" s="1"/>
      <c r="Q90" s="1"/>
      <c r="R90" s="1"/>
      <c r="T90" s="1"/>
    </row>
    <row r="91" spans="1:24" x14ac:dyDescent="0.25">
      <c r="A91">
        <f t="shared" si="2"/>
        <v>77</v>
      </c>
      <c r="B91" s="91" t="str">
        <f>IFERROR(RIGHT(Table242[[#This Row],[Controller Output '#]],3)*1,"")</f>
        <v/>
      </c>
      <c r="C91" s="91"/>
      <c r="D91" s="1"/>
      <c r="E91" s="1"/>
      <c r="F91" s="1"/>
      <c r="G91" s="1"/>
      <c r="H91" s="8"/>
      <c r="I91" s="1"/>
      <c r="J91" s="1"/>
      <c r="K91" s="1"/>
      <c r="L91" s="1"/>
      <c r="M91" s="1"/>
      <c r="N91" s="1"/>
      <c r="O91" s="1"/>
      <c r="Q91" s="1"/>
      <c r="R91" s="1"/>
      <c r="T91" s="1"/>
    </row>
    <row r="92" spans="1:24" x14ac:dyDescent="0.25">
      <c r="A92">
        <f t="shared" si="2"/>
        <v>78</v>
      </c>
      <c r="B92" s="91" t="str">
        <f>IFERROR(RIGHT(Table242[[#This Row],[Controller Output '#]],3)*1,"")</f>
        <v/>
      </c>
      <c r="C92" s="91"/>
      <c r="D92" s="1"/>
      <c r="E92" s="1"/>
      <c r="F92" s="1"/>
      <c r="G92" s="1"/>
      <c r="H92" s="8"/>
      <c r="I92" s="1"/>
      <c r="J92" s="1"/>
      <c r="K92" s="1"/>
      <c r="L92" s="1"/>
      <c r="M92" s="11"/>
      <c r="N92" s="1"/>
      <c r="O92" s="1"/>
      <c r="Q92" s="1"/>
      <c r="R92" s="1"/>
      <c r="T92" s="1"/>
    </row>
    <row r="93" spans="1:24" x14ac:dyDescent="0.25">
      <c r="A93">
        <f t="shared" si="2"/>
        <v>79</v>
      </c>
      <c r="B93" s="91" t="str">
        <f>IFERROR(RIGHT(Table242[[#This Row],[Controller Output '#]],3)*1,"")</f>
        <v/>
      </c>
      <c r="C93" s="91"/>
      <c r="D93" s="1"/>
      <c r="E93" s="1"/>
      <c r="F93" s="1"/>
      <c r="G93" s="1"/>
      <c r="H93" s="8"/>
      <c r="I93" s="1"/>
      <c r="J93" s="1"/>
      <c r="K93" s="3"/>
      <c r="L93" s="1"/>
      <c r="M93" s="1"/>
      <c r="N93" s="1" t="str">
        <f>IF(ISNUMBER(SEARCH("ANALOG",Table242[[#This Row],[Type]]))=TRUE,1,"")</f>
        <v/>
      </c>
      <c r="O93" s="1" t="str">
        <f>IF(ISNUMBER(SEARCH("BINARY",Table242[[#This Row],[Type]]))=TRUE,1,"")</f>
        <v/>
      </c>
      <c r="P93" t="str">
        <f>IF(Table242[[#This Row],[Type]]="","",LEFT(Table242[[#This Row],[Type]],1)&amp;LEFT($F$2,1))</f>
        <v/>
      </c>
      <c r="Q93" s="1"/>
      <c r="R93" s="1"/>
      <c r="S93" t="str">
        <f>IF(Table242[[#This Row],[A Counter]]=1,"AO"&amp;$F$3+SUM($N$12:N93),IF(Table242[[#This Row],[B Counter]]=1,"BO"&amp;$F$3+SUM($O$12:O93),""))</f>
        <v/>
      </c>
      <c r="T93" s="1"/>
    </row>
    <row r="94" spans="1:24" x14ac:dyDescent="0.25">
      <c r="A94">
        <f t="shared" si="2"/>
        <v>80</v>
      </c>
      <c r="B94" s="91" t="str">
        <f>IFERROR(RIGHT(Table242[[#This Row],[Controller Output '#]],3)*1,"")</f>
        <v/>
      </c>
      <c r="C94" s="91"/>
      <c r="D94" s="1"/>
      <c r="E94" s="11"/>
      <c r="F94" s="11"/>
      <c r="G94" s="11"/>
      <c r="H94" s="21"/>
      <c r="I94" s="11"/>
      <c r="J94" s="11"/>
      <c r="K94" s="22"/>
      <c r="L94" s="1"/>
      <c r="M94" s="1"/>
      <c r="N94" s="1" t="str">
        <f>IF(ISNUMBER(SEARCH("ANALOG",Table242[[#This Row],[Type]]))=TRUE,1,"")</f>
        <v/>
      </c>
      <c r="O94" s="1" t="str">
        <f>IF(ISNUMBER(SEARCH("BINARY",Table242[[#This Row],[Type]]))=TRUE,1,"")</f>
        <v/>
      </c>
      <c r="P94" t="str">
        <f>IF(Table242[[#This Row],[Type]]="","",LEFT(Table242[[#This Row],[Type]],1)&amp;LEFT($F$2,1))</f>
        <v/>
      </c>
      <c r="Q94" s="1"/>
      <c r="R94" s="1"/>
      <c r="S94" t="str">
        <f>IF(Table242[[#This Row],[A Counter]]=1,"AO"&amp;$F$3+SUM($N$12:N94),IF(Table242[[#This Row],[B Counter]]=1,"BO"&amp;$F$3+SUM($O$12:O94),""))</f>
        <v/>
      </c>
      <c r="T94" s="1"/>
    </row>
    <row r="95" spans="1:24" x14ac:dyDescent="0.25">
      <c r="A95">
        <f t="shared" si="2"/>
        <v>81</v>
      </c>
      <c r="B95" s="91" t="str">
        <f>IFERROR(RIGHT(Table242[[#This Row],[Controller Output '#]],3)*1,"")</f>
        <v/>
      </c>
      <c r="C95" s="91"/>
      <c r="D95" s="1"/>
      <c r="E95" s="1"/>
      <c r="F95" s="1"/>
      <c r="G95" s="1"/>
      <c r="H95" s="8"/>
      <c r="I95" s="1"/>
      <c r="J95" s="1"/>
      <c r="K95" s="1"/>
      <c r="L95" s="1"/>
      <c r="M95" s="1"/>
      <c r="N95" s="1" t="str">
        <f>IF(ISNUMBER(SEARCH("ANALOG",Table242[[#This Row],[Type]]))=TRUE,1,"")</f>
        <v/>
      </c>
      <c r="O95" s="1" t="str">
        <f>IF(ISNUMBER(SEARCH("BINARY",Table242[[#This Row],[Type]]))=TRUE,1,"")</f>
        <v/>
      </c>
      <c r="P95" t="str">
        <f>IF(Table242[[#This Row],[Type]]="","",LEFT(Table242[[#This Row],[Type]],1)&amp;LEFT($F$2,1))</f>
        <v/>
      </c>
      <c r="Q95" s="1"/>
      <c r="R95" s="1"/>
      <c r="S95" t="str">
        <f>IF(Table242[[#This Row],[A Counter]]=1,"AO"&amp;$F$3+SUM($N$12:N95),IF(Table242[[#This Row],[B Counter]]=1,"BO"&amp;$F$3+SUM($O$12:O95),""))</f>
        <v/>
      </c>
      <c r="T95" s="1"/>
    </row>
    <row r="96" spans="1:24" x14ac:dyDescent="0.25">
      <c r="A96">
        <f t="shared" si="2"/>
        <v>82</v>
      </c>
      <c r="B96" s="91" t="str">
        <f>IFERROR(RIGHT(Table242[[#This Row],[Controller Output '#]],3)*1,"")</f>
        <v/>
      </c>
      <c r="C96" s="91"/>
      <c r="D96" s="1"/>
      <c r="E96" s="1"/>
      <c r="F96" s="1"/>
      <c r="G96" s="1"/>
      <c r="H96" s="8"/>
      <c r="I96" s="1"/>
      <c r="J96" s="1"/>
      <c r="K96" s="1"/>
      <c r="L96" s="1"/>
      <c r="M96" s="1"/>
      <c r="N96" s="1" t="str">
        <f>IF(ISNUMBER(SEARCH("ANALOG",Table242[[#This Row],[Type]]))=TRUE,1,"")</f>
        <v/>
      </c>
      <c r="O96" s="1" t="str">
        <f>IF(ISNUMBER(SEARCH("BINARY",Table242[[#This Row],[Type]]))=TRUE,1,"")</f>
        <v/>
      </c>
      <c r="P96" t="str">
        <f>IF(Table242[[#This Row],[Type]]="","",LEFT(Table242[[#This Row],[Type]],1)&amp;LEFT($F$2,1))</f>
        <v/>
      </c>
      <c r="Q96" s="1"/>
      <c r="R96" s="1"/>
      <c r="S96" t="str">
        <f>IF(Table242[[#This Row],[A Counter]]=1,"AO"&amp;$F$3+SUM($N$12:N96),IF(Table242[[#This Row],[B Counter]]=1,"BO"&amp;$F$3+SUM($O$12:O96),""))</f>
        <v/>
      </c>
      <c r="T96" s="1"/>
    </row>
    <row r="97" spans="1:20" x14ac:dyDescent="0.25">
      <c r="A97">
        <f t="shared" si="2"/>
        <v>83</v>
      </c>
      <c r="B97" s="91" t="str">
        <f>IFERROR(RIGHT(Table242[[#This Row],[Controller Output '#]],3)*1,"")</f>
        <v/>
      </c>
      <c r="C97" s="91"/>
      <c r="D97" s="1"/>
      <c r="E97" s="1"/>
      <c r="F97" s="1"/>
      <c r="G97" s="1"/>
      <c r="H97" s="8"/>
      <c r="I97" s="1"/>
      <c r="J97" s="1"/>
      <c r="K97" s="1"/>
      <c r="L97" s="1"/>
      <c r="M97" s="1"/>
      <c r="N97" s="1" t="str">
        <f>IF(ISNUMBER(SEARCH("ANALOG",Table242[[#This Row],[Type]]))=TRUE,1,"")</f>
        <v/>
      </c>
      <c r="O97" s="1" t="str">
        <f>IF(ISNUMBER(SEARCH("BINARY",Table242[[#This Row],[Type]]))=TRUE,1,"")</f>
        <v/>
      </c>
      <c r="P97" t="str">
        <f>IF(Table242[[#This Row],[Type]]="","",LEFT(Table242[[#This Row],[Type]],1)&amp;LEFT($F$2,1))</f>
        <v/>
      </c>
      <c r="Q97" s="1"/>
      <c r="R97" s="1"/>
      <c r="S97" t="str">
        <f>IF(Table242[[#This Row],[A Counter]]=1,"AO"&amp;$F$3+SUM($N$12:N97),IF(Table242[[#This Row],[B Counter]]=1,"BO"&amp;$F$3+SUM($O$12:O97),""))</f>
        <v/>
      </c>
      <c r="T97" s="1"/>
    </row>
    <row r="98" spans="1:20" x14ac:dyDescent="0.25">
      <c r="A98">
        <f t="shared" si="2"/>
        <v>84</v>
      </c>
      <c r="B98" s="91" t="str">
        <f>IFERROR(RIGHT(Table242[[#This Row],[Controller Output '#]],3)*1,"")</f>
        <v/>
      </c>
      <c r="C98" s="91"/>
      <c r="D98" s="1"/>
      <c r="E98" s="1"/>
      <c r="F98" s="1"/>
      <c r="G98" s="1"/>
      <c r="H98" s="8"/>
      <c r="I98" s="1"/>
      <c r="J98" s="1"/>
      <c r="K98" s="1"/>
      <c r="L98" s="1"/>
      <c r="M98" s="1"/>
      <c r="N98" s="1" t="str">
        <f>IF(ISNUMBER(SEARCH("ANALOG",Table242[[#This Row],[Type]]))=TRUE,1,"")</f>
        <v/>
      </c>
      <c r="O98" s="1" t="str">
        <f>IF(ISNUMBER(SEARCH("BINARY",Table242[[#This Row],[Type]]))=TRUE,1,"")</f>
        <v/>
      </c>
      <c r="P98" t="str">
        <f>IF(Table242[[#This Row],[Type]]="","",LEFT(Table242[[#This Row],[Type]],1)&amp;LEFT($F$2,1))</f>
        <v/>
      </c>
      <c r="Q98" s="1"/>
      <c r="R98" s="1"/>
      <c r="S98" t="str">
        <f>IF(Table242[[#This Row],[A Counter]]=1,"AO"&amp;$F$3+SUM($N$12:N98),IF(Table242[[#This Row],[B Counter]]=1,"BO"&amp;$F$3+SUM($O$12:O98),""))</f>
        <v/>
      </c>
      <c r="T98" s="1"/>
    </row>
    <row r="99" spans="1:20" x14ac:dyDescent="0.25">
      <c r="A99">
        <f t="shared" si="2"/>
        <v>85</v>
      </c>
      <c r="B99" s="91" t="str">
        <f>IFERROR(RIGHT(Table242[[#This Row],[Controller Output '#]],3)*1,"")</f>
        <v/>
      </c>
      <c r="C99" s="91"/>
      <c r="D99" s="1"/>
      <c r="E99" s="1"/>
      <c r="F99" s="1"/>
      <c r="G99" s="1"/>
      <c r="H99" s="8"/>
      <c r="I99" s="1"/>
      <c r="J99" s="1"/>
      <c r="K99" s="1"/>
      <c r="L99" s="1"/>
      <c r="M99" s="1"/>
      <c r="N99" s="1" t="str">
        <f>IF(ISNUMBER(SEARCH("ANALOG",Table242[[#This Row],[Type]]))=TRUE,1,"")</f>
        <v/>
      </c>
      <c r="O99" s="1" t="str">
        <f>IF(ISNUMBER(SEARCH("BINARY",Table242[[#This Row],[Type]]))=TRUE,1,"")</f>
        <v/>
      </c>
      <c r="P99" t="str">
        <f>IF(Table242[[#This Row],[Type]]="","",LEFT(Table242[[#This Row],[Type]],1)&amp;LEFT($F$2,1))</f>
        <v/>
      </c>
      <c r="Q99" s="1"/>
      <c r="R99" s="1"/>
      <c r="S99" t="str">
        <f>IF(Table242[[#This Row],[A Counter]]=1,"AO"&amp;$F$3+SUM($N$12:N99),IF(Table242[[#This Row],[B Counter]]=1,"BO"&amp;$F$3+SUM($O$12:O99),""))</f>
        <v/>
      </c>
      <c r="T99" s="1"/>
    </row>
    <row r="100" spans="1:20" x14ac:dyDescent="0.25">
      <c r="A100">
        <f t="shared" si="2"/>
        <v>86</v>
      </c>
      <c r="B100" s="91" t="str">
        <f>IFERROR(RIGHT(Table242[[#This Row],[Controller Output '#]],3)*1,"")</f>
        <v/>
      </c>
      <c r="C100" s="91"/>
      <c r="D100" s="1"/>
      <c r="E100" s="1"/>
      <c r="F100" s="1"/>
      <c r="G100" s="1"/>
      <c r="H100" s="8"/>
      <c r="I100" s="1"/>
      <c r="J100" s="1"/>
      <c r="K100" s="1"/>
      <c r="L100" s="1"/>
      <c r="M100" s="1"/>
      <c r="N100" s="1" t="str">
        <f>IF(ISNUMBER(SEARCH("ANALOG",Table242[[#This Row],[Type]]))=TRUE,1,"")</f>
        <v/>
      </c>
      <c r="O100" s="1" t="str">
        <f>IF(ISNUMBER(SEARCH("BINARY",Table242[[#This Row],[Type]]))=TRUE,1,"")</f>
        <v/>
      </c>
      <c r="P100" t="str">
        <f>IF(Table242[[#This Row],[Type]]="","",LEFT(Table242[[#This Row],[Type]],1)&amp;LEFT($F$2,1))</f>
        <v/>
      </c>
      <c r="Q100" s="1"/>
      <c r="R100" s="1"/>
      <c r="S100" t="str">
        <f>IF(Table242[[#This Row],[A Counter]]=1,"AO"&amp;$F$3+SUM($N$12:N100),IF(Table242[[#This Row],[B Counter]]=1,"BO"&amp;$F$3+SUM($O$12:O100),""))</f>
        <v/>
      </c>
      <c r="T100" s="1"/>
    </row>
    <row r="101" spans="1:20" x14ac:dyDescent="0.25">
      <c r="A101">
        <f t="shared" si="2"/>
        <v>87</v>
      </c>
      <c r="B101" s="91" t="str">
        <f>IFERROR(RIGHT(Table242[[#This Row],[Controller Output '#]],3)*1,"")</f>
        <v/>
      </c>
      <c r="C101" s="91"/>
      <c r="D101" s="1"/>
      <c r="E101" s="1"/>
      <c r="F101" s="1"/>
      <c r="G101" s="1"/>
      <c r="H101" s="8"/>
      <c r="I101" s="1"/>
      <c r="J101" s="1"/>
      <c r="K101" s="3"/>
      <c r="L101" s="1"/>
      <c r="M101" s="1"/>
      <c r="N101" s="1" t="str">
        <f>IF(ISNUMBER(SEARCH("ANALOG",Table242[[#This Row],[Type]]))=TRUE,1,"")</f>
        <v/>
      </c>
      <c r="O101" s="1" t="str">
        <f>IF(ISNUMBER(SEARCH("BINARY",Table242[[#This Row],[Type]]))=TRUE,1,"")</f>
        <v/>
      </c>
      <c r="P101" t="str">
        <f>IF(Table242[[#This Row],[Type]]="","",LEFT(Table242[[#This Row],[Type]],1)&amp;LEFT($F$2,1))</f>
        <v/>
      </c>
      <c r="Q101" s="1"/>
      <c r="R101" s="1"/>
      <c r="S101" t="str">
        <f>IF(Table242[[#This Row],[A Counter]]=1,"AO"&amp;$F$3+SUM($N$12:N101),IF(Table242[[#This Row],[B Counter]]=1,"BO"&amp;$F$3+SUM($O$12:O101),""))</f>
        <v/>
      </c>
      <c r="T101" s="1"/>
    </row>
    <row r="102" spans="1:20" x14ac:dyDescent="0.25">
      <c r="A102">
        <f t="shared" si="2"/>
        <v>88</v>
      </c>
      <c r="B102" s="91" t="str">
        <f>IFERROR(RIGHT(Table242[[#This Row],[Controller Output '#]],3)*1,"")</f>
        <v/>
      </c>
      <c r="C102" s="91"/>
      <c r="D102" s="1"/>
      <c r="E102" s="11"/>
      <c r="F102" s="11"/>
      <c r="G102" s="11"/>
      <c r="H102" s="21"/>
      <c r="I102" s="11"/>
      <c r="J102" s="11"/>
      <c r="K102" s="22"/>
      <c r="L102" s="1"/>
      <c r="M102" s="1"/>
      <c r="N102" s="1" t="str">
        <f>IF(ISNUMBER(SEARCH("ANALOG",Table242[[#This Row],[Type]]))=TRUE,1,"")</f>
        <v/>
      </c>
      <c r="O102" s="1" t="str">
        <f>IF(ISNUMBER(SEARCH("BINARY",Table242[[#This Row],[Type]]))=TRUE,1,"")</f>
        <v/>
      </c>
      <c r="P102" t="str">
        <f>IF(Table242[[#This Row],[Type]]="","",LEFT(Table242[[#This Row],[Type]],1)&amp;LEFT($F$2,1))</f>
        <v/>
      </c>
      <c r="Q102" s="1"/>
      <c r="R102" s="1"/>
      <c r="S102" t="str">
        <f>IF(Table242[[#This Row],[A Counter]]=1,"AO"&amp;$F$3+SUM($N$12:N102),IF(Table242[[#This Row],[B Counter]]=1,"BO"&amp;$F$3+SUM($O$12:O102),""))</f>
        <v/>
      </c>
      <c r="T102" s="1"/>
    </row>
    <row r="103" spans="1:20" x14ac:dyDescent="0.25">
      <c r="A103">
        <f t="shared" si="2"/>
        <v>89</v>
      </c>
      <c r="B103" s="91" t="str">
        <f>IFERROR(RIGHT(Table242[[#This Row],[Controller Output '#]],3)*1,"")</f>
        <v/>
      </c>
      <c r="C103" s="91"/>
      <c r="D103" s="1"/>
      <c r="E103" s="11"/>
      <c r="F103" s="11"/>
      <c r="G103" s="11"/>
      <c r="H103" s="21"/>
      <c r="I103" s="11"/>
      <c r="J103" s="11"/>
      <c r="K103" s="11"/>
      <c r="L103" s="11"/>
      <c r="M103" s="11"/>
      <c r="N103" s="1" t="str">
        <f>IF(ISNUMBER(SEARCH("ANALOG",Table242[[#This Row],[Type]]))=TRUE,1,"")</f>
        <v/>
      </c>
      <c r="O103" s="1" t="str">
        <f>IF(ISNUMBER(SEARCH("BINARY",Table242[[#This Row],[Type]]))=TRUE,1,"")</f>
        <v/>
      </c>
      <c r="P103" t="str">
        <f>IF(Table242[[#This Row],[Type]]="","",LEFT(Table242[[#This Row],[Type]],1)&amp;LEFT($F$2,1))</f>
        <v/>
      </c>
      <c r="Q103" s="1"/>
      <c r="R103" s="1"/>
      <c r="S103" t="str">
        <f>IF(Table242[[#This Row],[A Counter]]=1,"AO"&amp;$F$3+SUM($N$12:N103),IF(Table242[[#This Row],[B Counter]]=1,"BO"&amp;$F$3+SUM($O$12:O103),""))</f>
        <v/>
      </c>
      <c r="T103" s="11"/>
    </row>
    <row r="104" spans="1:20" x14ac:dyDescent="0.25">
      <c r="A104">
        <f t="shared" si="2"/>
        <v>90</v>
      </c>
      <c r="B104" s="91" t="str">
        <f>IFERROR(RIGHT(Table242[[#This Row],[Controller Output '#]],3)*1,"")</f>
        <v/>
      </c>
      <c r="C104" s="91"/>
      <c r="D104" s="1"/>
      <c r="E104" s="11"/>
      <c r="F104" s="11"/>
      <c r="G104" s="11"/>
      <c r="H104" s="21"/>
      <c r="I104" s="11"/>
      <c r="J104" s="11"/>
      <c r="K104" s="11"/>
      <c r="L104" s="11"/>
      <c r="M104" s="11"/>
      <c r="N104" s="1" t="str">
        <f>IF(ISNUMBER(SEARCH("ANALOG",Table242[[#This Row],[Type]]))=TRUE,1,"")</f>
        <v/>
      </c>
      <c r="O104" s="1" t="str">
        <f>IF(ISNUMBER(SEARCH("BINARY",Table242[[#This Row],[Type]]))=TRUE,1,"")</f>
        <v/>
      </c>
      <c r="P104" t="str">
        <f>IF(Table242[[#This Row],[Type]]="","",LEFT(Table242[[#This Row],[Type]],1)&amp;LEFT($F$2,1))</f>
        <v/>
      </c>
      <c r="Q104" s="1"/>
      <c r="R104" s="1"/>
      <c r="S104" t="str">
        <f>IF(Table242[[#This Row],[A Counter]]=1,"AO"&amp;$F$3+SUM($N$12:N104),IF(Table242[[#This Row],[B Counter]]=1,"BO"&amp;$F$3+SUM($O$12:O104),""))</f>
        <v/>
      </c>
      <c r="T104" s="11"/>
    </row>
    <row r="105" spans="1:20" x14ac:dyDescent="0.25">
      <c r="A105">
        <f t="shared" si="2"/>
        <v>91</v>
      </c>
      <c r="B105" s="91" t="str">
        <f>IFERROR(RIGHT(Table242[[#This Row],[Controller Output '#]],3)*1,"")</f>
        <v/>
      </c>
      <c r="C105" s="91"/>
      <c r="D105" s="1"/>
      <c r="E105" s="11"/>
      <c r="F105" s="11"/>
      <c r="G105" s="11"/>
      <c r="H105" s="21"/>
      <c r="I105" s="11"/>
      <c r="J105" s="11"/>
      <c r="K105" s="11"/>
      <c r="L105" s="11"/>
      <c r="M105" s="11"/>
      <c r="N105" s="1" t="str">
        <f>IF(ISNUMBER(SEARCH("ANALOG",Table242[[#This Row],[Type]]))=TRUE,1,"")</f>
        <v/>
      </c>
      <c r="O105" s="1" t="str">
        <f>IF(ISNUMBER(SEARCH("BINARY",Table242[[#This Row],[Type]]))=TRUE,1,"")</f>
        <v/>
      </c>
      <c r="P105" t="str">
        <f>IF(Table242[[#This Row],[Type]]="","",LEFT(Table242[[#This Row],[Type]],1)&amp;LEFT($F$2,1))</f>
        <v/>
      </c>
      <c r="Q105" s="1"/>
      <c r="R105" s="1"/>
      <c r="S105" t="str">
        <f>IF(Table242[[#This Row],[A Counter]]=1,"AO"&amp;$F$3+SUM($N$12:N105),IF(Table242[[#This Row],[B Counter]]=1,"BO"&amp;$F$3+SUM($O$12:O105),""))</f>
        <v/>
      </c>
      <c r="T105" s="11"/>
    </row>
    <row r="106" spans="1:20" x14ac:dyDescent="0.25">
      <c r="A106">
        <f t="shared" si="2"/>
        <v>92</v>
      </c>
      <c r="B106" s="91" t="str">
        <f>IFERROR(RIGHT(Table242[[#This Row],[Controller Output '#]],3)*1,"")</f>
        <v/>
      </c>
      <c r="C106" s="91"/>
      <c r="D106" s="1"/>
      <c r="E106" s="11"/>
      <c r="F106" s="11"/>
      <c r="G106" s="11"/>
      <c r="H106" s="21"/>
      <c r="I106" s="11"/>
      <c r="J106" s="11"/>
      <c r="K106" s="11"/>
      <c r="L106" s="11"/>
      <c r="M106" s="11"/>
      <c r="N106" s="1" t="str">
        <f>IF(ISNUMBER(SEARCH("ANALOG",Table242[[#This Row],[Type]]))=TRUE,1,"")</f>
        <v/>
      </c>
      <c r="O106" s="1" t="str">
        <f>IF(ISNUMBER(SEARCH("BINARY",Table242[[#This Row],[Type]]))=TRUE,1,"")</f>
        <v/>
      </c>
      <c r="P106" t="str">
        <f>IF(Table242[[#This Row],[Type]]="","",LEFT(Table242[[#This Row],[Type]],1)&amp;LEFT($F$2,1))</f>
        <v/>
      </c>
      <c r="Q106" s="1"/>
      <c r="R106" s="1"/>
      <c r="S106" t="str">
        <f>IF(Table242[[#This Row],[A Counter]]=1,"AO"&amp;$F$3+SUM($N$12:N106),IF(Table242[[#This Row],[B Counter]]=1,"BO"&amp;$F$3+SUM($O$12:O106),""))</f>
        <v/>
      </c>
      <c r="T106" s="11"/>
    </row>
    <row r="107" spans="1:20" x14ac:dyDescent="0.25">
      <c r="A107">
        <f t="shared" si="2"/>
        <v>93</v>
      </c>
      <c r="B107" s="91" t="str">
        <f>IFERROR(RIGHT(Table242[[#This Row],[Controller Output '#]],3)*1,"")</f>
        <v/>
      </c>
      <c r="C107" s="91"/>
      <c r="D107" s="1"/>
      <c r="E107" s="11"/>
      <c r="F107" s="11"/>
      <c r="G107" s="11"/>
      <c r="H107" s="21"/>
      <c r="I107" s="11"/>
      <c r="J107" s="11"/>
      <c r="K107" s="11"/>
      <c r="L107" s="11"/>
      <c r="M107" s="11"/>
      <c r="N107" s="1" t="str">
        <f>IF(ISNUMBER(SEARCH("ANALOG",Table242[[#This Row],[Type]]))=TRUE,1,"")</f>
        <v/>
      </c>
      <c r="O107" s="1" t="str">
        <f>IF(ISNUMBER(SEARCH("BINARY",Table242[[#This Row],[Type]]))=TRUE,1,"")</f>
        <v/>
      </c>
      <c r="P107" t="str">
        <f>IF(Table242[[#This Row],[Type]]="","",LEFT(Table242[[#This Row],[Type]],1)&amp;LEFT($F$2,1))</f>
        <v/>
      </c>
      <c r="Q107" s="1"/>
      <c r="R107" s="1"/>
      <c r="S107" t="str">
        <f>IF(Table242[[#This Row],[A Counter]]=1,"AO"&amp;$F$3+SUM($N$12:N107),IF(Table242[[#This Row],[B Counter]]=1,"BO"&amp;$F$3+SUM($O$12:O107),""))</f>
        <v/>
      </c>
      <c r="T107" s="11"/>
    </row>
    <row r="108" spans="1:20" x14ac:dyDescent="0.25">
      <c r="A108">
        <f t="shared" si="2"/>
        <v>94</v>
      </c>
      <c r="B108" s="91" t="str">
        <f>IFERROR(RIGHT(Table242[[#This Row],[Controller Output '#]],3)*1,"")</f>
        <v/>
      </c>
      <c r="C108" s="91"/>
      <c r="D108" s="1"/>
      <c r="E108" s="11"/>
      <c r="F108" s="11"/>
      <c r="G108" s="11"/>
      <c r="H108" s="21"/>
      <c r="I108" s="11"/>
      <c r="J108" s="11"/>
      <c r="K108" s="11"/>
      <c r="L108" s="11"/>
      <c r="M108" s="11"/>
      <c r="N108" s="1" t="str">
        <f>IF(ISNUMBER(SEARCH("ANALOG",Table242[[#This Row],[Type]]))=TRUE,1,"")</f>
        <v/>
      </c>
      <c r="O108" s="1" t="str">
        <f>IF(ISNUMBER(SEARCH("BINARY",Table242[[#This Row],[Type]]))=TRUE,1,"")</f>
        <v/>
      </c>
      <c r="P108" t="str">
        <f>IF(Table242[[#This Row],[Type]]="","",LEFT(Table242[[#This Row],[Type]],1)&amp;LEFT($F$2,1))</f>
        <v/>
      </c>
      <c r="Q108" s="1"/>
      <c r="R108" s="1"/>
      <c r="S108" t="str">
        <f>IF(Table242[[#This Row],[A Counter]]=1,"AO"&amp;$F$3+SUM($N$12:N108),IF(Table242[[#This Row],[B Counter]]=1,"BO"&amp;$F$3+SUM($O$12:O108),""))</f>
        <v/>
      </c>
      <c r="T108" s="11"/>
    </row>
    <row r="109" spans="1:20" x14ac:dyDescent="0.25">
      <c r="A109">
        <f t="shared" si="2"/>
        <v>95</v>
      </c>
      <c r="B109" s="91" t="str">
        <f>IFERROR(RIGHT(Table242[[#This Row],[Controller Output '#]],3)*1,"")</f>
        <v/>
      </c>
      <c r="C109" s="91"/>
      <c r="D109" s="1"/>
      <c r="E109" s="11"/>
      <c r="F109" s="11"/>
      <c r="G109" s="11"/>
      <c r="H109" s="21"/>
      <c r="I109" s="11"/>
      <c r="J109" s="11"/>
      <c r="K109" s="11"/>
      <c r="L109" s="11"/>
      <c r="M109" s="11"/>
      <c r="N109" s="1" t="str">
        <f>IF(ISNUMBER(SEARCH("ANALOG",Table242[[#This Row],[Type]]))=TRUE,1,"")</f>
        <v/>
      </c>
      <c r="O109" s="1" t="str">
        <f>IF(ISNUMBER(SEARCH("BINARY",Table242[[#This Row],[Type]]))=TRUE,1,"")</f>
        <v/>
      </c>
      <c r="P109" t="str">
        <f>IF(Table242[[#This Row],[Type]]="","",LEFT(Table242[[#This Row],[Type]],1)&amp;LEFT($F$2,1))</f>
        <v/>
      </c>
      <c r="Q109" s="1"/>
      <c r="R109" s="1"/>
      <c r="S109" t="str">
        <f>IF(Table242[[#This Row],[A Counter]]=1,"AO"&amp;$F$3+SUM($N$12:N109),IF(Table242[[#This Row],[B Counter]]=1,"BO"&amp;$F$3+SUM($O$12:O109),""))</f>
        <v/>
      </c>
      <c r="T109" s="11"/>
    </row>
    <row r="110" spans="1:20" x14ac:dyDescent="0.25">
      <c r="A110">
        <f t="shared" si="2"/>
        <v>96</v>
      </c>
      <c r="B110" s="91" t="str">
        <f>IFERROR(RIGHT(Table242[[#This Row],[Controller Output '#]],3)*1,"")</f>
        <v/>
      </c>
      <c r="C110" s="91"/>
      <c r="D110" s="1"/>
      <c r="E110" s="11"/>
      <c r="F110" s="11"/>
      <c r="G110" s="11"/>
      <c r="H110" s="21"/>
      <c r="I110" s="11"/>
      <c r="J110" s="11"/>
      <c r="K110" s="11"/>
      <c r="L110" s="11"/>
      <c r="M110" s="11"/>
      <c r="N110" s="1" t="str">
        <f>IF(ISNUMBER(SEARCH("ANALOG",Table242[[#This Row],[Type]]))=TRUE,1,"")</f>
        <v/>
      </c>
      <c r="O110" s="1" t="str">
        <f>IF(ISNUMBER(SEARCH("BINARY",Table242[[#This Row],[Type]]))=TRUE,1,"")</f>
        <v/>
      </c>
      <c r="P110" t="str">
        <f>IF(Table242[[#This Row],[Type]]="","",LEFT(Table242[[#This Row],[Type]],1)&amp;LEFT($F$2,1))</f>
        <v/>
      </c>
      <c r="Q110" s="1"/>
      <c r="R110" s="1"/>
      <c r="S110" t="str">
        <f>IF(Table242[[#This Row],[A Counter]]=1,"AO"&amp;$F$3+SUM($N$12:N110),IF(Table242[[#This Row],[B Counter]]=1,"BO"&amp;$F$3+SUM($O$12:O110),""))</f>
        <v/>
      </c>
      <c r="T110" s="11"/>
    </row>
    <row r="111" spans="1:20" x14ac:dyDescent="0.25">
      <c r="A111">
        <f t="shared" si="2"/>
        <v>97</v>
      </c>
      <c r="B111" s="91" t="str">
        <f>IFERROR(RIGHT(Table242[[#This Row],[Controller Output '#]],3)*1,"")</f>
        <v/>
      </c>
      <c r="C111" s="91"/>
      <c r="D111" s="1"/>
      <c r="E111" s="11"/>
      <c r="F111" s="11"/>
      <c r="G111" s="11"/>
      <c r="H111" s="21"/>
      <c r="I111" s="11"/>
      <c r="J111" s="11"/>
      <c r="K111" s="11"/>
      <c r="L111" s="11"/>
      <c r="M111" s="11"/>
      <c r="N111" s="1" t="str">
        <f>IF(ISNUMBER(SEARCH("ANALOG",Table242[[#This Row],[Type]]))=TRUE,1,"")</f>
        <v/>
      </c>
      <c r="O111" s="1" t="str">
        <f>IF(ISNUMBER(SEARCH("BINARY",Table242[[#This Row],[Type]]))=TRUE,1,"")</f>
        <v/>
      </c>
      <c r="P111" t="str">
        <f>IF(Table242[[#This Row],[Type]]="","",LEFT(Table242[[#This Row],[Type]],1)&amp;LEFT($F$2,1))</f>
        <v/>
      </c>
      <c r="Q111" s="1"/>
      <c r="R111" s="1"/>
      <c r="S111" t="str">
        <f>IF(Table242[[#This Row],[A Counter]]=1,"AO"&amp;$F$3+SUM($N$12:N111),IF(Table242[[#This Row],[B Counter]]=1,"BO"&amp;$F$3+SUM($O$12:O111),""))</f>
        <v/>
      </c>
      <c r="T111" s="11"/>
    </row>
    <row r="112" spans="1:20" x14ac:dyDescent="0.25">
      <c r="A112">
        <f t="shared" si="2"/>
        <v>98</v>
      </c>
      <c r="B112" s="91" t="str">
        <f>IFERROR(RIGHT(Table242[[#This Row],[Controller Output '#]],3)*1,"")</f>
        <v/>
      </c>
      <c r="C112" s="91"/>
      <c r="D112" s="1"/>
      <c r="E112" s="11"/>
      <c r="F112" s="11"/>
      <c r="G112" s="11"/>
      <c r="H112" s="21"/>
      <c r="I112" s="11"/>
      <c r="J112" s="11"/>
      <c r="K112" s="11"/>
      <c r="L112" s="11"/>
      <c r="M112" s="11"/>
      <c r="N112" s="1" t="str">
        <f>IF(ISNUMBER(SEARCH("ANALOG",Table242[[#This Row],[Type]]))=TRUE,1,"")</f>
        <v/>
      </c>
      <c r="O112" s="1" t="str">
        <f>IF(ISNUMBER(SEARCH("BINARY",Table242[[#This Row],[Type]]))=TRUE,1,"")</f>
        <v/>
      </c>
      <c r="P112" t="str">
        <f>IF(Table242[[#This Row],[Type]]="","",LEFT(Table242[[#This Row],[Type]],1)&amp;LEFT($F$2,1))</f>
        <v/>
      </c>
      <c r="Q112" s="1"/>
      <c r="R112" s="1"/>
      <c r="S112" t="str">
        <f>IF(Table242[[#This Row],[A Counter]]=1,"AO"&amp;$F$3+SUM($N$12:N112),IF(Table242[[#This Row],[B Counter]]=1,"BO"&amp;$F$3+SUM($O$12:O112),""))</f>
        <v/>
      </c>
      <c r="T112" s="11"/>
    </row>
    <row r="113" spans="1:20" x14ac:dyDescent="0.25">
      <c r="A113">
        <f t="shared" si="2"/>
        <v>99</v>
      </c>
      <c r="B113" s="91" t="str">
        <f>IFERROR(RIGHT(Table242[[#This Row],[Controller Output '#]],3)*1,"")</f>
        <v/>
      </c>
      <c r="C113" s="91"/>
      <c r="D113" s="1"/>
      <c r="E113" s="1"/>
      <c r="F113" s="1"/>
      <c r="G113" s="1"/>
      <c r="H113" s="8"/>
      <c r="I113" s="1"/>
      <c r="J113" s="1"/>
      <c r="K113" s="3"/>
      <c r="L113" s="1"/>
      <c r="M113" s="1"/>
      <c r="N113" s="1" t="str">
        <f>IF(ISNUMBER(SEARCH("ANALOG",Table242[[#This Row],[Type]]))=TRUE,1,"")</f>
        <v/>
      </c>
      <c r="O113" s="1" t="str">
        <f>IF(ISNUMBER(SEARCH("BINARY",Table242[[#This Row],[Type]]))=TRUE,1,"")</f>
        <v/>
      </c>
      <c r="P113" t="str">
        <f>IF(Table242[[#This Row],[Type]]="","",LEFT(Table242[[#This Row],[Type]],1)&amp;LEFT($F$2,1))</f>
        <v/>
      </c>
      <c r="Q113" s="1"/>
      <c r="R113" s="1"/>
      <c r="S113" t="str">
        <f>IF(Table242[[#This Row],[A Counter]]=1,"AO"&amp;$F$3+SUM($N$12:N113),IF(Table242[[#This Row],[B Counter]]=1,"BO"&amp;$F$3+SUM($O$12:O113),""))</f>
        <v/>
      </c>
      <c r="T113" s="11"/>
    </row>
    <row r="114" spans="1:20" x14ac:dyDescent="0.25">
      <c r="A114">
        <f t="shared" si="2"/>
        <v>100</v>
      </c>
      <c r="B114" s="91" t="str">
        <f>IFERROR(RIGHT(Table242[[#This Row],[Controller Output '#]],3)*1,"")</f>
        <v/>
      </c>
      <c r="C114" s="91"/>
      <c r="D114" s="1"/>
      <c r="E114" s="1"/>
      <c r="F114" s="1"/>
      <c r="G114" s="1"/>
      <c r="H114" s="8"/>
      <c r="I114" s="1"/>
      <c r="J114" s="1"/>
      <c r="K114" s="3"/>
      <c r="L114" s="1"/>
      <c r="M114" s="1"/>
      <c r="N114" s="1" t="str">
        <f>IF(ISNUMBER(SEARCH("ANALOG",Table242[[#This Row],[Type]]))=TRUE,1,"")</f>
        <v/>
      </c>
      <c r="O114" s="1" t="str">
        <f>IF(ISNUMBER(SEARCH("BINARY",Table242[[#This Row],[Type]]))=TRUE,1,"")</f>
        <v/>
      </c>
      <c r="P114" t="str">
        <f>IF(Table242[[#This Row],[Type]]="","",LEFT(Table242[[#This Row],[Type]],1)&amp;LEFT($F$2,1))</f>
        <v/>
      </c>
      <c r="Q114" s="1"/>
      <c r="R114" s="1"/>
      <c r="S114" t="str">
        <f>IF(Table242[[#This Row],[A Counter]]=1,"AO"&amp;$F$3+SUM($N$12:N114),IF(Table242[[#This Row],[B Counter]]=1,"BO"&amp;$F$3+SUM($O$12:O114),""))</f>
        <v/>
      </c>
      <c r="T114" s="11"/>
    </row>
    <row r="115" spans="1:20" x14ac:dyDescent="0.25">
      <c r="A115">
        <f t="shared" si="2"/>
        <v>101</v>
      </c>
      <c r="B115" s="91" t="str">
        <f>IFERROR(RIGHT(Table242[[#This Row],[Controller Output '#]],3)*1,"")</f>
        <v/>
      </c>
      <c r="C115" s="91"/>
      <c r="D115" s="1"/>
      <c r="E115" s="1"/>
      <c r="F115" s="1"/>
      <c r="G115" s="1"/>
      <c r="H115" s="8"/>
      <c r="I115" s="1"/>
      <c r="J115" s="1"/>
      <c r="K115" s="3"/>
      <c r="L115" s="1"/>
      <c r="M115" s="1"/>
      <c r="N115" s="1" t="str">
        <f>IF(ISNUMBER(SEARCH("ANALOG",Table242[[#This Row],[Type]]))=TRUE,1,"")</f>
        <v/>
      </c>
      <c r="O115" s="1" t="str">
        <f>IF(ISNUMBER(SEARCH("BINARY",Table242[[#This Row],[Type]]))=TRUE,1,"")</f>
        <v/>
      </c>
      <c r="P115" t="str">
        <f>IF(Table242[[#This Row],[Type]]="","",LEFT(Table242[[#This Row],[Type]],1)&amp;LEFT($F$2,1))</f>
        <v/>
      </c>
      <c r="Q115" s="1"/>
      <c r="R115" s="1"/>
      <c r="S115" t="str">
        <f>IF(Table242[[#This Row],[A Counter]]=1,"AO"&amp;$F$3+SUM($N$12:N115),IF(Table242[[#This Row],[B Counter]]=1,"BO"&amp;$F$3+SUM($O$12:O115),""))</f>
        <v/>
      </c>
      <c r="T115" s="11"/>
    </row>
    <row r="116" spans="1:20" x14ac:dyDescent="0.25">
      <c r="A116">
        <f t="shared" si="2"/>
        <v>102</v>
      </c>
      <c r="B116" s="91" t="str">
        <f>IFERROR(RIGHT(Table242[[#This Row],[Controller Output '#]],3)*1,"")</f>
        <v/>
      </c>
      <c r="C116" s="91"/>
      <c r="D116" s="1"/>
      <c r="E116" s="11"/>
      <c r="F116" s="11"/>
      <c r="G116" s="11"/>
      <c r="H116" s="21"/>
      <c r="I116" s="11"/>
      <c r="J116" s="11"/>
      <c r="K116" s="22"/>
      <c r="L116" s="11"/>
      <c r="M116" s="11"/>
      <c r="N116" s="1" t="str">
        <f>IF(ISNUMBER(SEARCH("ANALOG",Table242[[#This Row],[Type]]))=TRUE,1,"")</f>
        <v/>
      </c>
      <c r="O116" s="1" t="str">
        <f>IF(ISNUMBER(SEARCH("BINARY",Table242[[#This Row],[Type]]))=TRUE,1,"")</f>
        <v/>
      </c>
      <c r="P116" t="str">
        <f>IF(Table242[[#This Row],[Type]]="","",LEFT(Table242[[#This Row],[Type]],1)&amp;LEFT($F$2,1))</f>
        <v/>
      </c>
      <c r="Q116" s="1"/>
      <c r="R116" s="1"/>
      <c r="S116" t="str">
        <f>IF(Table242[[#This Row],[A Counter]]=1,"AO"&amp;$F$3+SUM($N$12:N116),IF(Table242[[#This Row],[B Counter]]=1,"BO"&amp;$F$3+SUM($O$12:O116),""))</f>
        <v/>
      </c>
      <c r="T116" s="11"/>
    </row>
    <row r="117" spans="1:20" x14ac:dyDescent="0.25">
      <c r="A117">
        <f t="shared" si="2"/>
        <v>103</v>
      </c>
      <c r="B117" s="91" t="str">
        <f>IFERROR(RIGHT(Table242[[#This Row],[Controller Output '#]],3)*1,"")</f>
        <v/>
      </c>
      <c r="C117" s="91"/>
      <c r="D117" s="1"/>
      <c r="E117" s="1"/>
      <c r="F117" s="1"/>
      <c r="G117" s="1"/>
      <c r="H117" s="8"/>
      <c r="I117" s="1"/>
      <c r="J117" s="1"/>
      <c r="K117" s="3"/>
      <c r="L117" s="1"/>
      <c r="M117" s="1"/>
      <c r="N117" s="1" t="str">
        <f>IF(ISNUMBER(SEARCH("ANALOG",Table242[[#This Row],[Type]]))=TRUE,1,"")</f>
        <v/>
      </c>
      <c r="O117" s="1" t="str">
        <f>IF(ISNUMBER(SEARCH("BINARY",Table242[[#This Row],[Type]]))=TRUE,1,"")</f>
        <v/>
      </c>
      <c r="P117" t="str">
        <f>IF(Table242[[#This Row],[Type]]="","",LEFT(Table242[[#This Row],[Type]],1)&amp;LEFT($F$2,1))</f>
        <v/>
      </c>
      <c r="Q117" s="1"/>
      <c r="R117" s="1"/>
      <c r="S117" t="str">
        <f>IF(Table242[[#This Row],[A Counter]]=1,"AO"&amp;$F$3+SUM($N$12:N117),IF(Table242[[#This Row],[B Counter]]=1,"BO"&amp;$F$3+SUM($O$12:O117),""))</f>
        <v/>
      </c>
      <c r="T117" s="11"/>
    </row>
    <row r="118" spans="1:20" x14ac:dyDescent="0.25">
      <c r="A118">
        <f t="shared" si="2"/>
        <v>104</v>
      </c>
      <c r="B118" s="91" t="str">
        <f>IFERROR(RIGHT(Table242[[#This Row],[Controller Output '#]],3)*1,"")</f>
        <v/>
      </c>
      <c r="C118" s="91"/>
      <c r="D118" s="1"/>
      <c r="E118" s="11"/>
      <c r="F118" s="11"/>
      <c r="G118" s="11"/>
      <c r="H118" s="21"/>
      <c r="I118" s="11"/>
      <c r="J118" s="11"/>
      <c r="K118" s="22"/>
      <c r="L118" s="11"/>
      <c r="M118" s="11"/>
      <c r="N118" s="1" t="str">
        <f>IF(ISNUMBER(SEARCH("ANALOG",Table242[[#This Row],[Type]]))=TRUE,1,"")</f>
        <v/>
      </c>
      <c r="O118" s="1" t="str">
        <f>IF(ISNUMBER(SEARCH("BINARY",Table242[[#This Row],[Type]]))=TRUE,1,"")</f>
        <v/>
      </c>
      <c r="P118" t="str">
        <f>IF(Table242[[#This Row],[Type]]="","",LEFT(Table242[[#This Row],[Type]],1)&amp;LEFT($F$2,1))</f>
        <v/>
      </c>
      <c r="Q118" s="1"/>
      <c r="R118" s="1"/>
      <c r="S118" t="str">
        <f>IF(Table242[[#This Row],[A Counter]]=1,"AO"&amp;$F$3+SUM($N$12:N118),IF(Table242[[#This Row],[B Counter]]=1,"BO"&amp;$F$3+SUM($O$12:O118),""))</f>
        <v/>
      </c>
      <c r="T118" s="11"/>
    </row>
    <row r="119" spans="1:20" x14ac:dyDescent="0.25">
      <c r="A119">
        <f t="shared" si="2"/>
        <v>105</v>
      </c>
      <c r="B119" s="91" t="str">
        <f>IFERROR(RIGHT(Table242[[#This Row],[Controller Output '#]],3)*1,"")</f>
        <v/>
      </c>
      <c r="C119" s="91"/>
      <c r="D119" s="1"/>
      <c r="E119" s="1"/>
      <c r="F119" s="1"/>
      <c r="G119" s="1"/>
      <c r="H119" s="8"/>
      <c r="I119" s="1"/>
      <c r="J119" s="1"/>
      <c r="K119" s="3"/>
      <c r="L119" s="1"/>
      <c r="M119" s="1"/>
      <c r="N119" s="1" t="str">
        <f>IF(ISNUMBER(SEARCH("ANALOG",Table242[[#This Row],[Type]]))=TRUE,1,"")</f>
        <v/>
      </c>
      <c r="O119" s="1" t="str">
        <f>IF(ISNUMBER(SEARCH("BINARY",Table242[[#This Row],[Type]]))=TRUE,1,"")</f>
        <v/>
      </c>
      <c r="P119" t="str">
        <f>IF(Table242[[#This Row],[Type]]="","",LEFT(Table242[[#This Row],[Type]],1)&amp;LEFT($F$2,1))</f>
        <v/>
      </c>
      <c r="Q119" s="1"/>
      <c r="R119" s="1"/>
      <c r="S119" t="str">
        <f>IF(Table242[[#This Row],[A Counter]]=1,"AO"&amp;$F$3+SUM($N$12:N119),IF(Table242[[#This Row],[B Counter]]=1,"BO"&amp;$F$3+SUM($O$12:O119),""))</f>
        <v/>
      </c>
      <c r="T119" s="11"/>
    </row>
    <row r="120" spans="1:20" x14ac:dyDescent="0.25">
      <c r="A120">
        <f t="shared" si="2"/>
        <v>106</v>
      </c>
      <c r="B120" s="91" t="str">
        <f>IFERROR(RIGHT(Table242[[#This Row],[Controller Output '#]],3)*1,"")</f>
        <v/>
      </c>
      <c r="C120" s="91"/>
      <c r="D120" s="1"/>
      <c r="E120" s="11"/>
      <c r="F120" s="11"/>
      <c r="G120" s="11"/>
      <c r="H120" s="21"/>
      <c r="I120" s="11"/>
      <c r="J120" s="11"/>
      <c r="K120" s="22"/>
      <c r="L120" s="11"/>
      <c r="M120" s="11"/>
      <c r="N120" s="1" t="str">
        <f>IF(ISNUMBER(SEARCH("ANALOG",Table242[[#This Row],[Type]]))=TRUE,1,"")</f>
        <v/>
      </c>
      <c r="O120" s="1" t="str">
        <f>IF(ISNUMBER(SEARCH("BINARY",Table242[[#This Row],[Type]]))=TRUE,1,"")</f>
        <v/>
      </c>
      <c r="P120" t="str">
        <f>IF(Table242[[#This Row],[Type]]="","",LEFT(Table242[[#This Row],[Type]],1)&amp;LEFT($F$2,1))</f>
        <v/>
      </c>
      <c r="Q120" s="1"/>
      <c r="R120" s="1"/>
      <c r="S120" t="str">
        <f>IF(Table242[[#This Row],[A Counter]]=1,"AO"&amp;$F$3+SUM($N$12:N120),IF(Table242[[#This Row],[B Counter]]=1,"BO"&amp;$F$3+SUM($O$12:O120),""))</f>
        <v/>
      </c>
      <c r="T120" s="11"/>
    </row>
    <row r="121" spans="1:20" x14ac:dyDescent="0.25">
      <c r="A121">
        <f t="shared" si="2"/>
        <v>107</v>
      </c>
      <c r="B121" s="91" t="str">
        <f>IFERROR(RIGHT(Table242[[#This Row],[Controller Output '#]],3)*1,"")</f>
        <v/>
      </c>
      <c r="C121" s="91"/>
      <c r="D121" s="1"/>
      <c r="E121" s="1"/>
      <c r="F121" s="1"/>
      <c r="G121" s="1"/>
      <c r="H121" s="8"/>
      <c r="I121" s="1"/>
      <c r="J121" s="1"/>
      <c r="K121" s="3"/>
      <c r="L121" s="1"/>
      <c r="M121" s="1"/>
      <c r="N121" s="1" t="str">
        <f>IF(ISNUMBER(SEARCH("ANALOG",Table242[[#This Row],[Type]]))=TRUE,1,"")</f>
        <v/>
      </c>
      <c r="O121" s="1" t="str">
        <f>IF(ISNUMBER(SEARCH("BINARY",Table242[[#This Row],[Type]]))=TRUE,1,"")</f>
        <v/>
      </c>
      <c r="P121" t="str">
        <f>IF(Table242[[#This Row],[Type]]="","",LEFT(Table242[[#This Row],[Type]],1)&amp;LEFT($F$2,1))</f>
        <v/>
      </c>
      <c r="Q121" s="1"/>
      <c r="R121" s="1"/>
      <c r="S121" t="str">
        <f>IF(Table242[[#This Row],[A Counter]]=1,"AO"&amp;$F$3+SUM($N$12:N121),IF(Table242[[#This Row],[B Counter]]=1,"BO"&amp;$F$3+SUM($O$12:O121),""))</f>
        <v/>
      </c>
      <c r="T121" s="11"/>
    </row>
    <row r="122" spans="1:20" x14ac:dyDescent="0.25">
      <c r="A122">
        <f t="shared" si="2"/>
        <v>108</v>
      </c>
      <c r="B122" s="91" t="str">
        <f>IFERROR(RIGHT(Table242[[#This Row],[Controller Output '#]],3)*1,"")</f>
        <v/>
      </c>
      <c r="C122" s="91"/>
      <c r="D122" s="1"/>
      <c r="E122" s="1"/>
      <c r="F122" s="1"/>
      <c r="G122" s="1"/>
      <c r="H122" s="8"/>
      <c r="I122" s="1"/>
      <c r="J122" s="1"/>
      <c r="K122" s="3"/>
      <c r="L122" s="1"/>
      <c r="M122" s="1"/>
      <c r="N122" s="1" t="str">
        <f>IF(ISNUMBER(SEARCH("ANALOG",Table242[[#This Row],[Type]]))=TRUE,1,"")</f>
        <v/>
      </c>
      <c r="O122" s="1" t="str">
        <f>IF(ISNUMBER(SEARCH("BINARY",Table242[[#This Row],[Type]]))=TRUE,1,"")</f>
        <v/>
      </c>
      <c r="P122" t="str">
        <f>IF(Table242[[#This Row],[Type]]="","",LEFT(Table242[[#This Row],[Type]],1)&amp;LEFT($F$2,1))</f>
        <v/>
      </c>
      <c r="Q122" s="1"/>
      <c r="R122" s="1"/>
      <c r="S122" t="str">
        <f>IF(Table242[[#This Row],[A Counter]]=1,"AO"&amp;$F$3+SUM($N$12:N122),IF(Table242[[#This Row],[B Counter]]=1,"BO"&amp;$F$3+SUM($O$12:O122),""))</f>
        <v/>
      </c>
      <c r="T122" s="11"/>
    </row>
    <row r="123" spans="1:20" x14ac:dyDescent="0.25">
      <c r="A123">
        <f t="shared" si="2"/>
        <v>109</v>
      </c>
      <c r="B123" s="91" t="str">
        <f>IFERROR(RIGHT(Table242[[#This Row],[Controller Output '#]],3)*1,"")</f>
        <v/>
      </c>
      <c r="C123" s="91"/>
      <c r="D123" s="1"/>
      <c r="E123" s="1"/>
      <c r="F123" s="1"/>
      <c r="G123" s="1"/>
      <c r="H123" s="8"/>
      <c r="I123" s="1"/>
      <c r="J123" s="1"/>
      <c r="K123" s="3"/>
      <c r="L123" s="1"/>
      <c r="M123" s="1"/>
      <c r="N123" s="1" t="str">
        <f>IF(ISNUMBER(SEARCH("ANALOG",Table242[[#This Row],[Type]]))=TRUE,1,"")</f>
        <v/>
      </c>
      <c r="O123" s="1" t="str">
        <f>IF(ISNUMBER(SEARCH("BINARY",Table242[[#This Row],[Type]]))=TRUE,1,"")</f>
        <v/>
      </c>
      <c r="P123" t="str">
        <f>IF(Table242[[#This Row],[Type]]="","",LEFT(Table242[[#This Row],[Type]],1)&amp;LEFT($F$2,1))</f>
        <v/>
      </c>
      <c r="Q123" s="1"/>
      <c r="R123" s="1"/>
      <c r="S123" t="str">
        <f>IF(Table242[[#This Row],[A Counter]]=1,"AO"&amp;$F$3+SUM($N$12:N123),IF(Table242[[#This Row],[B Counter]]=1,"BO"&amp;$F$3+SUM($O$12:O123),""))</f>
        <v/>
      </c>
      <c r="T123" s="11"/>
    </row>
    <row r="124" spans="1:20" x14ac:dyDescent="0.25">
      <c r="A124">
        <f t="shared" si="2"/>
        <v>110</v>
      </c>
      <c r="B124" s="91" t="str">
        <f>IFERROR(RIGHT(Table242[[#This Row],[Controller Output '#]],3)*1,"")</f>
        <v/>
      </c>
      <c r="C124" s="91"/>
      <c r="D124" s="1"/>
      <c r="E124" s="11"/>
      <c r="F124" s="11"/>
      <c r="G124" s="11"/>
      <c r="H124" s="21"/>
      <c r="I124" s="11"/>
      <c r="J124" s="11"/>
      <c r="K124" s="22"/>
      <c r="L124" s="1"/>
      <c r="M124" s="1"/>
      <c r="N124" s="1" t="str">
        <f>IF(ISNUMBER(SEARCH("ANALOG",Table242[[#This Row],[Type]]))=TRUE,1,"")</f>
        <v/>
      </c>
      <c r="O124" s="1" t="str">
        <f>IF(ISNUMBER(SEARCH("BINARY",Table242[[#This Row],[Type]]))=TRUE,1,"")</f>
        <v/>
      </c>
      <c r="P124" t="str">
        <f>IF(Table242[[#This Row],[Type]]="","",LEFT(Table242[[#This Row],[Type]],1)&amp;LEFT($F$2,1))</f>
        <v/>
      </c>
      <c r="Q124" s="1"/>
      <c r="R124" s="1"/>
      <c r="S124" t="str">
        <f>IF(Table242[[#This Row],[A Counter]]=1,"AO"&amp;$F$3+SUM($N$12:N124),IF(Table242[[#This Row],[B Counter]]=1,"BO"&amp;$F$3+SUM($O$12:O124),""))</f>
        <v/>
      </c>
      <c r="T124" s="11"/>
    </row>
    <row r="125" spans="1:20" x14ac:dyDescent="0.25">
      <c r="A125">
        <f t="shared" si="2"/>
        <v>111</v>
      </c>
      <c r="B125" s="91" t="str">
        <f>IFERROR(RIGHT(Table242[[#This Row],[Controller Output '#]],3)*1,"")</f>
        <v/>
      </c>
      <c r="C125" s="91"/>
      <c r="D125" s="1"/>
      <c r="E125" s="1"/>
      <c r="F125" s="1"/>
      <c r="G125" s="1"/>
      <c r="H125" s="8"/>
      <c r="I125" s="1"/>
      <c r="J125" s="1"/>
      <c r="K125" s="1"/>
      <c r="L125" s="1"/>
      <c r="M125" s="1"/>
      <c r="N125" s="1" t="str">
        <f>IF(ISNUMBER(SEARCH("ANALOG",Table242[[#This Row],[Type]]))=TRUE,1,"")</f>
        <v/>
      </c>
      <c r="O125" s="1" t="str">
        <f>IF(ISNUMBER(SEARCH("BINARY",Table242[[#This Row],[Type]]))=TRUE,1,"")</f>
        <v/>
      </c>
      <c r="P125" t="str">
        <f>IF(Table242[[#This Row],[Type]]="","",LEFT(Table242[[#This Row],[Type]],1)&amp;LEFT($F$2,1))</f>
        <v/>
      </c>
      <c r="Q125" s="1"/>
      <c r="R125" s="1"/>
      <c r="S125" t="str">
        <f>IF(Table242[[#This Row],[A Counter]]=1,"AO"&amp;$F$3+SUM($N$12:N125),IF(Table242[[#This Row],[B Counter]]=1,"BO"&amp;$F$3+SUM($O$12:O125),""))</f>
        <v/>
      </c>
      <c r="T125" s="11"/>
    </row>
    <row r="126" spans="1:20" x14ac:dyDescent="0.25">
      <c r="A126">
        <f t="shared" si="2"/>
        <v>112</v>
      </c>
      <c r="B126" s="91" t="str">
        <f>IFERROR(RIGHT(Table242[[#This Row],[Controller Output '#]],3)*1,"")</f>
        <v/>
      </c>
      <c r="C126" s="91"/>
      <c r="D126" s="1"/>
      <c r="E126" s="1"/>
      <c r="F126" s="1"/>
      <c r="G126" s="1"/>
      <c r="H126" s="8"/>
      <c r="I126" s="1"/>
      <c r="J126" s="1"/>
      <c r="K126" s="1"/>
      <c r="L126" s="1"/>
      <c r="M126" s="1"/>
      <c r="N126" s="1" t="str">
        <f>IF(ISNUMBER(SEARCH("ANALOG",Table242[[#This Row],[Type]]))=TRUE,1,"")</f>
        <v/>
      </c>
      <c r="O126" s="1" t="str">
        <f>IF(ISNUMBER(SEARCH("BINARY",Table242[[#This Row],[Type]]))=TRUE,1,"")</f>
        <v/>
      </c>
      <c r="P126" t="str">
        <f>IF(Table242[[#This Row],[Type]]="","",LEFT(Table242[[#This Row],[Type]],1)&amp;LEFT($F$2,1))</f>
        <v/>
      </c>
      <c r="Q126" s="1"/>
      <c r="R126" s="1"/>
      <c r="S126" t="str">
        <f>IF(Table242[[#This Row],[A Counter]]=1,"AO"&amp;$F$3+SUM($N$12:N126),IF(Table242[[#This Row],[B Counter]]=1,"BO"&amp;$F$3+SUM($O$12:O126),""))</f>
        <v/>
      </c>
      <c r="T126" s="11"/>
    </row>
    <row r="127" spans="1:20" x14ac:dyDescent="0.25">
      <c r="A127">
        <f t="shared" si="2"/>
        <v>113</v>
      </c>
      <c r="B127" s="91" t="str">
        <f>IFERROR(RIGHT(Table242[[#This Row],[Controller Output '#]],3)*1,"")</f>
        <v/>
      </c>
      <c r="C127" s="91"/>
      <c r="D127" s="1"/>
      <c r="E127" s="1"/>
      <c r="F127" s="1"/>
      <c r="G127" s="1"/>
      <c r="H127" s="8"/>
      <c r="I127" s="1"/>
      <c r="J127" s="1"/>
      <c r="K127" s="1"/>
      <c r="L127" s="1"/>
      <c r="M127" s="1"/>
      <c r="N127" s="1" t="str">
        <f>IF(ISNUMBER(SEARCH("ANALOG",Table242[[#This Row],[Type]]))=TRUE,1,"")</f>
        <v/>
      </c>
      <c r="O127" s="1" t="str">
        <f>IF(ISNUMBER(SEARCH("BINARY",Table242[[#This Row],[Type]]))=TRUE,1,"")</f>
        <v/>
      </c>
      <c r="P127" t="str">
        <f>IF(Table242[[#This Row],[Type]]="","",LEFT(Table242[[#This Row],[Type]],1)&amp;LEFT($F$2,1))</f>
        <v/>
      </c>
      <c r="Q127" s="1"/>
      <c r="R127" s="1"/>
      <c r="S127" t="str">
        <f>IF(Table242[[#This Row],[A Counter]]=1,"AO"&amp;$F$3+SUM($N$12:N127),IF(Table242[[#This Row],[B Counter]]=1,"BO"&amp;$F$3+SUM($O$12:O127),""))</f>
        <v/>
      </c>
      <c r="T127" s="11"/>
    </row>
    <row r="128" spans="1:20" x14ac:dyDescent="0.25">
      <c r="A128">
        <f t="shared" si="2"/>
        <v>114</v>
      </c>
      <c r="B128" s="91" t="str">
        <f>IFERROR(RIGHT(Table242[[#This Row],[Controller Output '#]],3)*1,"")</f>
        <v/>
      </c>
      <c r="C128" s="91"/>
      <c r="D128" s="1"/>
      <c r="E128" s="1"/>
      <c r="F128" s="1"/>
      <c r="G128" s="1"/>
      <c r="H128" s="8"/>
      <c r="I128" s="1"/>
      <c r="J128" s="1"/>
      <c r="K128" s="1"/>
      <c r="L128" s="1"/>
      <c r="M128" s="1"/>
      <c r="N128" s="1" t="str">
        <f>IF(ISNUMBER(SEARCH("ANALOG",Table242[[#This Row],[Type]]))=TRUE,1,"")</f>
        <v/>
      </c>
      <c r="O128" s="1" t="str">
        <f>IF(ISNUMBER(SEARCH("BINARY",Table242[[#This Row],[Type]]))=TRUE,1,"")</f>
        <v/>
      </c>
      <c r="P128" t="str">
        <f>IF(Table242[[#This Row],[Type]]="","",LEFT(Table242[[#This Row],[Type]],1)&amp;LEFT($F$2,1))</f>
        <v/>
      </c>
      <c r="Q128" s="1"/>
      <c r="R128" s="1"/>
      <c r="S128" t="str">
        <f>IF(Table242[[#This Row],[A Counter]]=1,"AO"&amp;$F$3+SUM($N$12:N128),IF(Table242[[#This Row],[B Counter]]=1,"BO"&amp;$F$3+SUM($O$12:O128),""))</f>
        <v/>
      </c>
      <c r="T128" s="11"/>
    </row>
    <row r="129" spans="1:20" x14ac:dyDescent="0.25">
      <c r="A129">
        <f t="shared" si="2"/>
        <v>115</v>
      </c>
      <c r="B129" s="91" t="str">
        <f>IFERROR(RIGHT(Table242[[#This Row],[Controller Output '#]],3)*1,"")</f>
        <v/>
      </c>
      <c r="C129" s="91"/>
      <c r="D129" s="1"/>
      <c r="E129" s="1"/>
      <c r="F129" s="1"/>
      <c r="G129" s="1"/>
      <c r="H129" s="8"/>
      <c r="I129" s="1"/>
      <c r="J129" s="1"/>
      <c r="K129" s="1"/>
      <c r="L129" s="1"/>
      <c r="M129" s="1"/>
      <c r="N129" s="1" t="str">
        <f>IF(ISNUMBER(SEARCH("ANALOG",Table242[[#This Row],[Type]]))=TRUE,1,"")</f>
        <v/>
      </c>
      <c r="O129" s="1" t="str">
        <f>IF(ISNUMBER(SEARCH("BINARY",Table242[[#This Row],[Type]]))=TRUE,1,"")</f>
        <v/>
      </c>
      <c r="P129" t="str">
        <f>IF(Table242[[#This Row],[Type]]="","",LEFT(Table242[[#This Row],[Type]],1)&amp;LEFT($F$2,1))</f>
        <v/>
      </c>
      <c r="Q129" s="1"/>
      <c r="R129" s="1"/>
      <c r="S129" t="str">
        <f>IF(Table242[[#This Row],[A Counter]]=1,"AO"&amp;$F$3+SUM($N$12:N129),IF(Table242[[#This Row],[B Counter]]=1,"BO"&amp;$F$3+SUM($O$12:O129),""))</f>
        <v/>
      </c>
      <c r="T129" s="11"/>
    </row>
    <row r="130" spans="1:20" x14ac:dyDescent="0.25">
      <c r="A130">
        <f t="shared" si="2"/>
        <v>116</v>
      </c>
      <c r="B130" s="91" t="str">
        <f>IFERROR(RIGHT(Table242[[#This Row],[Controller Output '#]],3)*1,"")</f>
        <v/>
      </c>
      <c r="C130" s="91"/>
      <c r="D130" s="1"/>
      <c r="E130" s="1"/>
      <c r="F130" s="1"/>
      <c r="G130" s="1"/>
      <c r="H130" s="8"/>
      <c r="I130" s="1"/>
      <c r="J130" s="1"/>
      <c r="K130" s="1"/>
      <c r="L130" s="1"/>
      <c r="M130" s="1"/>
      <c r="N130" s="1" t="str">
        <f>IF(ISNUMBER(SEARCH("ANALOG",Table242[[#This Row],[Type]]))=TRUE,1,"")</f>
        <v/>
      </c>
      <c r="O130" s="1" t="str">
        <f>IF(ISNUMBER(SEARCH("BINARY",Table242[[#This Row],[Type]]))=TRUE,1,"")</f>
        <v/>
      </c>
      <c r="P130" t="str">
        <f>IF(Table242[[#This Row],[Type]]="","",LEFT(Table242[[#This Row],[Type]],1)&amp;LEFT($F$2,1))</f>
        <v/>
      </c>
      <c r="Q130" s="1"/>
      <c r="R130" s="1"/>
      <c r="S130" t="str">
        <f>IF(Table242[[#This Row],[A Counter]]=1,"AO"&amp;$F$3+SUM($N$12:N130),IF(Table242[[#This Row],[B Counter]]=1,"BO"&amp;$F$3+SUM($O$12:O130),""))</f>
        <v/>
      </c>
      <c r="T130" s="11"/>
    </row>
    <row r="131" spans="1:20" x14ac:dyDescent="0.25">
      <c r="A131">
        <f t="shared" si="2"/>
        <v>117</v>
      </c>
      <c r="B131" s="91" t="str">
        <f>IFERROR(RIGHT(Table242[[#This Row],[Controller Output '#]],3)*1,"")</f>
        <v/>
      </c>
      <c r="C131" s="91"/>
      <c r="D131" s="1"/>
      <c r="E131" s="1"/>
      <c r="F131" s="1"/>
      <c r="G131" s="1"/>
      <c r="H131" s="8"/>
      <c r="I131" s="1"/>
      <c r="J131" s="1"/>
      <c r="K131" s="3"/>
      <c r="L131" s="1"/>
      <c r="M131" s="1"/>
      <c r="N131" s="1" t="str">
        <f>IF(ISNUMBER(SEARCH("ANALOG",Table242[[#This Row],[Type]]))=TRUE,1,"")</f>
        <v/>
      </c>
      <c r="O131" s="1" t="str">
        <f>IF(ISNUMBER(SEARCH("BINARY",Table242[[#This Row],[Type]]))=TRUE,1,"")</f>
        <v/>
      </c>
      <c r="P131" t="str">
        <f>IF(Table242[[#This Row],[Type]]="","",LEFT(Table242[[#This Row],[Type]],1)&amp;LEFT($F$2,1))</f>
        <v/>
      </c>
      <c r="Q131" s="1"/>
      <c r="R131" s="1"/>
      <c r="S131" t="str">
        <f>IF(Table242[[#This Row],[A Counter]]=1,"AO"&amp;$F$3+SUM($N$12:N131),IF(Table242[[#This Row],[B Counter]]=1,"BO"&amp;$F$3+SUM($O$12:O131),""))</f>
        <v/>
      </c>
      <c r="T131" s="1"/>
    </row>
    <row r="132" spans="1:20" x14ac:dyDescent="0.25">
      <c r="A132">
        <f t="shared" si="2"/>
        <v>118</v>
      </c>
      <c r="B132" s="91" t="str">
        <f>IFERROR(RIGHT(Table242[[#This Row],[Controller Output '#]],3)*1,"")</f>
        <v/>
      </c>
      <c r="C132" s="91"/>
      <c r="D132" s="1"/>
      <c r="E132" s="11"/>
      <c r="F132" s="11"/>
      <c r="G132" s="11"/>
      <c r="H132" s="21"/>
      <c r="I132" s="11"/>
      <c r="J132" s="11"/>
      <c r="K132" s="22"/>
      <c r="L132" s="1"/>
      <c r="M132" s="1"/>
      <c r="N132" s="1" t="str">
        <f>IF(ISNUMBER(SEARCH("ANALOG",Table242[[#This Row],[Type]]))=TRUE,1,"")</f>
        <v/>
      </c>
      <c r="O132" s="1" t="str">
        <f>IF(ISNUMBER(SEARCH("BINARY",Table242[[#This Row],[Type]]))=TRUE,1,"")</f>
        <v/>
      </c>
      <c r="P132" t="str">
        <f>IF(Table242[[#This Row],[Type]]="","",LEFT(Table242[[#This Row],[Type]],1)&amp;LEFT($F$2,1))</f>
        <v/>
      </c>
      <c r="Q132" s="1"/>
      <c r="R132" s="1"/>
      <c r="S132" t="str">
        <f>IF(Table242[[#This Row],[A Counter]]=1,"AO"&amp;$F$3+SUM($N$12:N132),IF(Table242[[#This Row],[B Counter]]=1,"BO"&amp;$F$3+SUM($O$12:O132),""))</f>
        <v/>
      </c>
      <c r="T132" s="1"/>
    </row>
    <row r="133" spans="1:20" x14ac:dyDescent="0.25">
      <c r="A133">
        <f t="shared" si="2"/>
        <v>119</v>
      </c>
      <c r="B133" s="91" t="str">
        <f>IFERROR(RIGHT(Table242[[#This Row],[Controller Output '#]],3)*1,"")</f>
        <v/>
      </c>
      <c r="C133" s="91"/>
      <c r="D133" s="1"/>
      <c r="E133" s="11"/>
      <c r="F133" s="11"/>
      <c r="G133" s="11"/>
      <c r="H133" s="21"/>
      <c r="I133" s="11"/>
      <c r="J133" s="11"/>
      <c r="K133" s="11"/>
      <c r="L133" s="11"/>
      <c r="M133" s="11"/>
      <c r="N133" s="1" t="str">
        <f>IF(ISNUMBER(SEARCH("ANALOG",Table242[[#This Row],[Type]]))=TRUE,1,"")</f>
        <v/>
      </c>
      <c r="O133" s="1" t="str">
        <f>IF(ISNUMBER(SEARCH("BINARY",Table242[[#This Row],[Type]]))=TRUE,1,"")</f>
        <v/>
      </c>
      <c r="P133" t="str">
        <f>IF(Table242[[#This Row],[Type]]="","",LEFT(Table242[[#This Row],[Type]],1)&amp;LEFT($F$2,1))</f>
        <v/>
      </c>
      <c r="Q133" s="1"/>
      <c r="R133" s="1"/>
      <c r="S133" t="str">
        <f>IF(Table242[[#This Row],[A Counter]]=1,"AO"&amp;$F$3+SUM($N$12:N133),IF(Table242[[#This Row],[B Counter]]=1,"BO"&amp;$F$3+SUM($O$12:O133),""))</f>
        <v/>
      </c>
      <c r="T133" s="11"/>
    </row>
    <row r="134" spans="1:20" x14ac:dyDescent="0.25">
      <c r="A134">
        <f t="shared" si="2"/>
        <v>120</v>
      </c>
      <c r="B134" s="91" t="str">
        <f>IFERROR(RIGHT(Table242[[#This Row],[Controller Output '#]],3)*1,"")</f>
        <v/>
      </c>
      <c r="C134" s="91"/>
      <c r="D134" s="1"/>
      <c r="E134" s="11"/>
      <c r="F134" s="11"/>
      <c r="G134" s="11"/>
      <c r="H134" s="21"/>
      <c r="I134" s="11"/>
      <c r="J134" s="11"/>
      <c r="K134" s="11"/>
      <c r="L134" s="11"/>
      <c r="M134" s="11"/>
      <c r="N134" s="1" t="str">
        <f>IF(ISNUMBER(SEARCH("ANALOG",Table242[[#This Row],[Type]]))=TRUE,1,"")</f>
        <v/>
      </c>
      <c r="O134" s="1" t="str">
        <f>IF(ISNUMBER(SEARCH("BINARY",Table242[[#This Row],[Type]]))=TRUE,1,"")</f>
        <v/>
      </c>
      <c r="P134" t="str">
        <f>IF(Table242[[#This Row],[Type]]="","",LEFT(Table242[[#This Row],[Type]],1)&amp;LEFT($F$2,1))</f>
        <v/>
      </c>
      <c r="Q134" s="1"/>
      <c r="R134" s="1"/>
      <c r="S134" t="str">
        <f>IF(Table242[[#This Row],[A Counter]]=1,"AO"&amp;$F$3+SUM($N$12:N134),IF(Table242[[#This Row],[B Counter]]=1,"BO"&amp;$F$3+SUM($O$12:O134),""))</f>
        <v/>
      </c>
      <c r="T134" s="11"/>
    </row>
    <row r="135" spans="1:20" x14ac:dyDescent="0.25">
      <c r="A135">
        <f t="shared" si="2"/>
        <v>121</v>
      </c>
      <c r="B135" s="91" t="str">
        <f>IFERROR(RIGHT(Table242[[#This Row],[Controller Output '#]],3)*1,"")</f>
        <v/>
      </c>
      <c r="C135" s="91"/>
      <c r="D135" s="1"/>
      <c r="E135" s="11"/>
      <c r="F135" s="11"/>
      <c r="G135" s="11"/>
      <c r="H135" s="21"/>
      <c r="I135" s="11"/>
      <c r="J135" s="11"/>
      <c r="K135" s="11"/>
      <c r="L135" s="11"/>
      <c r="M135" s="11"/>
      <c r="N135" s="1" t="str">
        <f>IF(ISNUMBER(SEARCH("ANALOG",Table242[[#This Row],[Type]]))=TRUE,1,"")</f>
        <v/>
      </c>
      <c r="O135" s="1" t="str">
        <f>IF(ISNUMBER(SEARCH("BINARY",Table242[[#This Row],[Type]]))=TRUE,1,"")</f>
        <v/>
      </c>
      <c r="P135" t="str">
        <f>IF(Table242[[#This Row],[Type]]="","",LEFT(Table242[[#This Row],[Type]],1)&amp;LEFT($F$2,1))</f>
        <v/>
      </c>
      <c r="Q135" s="1"/>
      <c r="R135" s="1"/>
      <c r="S135" t="str">
        <f>IF(Table242[[#This Row],[A Counter]]=1,"AO"&amp;$F$3+SUM($N$12:N135),IF(Table242[[#This Row],[B Counter]]=1,"BO"&amp;$F$3+SUM($O$12:O135),""))</f>
        <v/>
      </c>
      <c r="T135" s="11"/>
    </row>
    <row r="136" spans="1:20" x14ac:dyDescent="0.25">
      <c r="A136">
        <f t="shared" si="2"/>
        <v>122</v>
      </c>
      <c r="B136" s="91" t="str">
        <f>IFERROR(RIGHT(Table242[[#This Row],[Controller Output '#]],3)*1,"")</f>
        <v/>
      </c>
      <c r="C136" s="91"/>
      <c r="D136" s="1"/>
      <c r="E136" s="11"/>
      <c r="F136" s="11"/>
      <c r="G136" s="11"/>
      <c r="H136" s="21"/>
      <c r="I136" s="11"/>
      <c r="J136" s="11"/>
      <c r="K136" s="11"/>
      <c r="L136" s="11"/>
      <c r="M136" s="11"/>
      <c r="N136" s="1" t="str">
        <f>IF(ISNUMBER(SEARCH("ANALOG",Table242[[#This Row],[Type]]))=TRUE,1,"")</f>
        <v/>
      </c>
      <c r="O136" s="1" t="str">
        <f>IF(ISNUMBER(SEARCH("BINARY",Table242[[#This Row],[Type]]))=TRUE,1,"")</f>
        <v/>
      </c>
      <c r="P136" t="str">
        <f>IF(Table242[[#This Row],[Type]]="","",LEFT(Table242[[#This Row],[Type]],1)&amp;LEFT($F$2,1))</f>
        <v/>
      </c>
      <c r="Q136" s="1"/>
      <c r="R136" s="1"/>
      <c r="S136" t="str">
        <f>IF(Table242[[#This Row],[A Counter]]=1,"AO"&amp;$F$3+SUM($N$12:N136),IF(Table242[[#This Row],[B Counter]]=1,"BO"&amp;$F$3+SUM($O$12:O136),""))</f>
        <v/>
      </c>
      <c r="T136" s="11"/>
    </row>
    <row r="137" spans="1:20" x14ac:dyDescent="0.25">
      <c r="A137">
        <f t="shared" si="2"/>
        <v>123</v>
      </c>
      <c r="B137" s="91" t="str">
        <f>IFERROR(RIGHT(Table242[[#This Row],[Controller Output '#]],3)*1,"")</f>
        <v/>
      </c>
      <c r="C137" s="91"/>
      <c r="D137" s="1"/>
      <c r="E137" s="11"/>
      <c r="F137" s="11"/>
      <c r="G137" s="11"/>
      <c r="H137" s="21"/>
      <c r="I137" s="11"/>
      <c r="J137" s="11"/>
      <c r="K137" s="11"/>
      <c r="L137" s="11"/>
      <c r="M137" s="11"/>
      <c r="N137" s="1" t="str">
        <f>IF(ISNUMBER(SEARCH("ANALOG",Table242[[#This Row],[Type]]))=TRUE,1,"")</f>
        <v/>
      </c>
      <c r="O137" s="1" t="str">
        <f>IF(ISNUMBER(SEARCH("BINARY",Table242[[#This Row],[Type]]))=TRUE,1,"")</f>
        <v/>
      </c>
      <c r="P137" t="str">
        <f>IF(Table242[[#This Row],[Type]]="","",LEFT(Table242[[#This Row],[Type]],1)&amp;LEFT($F$2,1))</f>
        <v/>
      </c>
      <c r="Q137" s="1"/>
      <c r="R137" s="1"/>
      <c r="S137" t="str">
        <f>IF(Table242[[#This Row],[A Counter]]=1,"AO"&amp;$F$3+SUM($N$12:N137),IF(Table242[[#This Row],[B Counter]]=1,"BO"&amp;$F$3+SUM($O$12:O137),""))</f>
        <v/>
      </c>
      <c r="T137" s="11"/>
    </row>
    <row r="138" spans="1:20" x14ac:dyDescent="0.25">
      <c r="A138">
        <f t="shared" si="2"/>
        <v>124</v>
      </c>
      <c r="B138" s="91" t="str">
        <f>IFERROR(RIGHT(Table242[[#This Row],[Controller Output '#]],3)*1,"")</f>
        <v/>
      </c>
      <c r="C138" s="91"/>
      <c r="D138" s="1"/>
      <c r="E138" s="11"/>
      <c r="F138" s="11"/>
      <c r="G138" s="11"/>
      <c r="H138" s="21"/>
      <c r="I138" s="11"/>
      <c r="J138" s="11"/>
      <c r="K138" s="11"/>
      <c r="L138" s="11"/>
      <c r="M138" s="11"/>
      <c r="N138" s="1" t="str">
        <f>IF(ISNUMBER(SEARCH("ANALOG",Table242[[#This Row],[Type]]))=TRUE,1,"")</f>
        <v/>
      </c>
      <c r="O138" s="1" t="str">
        <f>IF(ISNUMBER(SEARCH("BINARY",Table242[[#This Row],[Type]]))=TRUE,1,"")</f>
        <v/>
      </c>
      <c r="P138" t="str">
        <f>IF(Table242[[#This Row],[Type]]="","",LEFT(Table242[[#This Row],[Type]],1)&amp;LEFT($F$2,1))</f>
        <v/>
      </c>
      <c r="Q138" s="1"/>
      <c r="R138" s="1"/>
      <c r="S138" t="str">
        <f>IF(Table242[[#This Row],[A Counter]]=1,"AO"&amp;$F$3+SUM($N$12:N138),IF(Table242[[#This Row],[B Counter]]=1,"BO"&amp;$F$3+SUM($O$12:O138),""))</f>
        <v/>
      </c>
      <c r="T138" s="11"/>
    </row>
    <row r="139" spans="1:20" x14ac:dyDescent="0.25">
      <c r="A139">
        <f t="shared" si="2"/>
        <v>125</v>
      </c>
      <c r="B139" s="91" t="str">
        <f>IFERROR(RIGHT(Table242[[#This Row],[Controller Output '#]],3)*1,"")</f>
        <v/>
      </c>
      <c r="C139" s="91"/>
      <c r="D139" s="1"/>
      <c r="E139" s="11"/>
      <c r="F139" s="11"/>
      <c r="G139" s="11"/>
      <c r="H139" s="21"/>
      <c r="I139" s="11"/>
      <c r="J139" s="11"/>
      <c r="K139" s="11"/>
      <c r="L139" s="11"/>
      <c r="M139" s="11"/>
      <c r="N139" s="1" t="str">
        <f>IF(ISNUMBER(SEARCH("ANALOG",Table242[[#This Row],[Type]]))=TRUE,1,"")</f>
        <v/>
      </c>
      <c r="O139" s="1" t="str">
        <f>IF(ISNUMBER(SEARCH("BINARY",Table242[[#This Row],[Type]]))=TRUE,1,"")</f>
        <v/>
      </c>
      <c r="P139" t="str">
        <f>IF(Table242[[#This Row],[Type]]="","",LEFT(Table242[[#This Row],[Type]],1)&amp;LEFT($F$2,1))</f>
        <v/>
      </c>
      <c r="Q139" s="1"/>
      <c r="R139" s="1"/>
      <c r="S139" t="str">
        <f>IF(Table242[[#This Row],[A Counter]]=1,"AO"&amp;$F$3+SUM($N$12:N139),IF(Table242[[#This Row],[B Counter]]=1,"BO"&amp;$F$3+SUM($O$12:O139),""))</f>
        <v/>
      </c>
      <c r="T139" s="11"/>
    </row>
    <row r="140" spans="1:20" x14ac:dyDescent="0.25">
      <c r="A140">
        <f t="shared" si="2"/>
        <v>126</v>
      </c>
      <c r="B140" s="91" t="str">
        <f>IFERROR(RIGHT(Table242[[#This Row],[Controller Output '#]],3)*1,"")</f>
        <v/>
      </c>
      <c r="C140" s="91"/>
      <c r="D140" s="1"/>
      <c r="E140" s="11"/>
      <c r="F140" s="11"/>
      <c r="G140" s="11"/>
      <c r="H140" s="21"/>
      <c r="I140" s="11"/>
      <c r="J140" s="11"/>
      <c r="K140" s="11"/>
      <c r="L140" s="11"/>
      <c r="M140" s="11"/>
      <c r="N140" s="1" t="str">
        <f>IF(ISNUMBER(SEARCH("ANALOG",Table242[[#This Row],[Type]]))=TRUE,1,"")</f>
        <v/>
      </c>
      <c r="O140" s="1" t="str">
        <f>IF(ISNUMBER(SEARCH("BINARY",Table242[[#This Row],[Type]]))=TRUE,1,"")</f>
        <v/>
      </c>
      <c r="P140" t="str">
        <f>IF(Table242[[#This Row],[Type]]="","",LEFT(Table242[[#This Row],[Type]],1)&amp;LEFT($F$2,1))</f>
        <v/>
      </c>
      <c r="Q140" s="1"/>
      <c r="R140" s="1"/>
      <c r="S140" t="str">
        <f>IF(Table242[[#This Row],[A Counter]]=1,"AO"&amp;$F$3+SUM($N$12:N140),IF(Table242[[#This Row],[B Counter]]=1,"BO"&amp;$F$3+SUM($O$12:O140),""))</f>
        <v/>
      </c>
      <c r="T140" s="11"/>
    </row>
    <row r="141" spans="1:20" x14ac:dyDescent="0.25">
      <c r="A141">
        <f t="shared" si="2"/>
        <v>127</v>
      </c>
      <c r="B141" s="91" t="str">
        <f>IFERROR(RIGHT(Table242[[#This Row],[Controller Output '#]],3)*1,"")</f>
        <v/>
      </c>
      <c r="C141" s="91"/>
      <c r="D141" s="1"/>
      <c r="E141" s="11"/>
      <c r="F141" s="11"/>
      <c r="G141" s="11"/>
      <c r="H141" s="21"/>
      <c r="I141" s="11"/>
      <c r="J141" s="11"/>
      <c r="K141" s="11"/>
      <c r="L141" s="11"/>
      <c r="M141" s="11"/>
      <c r="N141" s="1" t="str">
        <f>IF(ISNUMBER(SEARCH("ANALOG",Table242[[#This Row],[Type]]))=TRUE,1,"")</f>
        <v/>
      </c>
      <c r="O141" s="1" t="str">
        <f>IF(ISNUMBER(SEARCH("BINARY",Table242[[#This Row],[Type]]))=TRUE,1,"")</f>
        <v/>
      </c>
      <c r="P141" t="str">
        <f>IF(Table242[[#This Row],[Type]]="","",LEFT(Table242[[#This Row],[Type]],1)&amp;LEFT($F$2,1))</f>
        <v/>
      </c>
      <c r="Q141" s="1"/>
      <c r="R141" s="1"/>
      <c r="S141" t="str">
        <f>IF(Table242[[#This Row],[A Counter]]=1,"AO"&amp;$F$3+SUM($N$12:N141),IF(Table242[[#This Row],[B Counter]]=1,"BO"&amp;$F$3+SUM($O$12:O141),""))</f>
        <v/>
      </c>
      <c r="T141" s="11"/>
    </row>
    <row r="142" spans="1:20" x14ac:dyDescent="0.25">
      <c r="A142">
        <f t="shared" si="2"/>
        <v>128</v>
      </c>
      <c r="B142" s="91" t="str">
        <f>IFERROR(RIGHT(Table242[[#This Row],[Controller Output '#]],3)*1,"")</f>
        <v/>
      </c>
      <c r="C142" s="91"/>
      <c r="D142" s="1"/>
      <c r="E142" s="11"/>
      <c r="F142" s="11"/>
      <c r="G142" s="11"/>
      <c r="H142" s="21"/>
      <c r="I142" s="11"/>
      <c r="J142" s="11"/>
      <c r="K142" s="11"/>
      <c r="L142" s="11"/>
      <c r="M142" s="11"/>
      <c r="N142" s="1" t="str">
        <f>IF(ISNUMBER(SEARCH("ANALOG",Table242[[#This Row],[Type]]))=TRUE,1,"")</f>
        <v/>
      </c>
      <c r="O142" s="1" t="str">
        <f>IF(ISNUMBER(SEARCH("BINARY",Table242[[#This Row],[Type]]))=TRUE,1,"")</f>
        <v/>
      </c>
      <c r="P142" t="str">
        <f>IF(Table242[[#This Row],[Type]]="","",LEFT(Table242[[#This Row],[Type]],1)&amp;LEFT($F$2,1))</f>
        <v/>
      </c>
      <c r="Q142" s="1"/>
      <c r="R142" s="1"/>
      <c r="S142" t="str">
        <f>IF(Table242[[#This Row],[A Counter]]=1,"AO"&amp;$F$3+SUM($N$12:N142),IF(Table242[[#This Row],[B Counter]]=1,"BO"&amp;$F$3+SUM($O$12:O142),""))</f>
        <v/>
      </c>
      <c r="T142" s="11"/>
    </row>
    <row r="143" spans="1:20" x14ac:dyDescent="0.25">
      <c r="A143">
        <f t="shared" si="2"/>
        <v>129</v>
      </c>
      <c r="B143" s="91" t="str">
        <f>IFERROR(RIGHT(Table242[[#This Row],[Controller Output '#]],3)*1,"")</f>
        <v/>
      </c>
      <c r="C143" s="91"/>
      <c r="D143" s="1"/>
      <c r="E143" s="1"/>
      <c r="F143" s="1"/>
      <c r="G143" s="1"/>
      <c r="H143" s="8"/>
      <c r="I143" s="1"/>
      <c r="J143" s="1"/>
      <c r="K143" s="3"/>
      <c r="L143" s="1"/>
      <c r="M143" s="1"/>
      <c r="N143" s="1" t="str">
        <f>IF(ISNUMBER(SEARCH("ANALOG",Table242[[#This Row],[Type]]))=TRUE,1,"")</f>
        <v/>
      </c>
      <c r="O143" s="1" t="str">
        <f>IF(ISNUMBER(SEARCH("BINARY",Table242[[#This Row],[Type]]))=TRUE,1,"")</f>
        <v/>
      </c>
      <c r="P143" t="str">
        <f>IF(Table242[[#This Row],[Type]]="","",LEFT(Table242[[#This Row],[Type]],1)&amp;LEFT($F$2,1))</f>
        <v/>
      </c>
      <c r="Q143" s="1"/>
      <c r="R143" s="1"/>
      <c r="S143" t="str">
        <f>IF(Table242[[#This Row],[A Counter]]=1,"AO"&amp;$F$3+SUM($N$12:N143),IF(Table242[[#This Row],[B Counter]]=1,"BO"&amp;$F$3+SUM($O$12:O143),""))</f>
        <v/>
      </c>
      <c r="T143" s="11"/>
    </row>
    <row r="144" spans="1:20" x14ac:dyDescent="0.25">
      <c r="A144">
        <f t="shared" si="2"/>
        <v>130</v>
      </c>
      <c r="B144" s="91" t="str">
        <f>IFERROR(RIGHT(Table242[[#This Row],[Controller Output '#]],3)*1,"")</f>
        <v/>
      </c>
      <c r="C144" s="91"/>
      <c r="D144" s="1"/>
      <c r="E144" s="1"/>
      <c r="F144" s="1"/>
      <c r="G144" s="1"/>
      <c r="H144" s="8"/>
      <c r="I144" s="1"/>
      <c r="J144" s="1"/>
      <c r="K144" s="3"/>
      <c r="L144" s="1"/>
      <c r="M144" s="1"/>
      <c r="N144" s="1" t="str">
        <f>IF(ISNUMBER(SEARCH("ANALOG",Table242[[#This Row],[Type]]))=TRUE,1,"")</f>
        <v/>
      </c>
      <c r="O144" s="1" t="str">
        <f>IF(ISNUMBER(SEARCH("BINARY",Table242[[#This Row],[Type]]))=TRUE,1,"")</f>
        <v/>
      </c>
      <c r="P144" t="str">
        <f>IF(Table242[[#This Row],[Type]]="","",LEFT(Table242[[#This Row],[Type]],1)&amp;LEFT($F$2,1))</f>
        <v/>
      </c>
      <c r="Q144" s="1"/>
      <c r="R144" s="1"/>
      <c r="S144" t="str">
        <f>IF(Table242[[#This Row],[A Counter]]=1,"AO"&amp;$F$3+SUM($N$12:N144),IF(Table242[[#This Row],[B Counter]]=1,"BO"&amp;$F$3+SUM($O$12:O144),""))</f>
        <v/>
      </c>
      <c r="T144" s="11"/>
    </row>
    <row r="145" spans="1:20" x14ac:dyDescent="0.25">
      <c r="A145">
        <f t="shared" ref="A145:A204" si="3">A144+1</f>
        <v>131</v>
      </c>
      <c r="B145" s="91" t="str">
        <f>IFERROR(RIGHT(Table242[[#This Row],[Controller Output '#]],3)*1,"")</f>
        <v/>
      </c>
      <c r="C145" s="91"/>
      <c r="D145" s="1"/>
      <c r="E145" s="1"/>
      <c r="F145" s="1"/>
      <c r="G145" s="1"/>
      <c r="H145" s="8"/>
      <c r="I145" s="1"/>
      <c r="J145" s="1"/>
      <c r="K145" s="3"/>
      <c r="L145" s="1"/>
      <c r="M145" s="1"/>
      <c r="N145" s="1" t="str">
        <f>IF(ISNUMBER(SEARCH("ANALOG",Table242[[#This Row],[Type]]))=TRUE,1,"")</f>
        <v/>
      </c>
      <c r="O145" s="1" t="str">
        <f>IF(ISNUMBER(SEARCH("BINARY",Table242[[#This Row],[Type]]))=TRUE,1,"")</f>
        <v/>
      </c>
      <c r="P145" t="str">
        <f>IF(Table242[[#This Row],[Type]]="","",LEFT(Table242[[#This Row],[Type]],1)&amp;LEFT($F$2,1))</f>
        <v/>
      </c>
      <c r="Q145" s="1"/>
      <c r="R145" s="1"/>
      <c r="S145" t="str">
        <f>IF(Table242[[#This Row],[A Counter]]=1,"AO"&amp;$F$3+SUM($N$12:N145),IF(Table242[[#This Row],[B Counter]]=1,"BO"&amp;$F$3+SUM($O$12:O145),""))</f>
        <v/>
      </c>
      <c r="T145" s="11"/>
    </row>
    <row r="146" spans="1:20" x14ac:dyDescent="0.25">
      <c r="A146">
        <f t="shared" si="3"/>
        <v>132</v>
      </c>
      <c r="B146" s="91" t="str">
        <f>IFERROR(RIGHT(Table242[[#This Row],[Controller Output '#]],3)*1,"")</f>
        <v/>
      </c>
      <c r="C146" s="91"/>
      <c r="D146" s="1"/>
      <c r="E146" s="11"/>
      <c r="F146" s="11"/>
      <c r="G146" s="11"/>
      <c r="H146" s="21"/>
      <c r="I146" s="11"/>
      <c r="J146" s="11"/>
      <c r="K146" s="22"/>
      <c r="L146" s="11"/>
      <c r="M146" s="11"/>
      <c r="N146" s="1" t="str">
        <f>IF(ISNUMBER(SEARCH("ANALOG",Table242[[#This Row],[Type]]))=TRUE,1,"")</f>
        <v/>
      </c>
      <c r="O146" s="1" t="str">
        <f>IF(ISNUMBER(SEARCH("BINARY",Table242[[#This Row],[Type]]))=TRUE,1,"")</f>
        <v/>
      </c>
      <c r="P146" t="str">
        <f>IF(Table242[[#This Row],[Type]]="","",LEFT(Table242[[#This Row],[Type]],1)&amp;LEFT($F$2,1))</f>
        <v/>
      </c>
      <c r="Q146" s="1"/>
      <c r="R146" s="1"/>
      <c r="S146" t="str">
        <f>IF(Table242[[#This Row],[A Counter]]=1,"AO"&amp;$F$3+SUM($N$12:N146),IF(Table242[[#This Row],[B Counter]]=1,"BO"&amp;$F$3+SUM($O$12:O146),""))</f>
        <v/>
      </c>
      <c r="T146" s="11"/>
    </row>
    <row r="147" spans="1:20" x14ac:dyDescent="0.25">
      <c r="A147">
        <f t="shared" si="3"/>
        <v>133</v>
      </c>
      <c r="B147" s="91" t="str">
        <f>IFERROR(RIGHT(Table242[[#This Row],[Controller Output '#]],3)*1,"")</f>
        <v/>
      </c>
      <c r="C147" s="91"/>
      <c r="D147" s="1"/>
      <c r="E147" s="1"/>
      <c r="F147" s="1"/>
      <c r="G147" s="1"/>
      <c r="H147" s="8"/>
      <c r="I147" s="1"/>
      <c r="J147" s="1"/>
      <c r="K147" s="3"/>
      <c r="L147" s="1"/>
      <c r="M147" s="1"/>
      <c r="N147" s="1" t="str">
        <f>IF(ISNUMBER(SEARCH("ANALOG",Table242[[#This Row],[Type]]))=TRUE,1,"")</f>
        <v/>
      </c>
      <c r="O147" s="1" t="str">
        <f>IF(ISNUMBER(SEARCH("BINARY",Table242[[#This Row],[Type]]))=TRUE,1,"")</f>
        <v/>
      </c>
      <c r="P147" t="str">
        <f>IF(Table242[[#This Row],[Type]]="","",LEFT(Table242[[#This Row],[Type]],1)&amp;LEFT($F$2,1))</f>
        <v/>
      </c>
      <c r="Q147" s="1"/>
      <c r="R147" s="1"/>
      <c r="S147" t="str">
        <f>IF(Table242[[#This Row],[A Counter]]=1,"AO"&amp;$F$3+SUM($N$12:N147),IF(Table242[[#This Row],[B Counter]]=1,"BO"&amp;$F$3+SUM($O$12:O147),""))</f>
        <v/>
      </c>
      <c r="T147" s="11"/>
    </row>
    <row r="148" spans="1:20" x14ac:dyDescent="0.25">
      <c r="A148">
        <f t="shared" si="3"/>
        <v>134</v>
      </c>
      <c r="B148" s="91" t="str">
        <f>IFERROR(RIGHT(Table242[[#This Row],[Controller Output '#]],3)*1,"")</f>
        <v/>
      </c>
      <c r="C148" s="91"/>
      <c r="D148" s="1"/>
      <c r="E148" s="11"/>
      <c r="F148" s="11"/>
      <c r="G148" s="11"/>
      <c r="H148" s="21"/>
      <c r="I148" s="11"/>
      <c r="J148" s="11"/>
      <c r="K148" s="22"/>
      <c r="L148" s="11"/>
      <c r="M148" s="11"/>
      <c r="N148" s="1" t="str">
        <f>IF(ISNUMBER(SEARCH("ANALOG",Table242[[#This Row],[Type]]))=TRUE,1,"")</f>
        <v/>
      </c>
      <c r="O148" s="1" t="str">
        <f>IF(ISNUMBER(SEARCH("BINARY",Table242[[#This Row],[Type]]))=TRUE,1,"")</f>
        <v/>
      </c>
      <c r="P148" t="str">
        <f>IF(Table242[[#This Row],[Type]]="","",LEFT(Table242[[#This Row],[Type]],1)&amp;LEFT($F$2,1))</f>
        <v/>
      </c>
      <c r="Q148" s="1"/>
      <c r="R148" s="1"/>
      <c r="S148" t="str">
        <f>IF(Table242[[#This Row],[A Counter]]=1,"AO"&amp;$F$3+SUM($N$12:N148),IF(Table242[[#This Row],[B Counter]]=1,"BO"&amp;$F$3+SUM($O$12:O148),""))</f>
        <v/>
      </c>
      <c r="T148" s="11"/>
    </row>
    <row r="149" spans="1:20" x14ac:dyDescent="0.25">
      <c r="A149">
        <f t="shared" si="3"/>
        <v>135</v>
      </c>
      <c r="B149" s="91" t="str">
        <f>IFERROR(RIGHT(Table242[[#This Row],[Controller Output '#]],3)*1,"")</f>
        <v/>
      </c>
      <c r="C149" s="91"/>
      <c r="D149" s="1"/>
      <c r="E149" s="1"/>
      <c r="F149" s="1"/>
      <c r="G149" s="1"/>
      <c r="H149" s="8"/>
      <c r="I149" s="1"/>
      <c r="J149" s="1"/>
      <c r="K149" s="3"/>
      <c r="L149" s="1"/>
      <c r="M149" s="1"/>
      <c r="N149" s="1" t="str">
        <f>IF(ISNUMBER(SEARCH("ANALOG",Table242[[#This Row],[Type]]))=TRUE,1,"")</f>
        <v/>
      </c>
      <c r="O149" s="1" t="str">
        <f>IF(ISNUMBER(SEARCH("BINARY",Table242[[#This Row],[Type]]))=TRUE,1,"")</f>
        <v/>
      </c>
      <c r="P149" t="str">
        <f>IF(Table242[[#This Row],[Type]]="","",LEFT(Table242[[#This Row],[Type]],1)&amp;LEFT($F$2,1))</f>
        <v/>
      </c>
      <c r="Q149" s="1"/>
      <c r="R149" s="1"/>
      <c r="S149" t="str">
        <f>IF(Table242[[#This Row],[A Counter]]=1,"AO"&amp;$F$3+SUM($N$12:N149),IF(Table242[[#This Row],[B Counter]]=1,"BO"&amp;$F$3+SUM($O$12:O149),""))</f>
        <v/>
      </c>
      <c r="T149" s="11"/>
    </row>
    <row r="150" spans="1:20" x14ac:dyDescent="0.25">
      <c r="A150">
        <f t="shared" si="3"/>
        <v>136</v>
      </c>
      <c r="B150" s="91" t="str">
        <f>IFERROR(RIGHT(Table242[[#This Row],[Controller Output '#]],3)*1,"")</f>
        <v/>
      </c>
      <c r="C150" s="91"/>
      <c r="D150" s="1"/>
      <c r="E150" s="11"/>
      <c r="F150" s="11"/>
      <c r="G150" s="11"/>
      <c r="H150" s="21"/>
      <c r="I150" s="11"/>
      <c r="J150" s="11"/>
      <c r="K150" s="22"/>
      <c r="L150" s="11"/>
      <c r="M150" s="11"/>
      <c r="N150" s="1" t="str">
        <f>IF(ISNUMBER(SEARCH("ANALOG",Table242[[#This Row],[Type]]))=TRUE,1,"")</f>
        <v/>
      </c>
      <c r="O150" s="1" t="str">
        <f>IF(ISNUMBER(SEARCH("BINARY",Table242[[#This Row],[Type]]))=TRUE,1,"")</f>
        <v/>
      </c>
      <c r="P150" t="str">
        <f>IF(Table242[[#This Row],[Type]]="","",LEFT(Table242[[#This Row],[Type]],1)&amp;LEFT($F$2,1))</f>
        <v/>
      </c>
      <c r="Q150" s="1"/>
      <c r="R150" s="1"/>
      <c r="S150" t="str">
        <f>IF(Table242[[#This Row],[A Counter]]=1,"AO"&amp;$F$3+SUM($N$12:N150),IF(Table242[[#This Row],[B Counter]]=1,"BO"&amp;$F$3+SUM($O$12:O150),""))</f>
        <v/>
      </c>
      <c r="T150" s="11"/>
    </row>
    <row r="151" spans="1:20" x14ac:dyDescent="0.25">
      <c r="A151">
        <f t="shared" si="3"/>
        <v>137</v>
      </c>
      <c r="B151" s="91" t="str">
        <f>IFERROR(RIGHT(Table242[[#This Row],[Controller Output '#]],3)*1,"")</f>
        <v/>
      </c>
      <c r="C151" s="91"/>
      <c r="D151" s="1"/>
      <c r="E151" s="1"/>
      <c r="F151" s="1"/>
      <c r="G151" s="1"/>
      <c r="H151" s="8"/>
      <c r="I151" s="1"/>
      <c r="J151" s="1"/>
      <c r="K151" s="3"/>
      <c r="L151" s="1"/>
      <c r="M151" s="1"/>
      <c r="N151" s="1" t="str">
        <f>IF(ISNUMBER(SEARCH("ANALOG",Table242[[#This Row],[Type]]))=TRUE,1,"")</f>
        <v/>
      </c>
      <c r="O151" s="1" t="str">
        <f>IF(ISNUMBER(SEARCH("BINARY",Table242[[#This Row],[Type]]))=TRUE,1,"")</f>
        <v/>
      </c>
      <c r="P151" t="str">
        <f>IF(Table242[[#This Row],[Type]]="","",LEFT(Table242[[#This Row],[Type]],1)&amp;LEFT($F$2,1))</f>
        <v/>
      </c>
      <c r="Q151" s="1"/>
      <c r="R151" s="1"/>
      <c r="S151" t="str">
        <f>IF(Table242[[#This Row],[A Counter]]=1,"AO"&amp;$F$3+SUM($N$12:N151),IF(Table242[[#This Row],[B Counter]]=1,"BO"&amp;$F$3+SUM($O$12:O151),""))</f>
        <v/>
      </c>
      <c r="T151" s="11"/>
    </row>
    <row r="152" spans="1:20" x14ac:dyDescent="0.25">
      <c r="A152">
        <f t="shared" si="3"/>
        <v>138</v>
      </c>
      <c r="B152" s="91" t="str">
        <f>IFERROR(RIGHT(Table242[[#This Row],[Controller Output '#]],3)*1,"")</f>
        <v/>
      </c>
      <c r="C152" s="91"/>
      <c r="D152" s="1"/>
      <c r="E152" s="1"/>
      <c r="F152" s="1"/>
      <c r="G152" s="1"/>
      <c r="H152" s="8"/>
      <c r="I152" s="1"/>
      <c r="J152" s="1"/>
      <c r="K152" s="3"/>
      <c r="L152" s="1"/>
      <c r="M152" s="1"/>
      <c r="N152" s="1" t="str">
        <f>IF(ISNUMBER(SEARCH("ANALOG",Table242[[#This Row],[Type]]))=TRUE,1,"")</f>
        <v/>
      </c>
      <c r="O152" s="1" t="str">
        <f>IF(ISNUMBER(SEARCH("BINARY",Table242[[#This Row],[Type]]))=TRUE,1,"")</f>
        <v/>
      </c>
      <c r="P152" t="str">
        <f>IF(Table242[[#This Row],[Type]]="","",LEFT(Table242[[#This Row],[Type]],1)&amp;LEFT($F$2,1))</f>
        <v/>
      </c>
      <c r="Q152" s="1"/>
      <c r="R152" s="1"/>
      <c r="S152" t="str">
        <f>IF(Table242[[#This Row],[A Counter]]=1,"AO"&amp;$F$3+SUM($N$12:N152),IF(Table242[[#This Row],[B Counter]]=1,"BO"&amp;$F$3+SUM($O$12:O152),""))</f>
        <v/>
      </c>
      <c r="T152" s="11"/>
    </row>
    <row r="153" spans="1:20" x14ac:dyDescent="0.25">
      <c r="A153">
        <f t="shared" si="3"/>
        <v>139</v>
      </c>
      <c r="B153" s="91" t="str">
        <f>IFERROR(RIGHT(Table242[[#This Row],[Controller Output '#]],3)*1,"")</f>
        <v/>
      </c>
      <c r="C153" s="91"/>
      <c r="D153" s="1"/>
      <c r="E153" s="1"/>
      <c r="F153" s="1"/>
      <c r="G153" s="1"/>
      <c r="H153" s="8"/>
      <c r="I153" s="1"/>
      <c r="J153" s="1"/>
      <c r="K153" s="3"/>
      <c r="L153" s="1"/>
      <c r="M153" s="1"/>
      <c r="N153" s="1" t="str">
        <f>IF(ISNUMBER(SEARCH("ANALOG",Table242[[#This Row],[Type]]))=TRUE,1,"")</f>
        <v/>
      </c>
      <c r="O153" s="1" t="str">
        <f>IF(ISNUMBER(SEARCH("BINARY",Table242[[#This Row],[Type]]))=TRUE,1,"")</f>
        <v/>
      </c>
      <c r="P153" t="str">
        <f>IF(Table242[[#This Row],[Type]]="","",LEFT(Table242[[#This Row],[Type]],1)&amp;LEFT($F$2,1))</f>
        <v/>
      </c>
      <c r="Q153" s="1"/>
      <c r="R153" s="1"/>
      <c r="S153" t="str">
        <f>IF(Table242[[#This Row],[A Counter]]=1,"AO"&amp;$F$3+SUM($N$12:N153),IF(Table242[[#This Row],[B Counter]]=1,"BO"&amp;$F$3+SUM($O$12:O153),""))</f>
        <v/>
      </c>
      <c r="T153" s="11"/>
    </row>
    <row r="154" spans="1:20" x14ac:dyDescent="0.25">
      <c r="A154">
        <f t="shared" si="3"/>
        <v>140</v>
      </c>
      <c r="B154" s="91" t="str">
        <f>IFERROR(RIGHT(Table242[[#This Row],[Controller Output '#]],3)*1,"")</f>
        <v/>
      </c>
      <c r="C154" s="91"/>
      <c r="D154" s="1"/>
      <c r="E154" s="11"/>
      <c r="F154" s="11"/>
      <c r="G154" s="11"/>
      <c r="H154" s="21"/>
      <c r="I154" s="11"/>
      <c r="J154" s="11"/>
      <c r="K154" s="22"/>
      <c r="L154" s="1"/>
      <c r="M154" s="1"/>
      <c r="N154" s="1" t="str">
        <f>IF(ISNUMBER(SEARCH("ANALOG",Table242[[#This Row],[Type]]))=TRUE,1,"")</f>
        <v/>
      </c>
      <c r="O154" s="1" t="str">
        <f>IF(ISNUMBER(SEARCH("BINARY",Table242[[#This Row],[Type]]))=TRUE,1,"")</f>
        <v/>
      </c>
      <c r="P154" t="str">
        <f>IF(Table242[[#This Row],[Type]]="","",LEFT(Table242[[#This Row],[Type]],1)&amp;LEFT($F$2,1))</f>
        <v/>
      </c>
      <c r="Q154" s="1"/>
      <c r="R154" s="1"/>
      <c r="S154" t="str">
        <f>IF(Table242[[#This Row],[A Counter]]=1,"AO"&amp;$F$3+SUM($N$12:N154),IF(Table242[[#This Row],[B Counter]]=1,"BO"&amp;$F$3+SUM($O$12:O154),""))</f>
        <v/>
      </c>
      <c r="T154" s="11"/>
    </row>
    <row r="155" spans="1:20" x14ac:dyDescent="0.25">
      <c r="A155">
        <f t="shared" si="3"/>
        <v>141</v>
      </c>
      <c r="B155" s="91" t="str">
        <f>IFERROR(RIGHT(Table242[[#This Row],[Controller Output '#]],3)*1,"")</f>
        <v/>
      </c>
      <c r="C155" s="91"/>
      <c r="D155" s="1"/>
      <c r="E155" s="1"/>
      <c r="F155" s="1"/>
      <c r="G155" s="1"/>
      <c r="H155" s="8"/>
      <c r="I155" s="1"/>
      <c r="J155" s="1"/>
      <c r="K155" s="1"/>
      <c r="L155" s="1"/>
      <c r="M155" s="1"/>
      <c r="N155" s="1" t="str">
        <f>IF(ISNUMBER(SEARCH("ANALOG",Table242[[#This Row],[Type]]))=TRUE,1,"")</f>
        <v/>
      </c>
      <c r="O155" s="1" t="str">
        <f>IF(ISNUMBER(SEARCH("BINARY",Table242[[#This Row],[Type]]))=TRUE,1,"")</f>
        <v/>
      </c>
      <c r="P155" t="str">
        <f>IF(Table242[[#This Row],[Type]]="","",LEFT(Table242[[#This Row],[Type]],1)&amp;LEFT($F$2,1))</f>
        <v/>
      </c>
      <c r="Q155" s="1"/>
      <c r="R155" s="1"/>
      <c r="S155" t="str">
        <f>IF(Table242[[#This Row],[A Counter]]=1,"AO"&amp;$F$3+SUM($N$12:N155),IF(Table242[[#This Row],[B Counter]]=1,"BO"&amp;$F$3+SUM($O$12:O155),""))</f>
        <v/>
      </c>
      <c r="T155" s="11"/>
    </row>
    <row r="156" spans="1:20" x14ac:dyDescent="0.25">
      <c r="A156">
        <f t="shared" si="3"/>
        <v>142</v>
      </c>
      <c r="B156" s="91" t="str">
        <f>IFERROR(RIGHT(Table242[[#This Row],[Controller Output '#]],3)*1,"")</f>
        <v/>
      </c>
      <c r="C156" s="91"/>
      <c r="D156" s="1"/>
      <c r="E156" s="1"/>
      <c r="F156" s="1"/>
      <c r="G156" s="1"/>
      <c r="H156" s="8"/>
      <c r="I156" s="1"/>
      <c r="J156" s="1"/>
      <c r="K156" s="1"/>
      <c r="L156" s="1"/>
      <c r="M156" s="1"/>
      <c r="N156" s="1" t="str">
        <f>IF(ISNUMBER(SEARCH("ANALOG",Table242[[#This Row],[Type]]))=TRUE,1,"")</f>
        <v/>
      </c>
      <c r="O156" s="1" t="str">
        <f>IF(ISNUMBER(SEARCH("BINARY",Table242[[#This Row],[Type]]))=TRUE,1,"")</f>
        <v/>
      </c>
      <c r="P156" t="str">
        <f>IF(Table242[[#This Row],[Type]]="","",LEFT(Table242[[#This Row],[Type]],1)&amp;LEFT($F$2,1))</f>
        <v/>
      </c>
      <c r="Q156" s="1"/>
      <c r="R156" s="1"/>
      <c r="S156" t="str">
        <f>IF(Table242[[#This Row],[A Counter]]=1,"AO"&amp;$F$3+SUM($N$12:N156),IF(Table242[[#This Row],[B Counter]]=1,"BO"&amp;$F$3+SUM($O$12:O156),""))</f>
        <v/>
      </c>
      <c r="T156" s="11"/>
    </row>
    <row r="157" spans="1:20" x14ac:dyDescent="0.25">
      <c r="A157">
        <f t="shared" si="3"/>
        <v>143</v>
      </c>
      <c r="B157" s="91" t="str">
        <f>IFERROR(RIGHT(Table242[[#This Row],[Controller Output '#]],3)*1,"")</f>
        <v/>
      </c>
      <c r="C157" s="91"/>
      <c r="D157" s="1"/>
      <c r="E157" s="1"/>
      <c r="F157" s="1"/>
      <c r="G157" s="1"/>
      <c r="H157" s="8"/>
      <c r="I157" s="1"/>
      <c r="J157" s="1"/>
      <c r="K157" s="1"/>
      <c r="L157" s="1"/>
      <c r="M157" s="1"/>
      <c r="N157" s="1" t="str">
        <f>IF(ISNUMBER(SEARCH("ANALOG",Table242[[#This Row],[Type]]))=TRUE,1,"")</f>
        <v/>
      </c>
      <c r="O157" s="1" t="str">
        <f>IF(ISNUMBER(SEARCH("BINARY",Table242[[#This Row],[Type]]))=TRUE,1,"")</f>
        <v/>
      </c>
      <c r="P157" t="str">
        <f>IF(Table242[[#This Row],[Type]]="","",LEFT(Table242[[#This Row],[Type]],1)&amp;LEFT($F$2,1))</f>
        <v/>
      </c>
      <c r="Q157" s="1"/>
      <c r="R157" s="1"/>
      <c r="S157" t="str">
        <f>IF(Table242[[#This Row],[A Counter]]=1,"AO"&amp;$F$3+SUM($N$12:N157),IF(Table242[[#This Row],[B Counter]]=1,"BO"&amp;$F$3+SUM($O$12:O157),""))</f>
        <v/>
      </c>
      <c r="T157" s="11"/>
    </row>
    <row r="158" spans="1:20" x14ac:dyDescent="0.25">
      <c r="A158">
        <f t="shared" si="3"/>
        <v>144</v>
      </c>
      <c r="B158" s="91" t="str">
        <f>IFERROR(RIGHT(Table242[[#This Row],[Controller Output '#]],3)*1,"")</f>
        <v/>
      </c>
      <c r="C158" s="91"/>
      <c r="D158" s="1"/>
      <c r="E158" s="1"/>
      <c r="F158" s="1"/>
      <c r="G158" s="1"/>
      <c r="H158" s="8"/>
      <c r="I158" s="1"/>
      <c r="J158" s="1"/>
      <c r="K158" s="1"/>
      <c r="L158" s="1"/>
      <c r="M158" s="1"/>
      <c r="N158" s="1" t="str">
        <f>IF(ISNUMBER(SEARCH("ANALOG",Table242[[#This Row],[Type]]))=TRUE,1,"")</f>
        <v/>
      </c>
      <c r="O158" s="1" t="str">
        <f>IF(ISNUMBER(SEARCH("BINARY",Table242[[#This Row],[Type]]))=TRUE,1,"")</f>
        <v/>
      </c>
      <c r="P158" t="str">
        <f>IF(Table242[[#This Row],[Type]]="","",LEFT(Table242[[#This Row],[Type]],1)&amp;LEFT($F$2,1))</f>
        <v/>
      </c>
      <c r="Q158" s="1"/>
      <c r="R158" s="1"/>
      <c r="S158" t="str">
        <f>IF(Table242[[#This Row],[A Counter]]=1,"AO"&amp;$F$3+SUM($N$12:N158),IF(Table242[[#This Row],[B Counter]]=1,"BO"&amp;$F$3+SUM($O$12:O158),""))</f>
        <v/>
      </c>
      <c r="T158" s="11"/>
    </row>
    <row r="159" spans="1:20" x14ac:dyDescent="0.25">
      <c r="A159">
        <f t="shared" si="3"/>
        <v>145</v>
      </c>
      <c r="B159" s="91" t="str">
        <f>IFERROR(RIGHT(Table242[[#This Row],[Controller Output '#]],3)*1,"")</f>
        <v/>
      </c>
      <c r="C159" s="91"/>
      <c r="D159" s="1"/>
      <c r="E159" s="1"/>
      <c r="F159" s="1"/>
      <c r="G159" s="1"/>
      <c r="H159" s="8"/>
      <c r="I159" s="1"/>
      <c r="J159" s="1"/>
      <c r="K159" s="1"/>
      <c r="L159" s="1"/>
      <c r="M159" s="1"/>
      <c r="N159" s="1" t="str">
        <f>IF(ISNUMBER(SEARCH("ANALOG",Table242[[#This Row],[Type]]))=TRUE,1,"")</f>
        <v/>
      </c>
      <c r="O159" s="1" t="str">
        <f>IF(ISNUMBER(SEARCH("BINARY",Table242[[#This Row],[Type]]))=TRUE,1,"")</f>
        <v/>
      </c>
      <c r="P159" t="str">
        <f>IF(Table242[[#This Row],[Type]]="","",LEFT(Table242[[#This Row],[Type]],1)&amp;LEFT($F$2,1))</f>
        <v/>
      </c>
      <c r="Q159" s="1"/>
      <c r="R159" s="1"/>
      <c r="S159" t="str">
        <f>IF(Table242[[#This Row],[A Counter]]=1,"AO"&amp;$F$3+SUM($N$12:N159),IF(Table242[[#This Row],[B Counter]]=1,"BO"&amp;$F$3+SUM($O$12:O159),""))</f>
        <v/>
      </c>
      <c r="T159" s="11"/>
    </row>
    <row r="160" spans="1:20" x14ac:dyDescent="0.25">
      <c r="A160">
        <f t="shared" si="3"/>
        <v>146</v>
      </c>
      <c r="B160" s="91" t="str">
        <f>IFERROR(RIGHT(Table242[[#This Row],[Controller Output '#]],3)*1,"")</f>
        <v/>
      </c>
      <c r="C160" s="91"/>
      <c r="D160" s="1"/>
      <c r="E160" s="1"/>
      <c r="F160" s="1"/>
      <c r="G160" s="1"/>
      <c r="H160" s="8"/>
      <c r="I160" s="1"/>
      <c r="J160" s="1"/>
      <c r="K160" s="1"/>
      <c r="L160" s="1"/>
      <c r="M160" s="1"/>
      <c r="N160" s="1" t="str">
        <f>IF(ISNUMBER(SEARCH("ANALOG",Table242[[#This Row],[Type]]))=TRUE,1,"")</f>
        <v/>
      </c>
      <c r="O160" s="1" t="str">
        <f>IF(ISNUMBER(SEARCH("BINARY",Table242[[#This Row],[Type]]))=TRUE,1,"")</f>
        <v/>
      </c>
      <c r="P160" t="str">
        <f>IF(Table242[[#This Row],[Type]]="","",LEFT(Table242[[#This Row],[Type]],1)&amp;LEFT($F$2,1))</f>
        <v/>
      </c>
      <c r="Q160" s="1"/>
      <c r="R160" s="1"/>
      <c r="S160" t="str">
        <f>IF(Table242[[#This Row],[A Counter]]=1,"AO"&amp;$F$3+SUM($N$12:N160),IF(Table242[[#This Row],[B Counter]]=1,"BO"&amp;$F$3+SUM($O$12:O160),""))</f>
        <v/>
      </c>
      <c r="T160" s="11"/>
    </row>
    <row r="161" spans="1:20" x14ac:dyDescent="0.25">
      <c r="A161">
        <f t="shared" si="3"/>
        <v>147</v>
      </c>
      <c r="B161" s="91" t="str">
        <f>IFERROR(RIGHT(Table242[[#This Row],[Controller Output '#]],3)*1,"")</f>
        <v/>
      </c>
      <c r="C161" s="91"/>
      <c r="D161" s="1"/>
      <c r="E161" s="1"/>
      <c r="F161" s="1"/>
      <c r="G161" s="1"/>
      <c r="H161" s="8"/>
      <c r="I161" s="1"/>
      <c r="J161" s="1"/>
      <c r="K161" s="3"/>
      <c r="L161" s="1"/>
      <c r="M161" s="1"/>
      <c r="N161" s="1" t="str">
        <f>IF(ISNUMBER(SEARCH("ANALOG",Table242[[#This Row],[Type]]))=TRUE,1,"")</f>
        <v/>
      </c>
      <c r="O161" s="1" t="str">
        <f>IF(ISNUMBER(SEARCH("BINARY",Table242[[#This Row],[Type]]))=TRUE,1,"")</f>
        <v/>
      </c>
      <c r="P161" t="str">
        <f>IF(Table242[[#This Row],[Type]]="","",LEFT(Table242[[#This Row],[Type]],1)&amp;LEFT($F$2,1))</f>
        <v/>
      </c>
      <c r="Q161" s="1"/>
      <c r="R161" s="1"/>
      <c r="S161" t="str">
        <f>IF(Table242[[#This Row],[A Counter]]=1,"AO"&amp;$F$3+SUM($N$12:N161),IF(Table242[[#This Row],[B Counter]]=1,"BO"&amp;$F$3+SUM($O$12:O161),""))</f>
        <v/>
      </c>
      <c r="T161" s="1"/>
    </row>
    <row r="162" spans="1:20" x14ac:dyDescent="0.25">
      <c r="A162">
        <f t="shared" si="3"/>
        <v>148</v>
      </c>
      <c r="B162" s="91" t="str">
        <f>IFERROR(RIGHT(Table242[[#This Row],[Controller Output '#]],3)*1,"")</f>
        <v/>
      </c>
      <c r="C162" s="91"/>
      <c r="D162" s="1"/>
      <c r="E162" s="11"/>
      <c r="F162" s="11"/>
      <c r="G162" s="11"/>
      <c r="H162" s="21"/>
      <c r="I162" s="11"/>
      <c r="J162" s="11"/>
      <c r="K162" s="22"/>
      <c r="L162" s="1"/>
      <c r="M162" s="1"/>
      <c r="N162" s="1" t="str">
        <f>IF(ISNUMBER(SEARCH("ANALOG",Table242[[#This Row],[Type]]))=TRUE,1,"")</f>
        <v/>
      </c>
      <c r="O162" s="1" t="str">
        <f>IF(ISNUMBER(SEARCH("BINARY",Table242[[#This Row],[Type]]))=TRUE,1,"")</f>
        <v/>
      </c>
      <c r="P162" t="str">
        <f>IF(Table242[[#This Row],[Type]]="","",LEFT(Table242[[#This Row],[Type]],1)&amp;LEFT($F$2,1))</f>
        <v/>
      </c>
      <c r="Q162" s="1"/>
      <c r="R162" s="1"/>
      <c r="S162" t="str">
        <f>IF(Table242[[#This Row],[A Counter]]=1,"AO"&amp;$F$3+SUM($N$12:N162),IF(Table242[[#This Row],[B Counter]]=1,"BO"&amp;$F$3+SUM($O$12:O162),""))</f>
        <v/>
      </c>
      <c r="T162" s="1"/>
    </row>
    <row r="163" spans="1:20" x14ac:dyDescent="0.25">
      <c r="A163">
        <f t="shared" si="3"/>
        <v>149</v>
      </c>
      <c r="B163" s="91" t="str">
        <f>IFERROR(RIGHT(Table242[[#This Row],[Controller Output '#]],3)*1,"")</f>
        <v/>
      </c>
      <c r="C163" s="91"/>
      <c r="D163" s="1"/>
      <c r="E163" s="11"/>
      <c r="F163" s="11"/>
      <c r="G163" s="11"/>
      <c r="H163" s="21"/>
      <c r="I163" s="11"/>
      <c r="J163" s="11"/>
      <c r="K163" s="11"/>
      <c r="L163" s="11"/>
      <c r="M163" s="11"/>
      <c r="N163" s="1" t="str">
        <f>IF(ISNUMBER(SEARCH("ANALOG",Table242[[#This Row],[Type]]))=TRUE,1,"")</f>
        <v/>
      </c>
      <c r="O163" s="1" t="str">
        <f>IF(ISNUMBER(SEARCH("BINARY",Table242[[#This Row],[Type]]))=TRUE,1,"")</f>
        <v/>
      </c>
      <c r="P163" t="str">
        <f>IF(Table242[[#This Row],[Type]]="","",LEFT(Table242[[#This Row],[Type]],1)&amp;LEFT($F$2,1))</f>
        <v/>
      </c>
      <c r="Q163" s="1"/>
      <c r="R163" s="1"/>
      <c r="S163" t="str">
        <f>IF(Table242[[#This Row],[A Counter]]=1,"AO"&amp;$F$3+SUM($N$12:N163),IF(Table242[[#This Row],[B Counter]]=1,"BO"&amp;$F$3+SUM($O$12:O163),""))</f>
        <v/>
      </c>
      <c r="T163" s="11"/>
    </row>
    <row r="164" spans="1:20" x14ac:dyDescent="0.25">
      <c r="A164">
        <f t="shared" si="3"/>
        <v>150</v>
      </c>
      <c r="B164" s="91" t="str">
        <f>IFERROR(RIGHT(Table242[[#This Row],[Controller Output '#]],3)*1,"")</f>
        <v/>
      </c>
      <c r="C164" s="91"/>
      <c r="D164" s="1"/>
      <c r="E164" s="11"/>
      <c r="F164" s="11"/>
      <c r="G164" s="11"/>
      <c r="H164" s="21"/>
      <c r="I164" s="11"/>
      <c r="J164" s="11"/>
      <c r="K164" s="11"/>
      <c r="L164" s="11"/>
      <c r="M164" s="11"/>
      <c r="N164" s="1" t="str">
        <f>IF(ISNUMBER(SEARCH("ANALOG",Table242[[#This Row],[Type]]))=TRUE,1,"")</f>
        <v/>
      </c>
      <c r="O164" s="1" t="str">
        <f>IF(ISNUMBER(SEARCH("BINARY",Table242[[#This Row],[Type]]))=TRUE,1,"")</f>
        <v/>
      </c>
      <c r="P164" t="str">
        <f>IF(Table242[[#This Row],[Type]]="","",LEFT(Table242[[#This Row],[Type]],1)&amp;LEFT($F$2,1))</f>
        <v/>
      </c>
      <c r="Q164" s="1"/>
      <c r="R164" s="1"/>
      <c r="S164" t="str">
        <f>IF(Table242[[#This Row],[A Counter]]=1,"AO"&amp;$F$3+SUM($N$12:N164),IF(Table242[[#This Row],[B Counter]]=1,"BO"&amp;$F$3+SUM($O$12:O164),""))</f>
        <v/>
      </c>
      <c r="T164" s="11"/>
    </row>
    <row r="165" spans="1:20" x14ac:dyDescent="0.25">
      <c r="A165">
        <f t="shared" si="3"/>
        <v>151</v>
      </c>
      <c r="B165" s="91" t="str">
        <f>IFERROR(RIGHT(Table242[[#This Row],[Controller Output '#]],3)*1,"")</f>
        <v/>
      </c>
      <c r="C165" s="91"/>
      <c r="D165" s="1"/>
      <c r="E165" s="11"/>
      <c r="F165" s="11"/>
      <c r="G165" s="11"/>
      <c r="H165" s="21"/>
      <c r="I165" s="11"/>
      <c r="J165" s="11"/>
      <c r="K165" s="11"/>
      <c r="L165" s="11"/>
      <c r="M165" s="11"/>
      <c r="N165" s="1" t="str">
        <f>IF(ISNUMBER(SEARCH("ANALOG",Table242[[#This Row],[Type]]))=TRUE,1,"")</f>
        <v/>
      </c>
      <c r="O165" s="1" t="str">
        <f>IF(ISNUMBER(SEARCH("BINARY",Table242[[#This Row],[Type]]))=TRUE,1,"")</f>
        <v/>
      </c>
      <c r="P165" t="str">
        <f>IF(Table242[[#This Row],[Type]]="","",LEFT(Table242[[#This Row],[Type]],1)&amp;LEFT($F$2,1))</f>
        <v/>
      </c>
      <c r="Q165" s="1"/>
      <c r="R165" s="1"/>
      <c r="S165" t="str">
        <f>IF(Table242[[#This Row],[A Counter]]=1,"AO"&amp;$F$3+SUM($N$12:N165),IF(Table242[[#This Row],[B Counter]]=1,"BO"&amp;$F$3+SUM($O$12:O165),""))</f>
        <v/>
      </c>
      <c r="T165" s="11"/>
    </row>
    <row r="166" spans="1:20" x14ac:dyDescent="0.25">
      <c r="A166">
        <f t="shared" si="3"/>
        <v>152</v>
      </c>
      <c r="B166" s="91" t="str">
        <f>IFERROR(RIGHT(Table242[[#This Row],[Controller Output '#]],3)*1,"")</f>
        <v/>
      </c>
      <c r="C166" s="91"/>
      <c r="D166" s="1"/>
      <c r="E166" s="11"/>
      <c r="F166" s="11"/>
      <c r="G166" s="11"/>
      <c r="H166" s="21"/>
      <c r="I166" s="11"/>
      <c r="J166" s="11"/>
      <c r="K166" s="11"/>
      <c r="L166" s="11"/>
      <c r="M166" s="11"/>
      <c r="N166" s="1" t="str">
        <f>IF(ISNUMBER(SEARCH("ANALOG",Table242[[#This Row],[Type]]))=TRUE,1,"")</f>
        <v/>
      </c>
      <c r="O166" s="1" t="str">
        <f>IF(ISNUMBER(SEARCH("BINARY",Table242[[#This Row],[Type]]))=TRUE,1,"")</f>
        <v/>
      </c>
      <c r="P166" t="str">
        <f>IF(Table242[[#This Row],[Type]]="","",LEFT(Table242[[#This Row],[Type]],1)&amp;LEFT($F$2,1))</f>
        <v/>
      </c>
      <c r="Q166" s="1"/>
      <c r="R166" s="1"/>
      <c r="S166" t="str">
        <f>IF(Table242[[#This Row],[A Counter]]=1,"AO"&amp;$F$3+SUM($N$12:N166),IF(Table242[[#This Row],[B Counter]]=1,"BO"&amp;$F$3+SUM($O$12:O166),""))</f>
        <v/>
      </c>
      <c r="T166" s="11"/>
    </row>
    <row r="167" spans="1:20" x14ac:dyDescent="0.25">
      <c r="A167">
        <f t="shared" si="3"/>
        <v>153</v>
      </c>
      <c r="B167" s="91" t="str">
        <f>IFERROR(RIGHT(Table242[[#This Row],[Controller Output '#]],3)*1,"")</f>
        <v/>
      </c>
      <c r="C167" s="91"/>
      <c r="D167" s="1"/>
      <c r="E167" s="11"/>
      <c r="F167" s="11"/>
      <c r="G167" s="11"/>
      <c r="H167" s="21"/>
      <c r="I167" s="11"/>
      <c r="J167" s="11"/>
      <c r="K167" s="11"/>
      <c r="L167" s="11"/>
      <c r="M167" s="11"/>
      <c r="N167" s="1" t="str">
        <f>IF(ISNUMBER(SEARCH("ANALOG",Table242[[#This Row],[Type]]))=TRUE,1,"")</f>
        <v/>
      </c>
      <c r="O167" s="1" t="str">
        <f>IF(ISNUMBER(SEARCH("BINARY",Table242[[#This Row],[Type]]))=TRUE,1,"")</f>
        <v/>
      </c>
      <c r="P167" t="str">
        <f>IF(Table242[[#This Row],[Type]]="","",LEFT(Table242[[#This Row],[Type]],1)&amp;LEFT($F$2,1))</f>
        <v/>
      </c>
      <c r="Q167" s="1"/>
      <c r="R167" s="1"/>
      <c r="S167" t="str">
        <f>IF(Table242[[#This Row],[A Counter]]=1,"AO"&amp;$F$3+SUM($N$12:N167),IF(Table242[[#This Row],[B Counter]]=1,"BO"&amp;$F$3+SUM($O$12:O167),""))</f>
        <v/>
      </c>
      <c r="T167" s="11"/>
    </row>
    <row r="168" spans="1:20" x14ac:dyDescent="0.25">
      <c r="A168">
        <f t="shared" si="3"/>
        <v>154</v>
      </c>
      <c r="B168" s="91" t="str">
        <f>IFERROR(RIGHT(Table242[[#This Row],[Controller Output '#]],3)*1,"")</f>
        <v/>
      </c>
      <c r="C168" s="91"/>
      <c r="D168" s="1"/>
      <c r="E168" s="11"/>
      <c r="F168" s="11"/>
      <c r="G168" s="11"/>
      <c r="H168" s="21"/>
      <c r="I168" s="11"/>
      <c r="J168" s="11"/>
      <c r="K168" s="11"/>
      <c r="L168" s="11"/>
      <c r="M168" s="11"/>
      <c r="N168" s="1" t="str">
        <f>IF(ISNUMBER(SEARCH("ANALOG",Table242[[#This Row],[Type]]))=TRUE,1,"")</f>
        <v/>
      </c>
      <c r="O168" s="1" t="str">
        <f>IF(ISNUMBER(SEARCH("BINARY",Table242[[#This Row],[Type]]))=TRUE,1,"")</f>
        <v/>
      </c>
      <c r="P168" t="str">
        <f>IF(Table242[[#This Row],[Type]]="","",LEFT(Table242[[#This Row],[Type]],1)&amp;LEFT($F$2,1))</f>
        <v/>
      </c>
      <c r="Q168" s="1"/>
      <c r="R168" s="1"/>
      <c r="S168" t="str">
        <f>IF(Table242[[#This Row],[A Counter]]=1,"AO"&amp;$F$3+SUM($N$12:N168),IF(Table242[[#This Row],[B Counter]]=1,"BO"&amp;$F$3+SUM($O$12:O168),""))</f>
        <v/>
      </c>
      <c r="T168" s="11"/>
    </row>
    <row r="169" spans="1:20" x14ac:dyDescent="0.25">
      <c r="A169">
        <f t="shared" si="3"/>
        <v>155</v>
      </c>
      <c r="B169" s="91" t="str">
        <f>IFERROR(RIGHT(Table242[[#This Row],[Controller Output '#]],3)*1,"")</f>
        <v/>
      </c>
      <c r="C169" s="91"/>
      <c r="D169" s="1"/>
      <c r="E169" s="11"/>
      <c r="F169" s="11"/>
      <c r="G169" s="11"/>
      <c r="H169" s="21"/>
      <c r="I169" s="11"/>
      <c r="J169" s="11"/>
      <c r="K169" s="11"/>
      <c r="L169" s="11"/>
      <c r="M169" s="11"/>
      <c r="N169" s="1" t="str">
        <f>IF(ISNUMBER(SEARCH("ANALOG",Table242[[#This Row],[Type]]))=TRUE,1,"")</f>
        <v/>
      </c>
      <c r="O169" s="1" t="str">
        <f>IF(ISNUMBER(SEARCH("BINARY",Table242[[#This Row],[Type]]))=TRUE,1,"")</f>
        <v/>
      </c>
      <c r="P169" t="str">
        <f>IF(Table242[[#This Row],[Type]]="","",LEFT(Table242[[#This Row],[Type]],1)&amp;LEFT($F$2,1))</f>
        <v/>
      </c>
      <c r="Q169" s="1"/>
      <c r="R169" s="1"/>
      <c r="S169" t="str">
        <f>IF(Table242[[#This Row],[A Counter]]=1,"AO"&amp;$F$3+SUM($N$12:N169),IF(Table242[[#This Row],[B Counter]]=1,"BO"&amp;$F$3+SUM($O$12:O169),""))</f>
        <v/>
      </c>
      <c r="T169" s="11"/>
    </row>
    <row r="170" spans="1:20" x14ac:dyDescent="0.25">
      <c r="A170">
        <f t="shared" si="3"/>
        <v>156</v>
      </c>
      <c r="B170" s="91" t="str">
        <f>IFERROR(RIGHT(Table242[[#This Row],[Controller Output '#]],3)*1,"")</f>
        <v/>
      </c>
      <c r="C170" s="91"/>
      <c r="D170" s="1"/>
      <c r="E170" s="11"/>
      <c r="F170" s="11"/>
      <c r="G170" s="11"/>
      <c r="H170" s="21"/>
      <c r="I170" s="11"/>
      <c r="J170" s="11"/>
      <c r="K170" s="11"/>
      <c r="L170" s="11"/>
      <c r="M170" s="11"/>
      <c r="N170" s="1" t="str">
        <f>IF(ISNUMBER(SEARCH("ANALOG",Table242[[#This Row],[Type]]))=TRUE,1,"")</f>
        <v/>
      </c>
      <c r="O170" s="1" t="str">
        <f>IF(ISNUMBER(SEARCH("BINARY",Table242[[#This Row],[Type]]))=TRUE,1,"")</f>
        <v/>
      </c>
      <c r="P170" t="str">
        <f>IF(Table242[[#This Row],[Type]]="","",LEFT(Table242[[#This Row],[Type]],1)&amp;LEFT($F$2,1))</f>
        <v/>
      </c>
      <c r="Q170" s="1"/>
      <c r="R170" s="1"/>
      <c r="S170" t="str">
        <f>IF(Table242[[#This Row],[A Counter]]=1,"AO"&amp;$F$3+SUM($N$12:N170),IF(Table242[[#This Row],[B Counter]]=1,"BO"&amp;$F$3+SUM($O$12:O170),""))</f>
        <v/>
      </c>
      <c r="T170" s="11"/>
    </row>
    <row r="171" spans="1:20" x14ac:dyDescent="0.25">
      <c r="A171">
        <f t="shared" si="3"/>
        <v>157</v>
      </c>
      <c r="B171" s="91" t="str">
        <f>IFERROR(RIGHT(Table242[[#This Row],[Controller Output '#]],3)*1,"")</f>
        <v/>
      </c>
      <c r="C171" s="91"/>
      <c r="D171" s="1"/>
      <c r="E171" s="11"/>
      <c r="F171" s="11"/>
      <c r="G171" s="11"/>
      <c r="H171" s="21"/>
      <c r="I171" s="11"/>
      <c r="J171" s="11"/>
      <c r="K171" s="11"/>
      <c r="L171" s="11"/>
      <c r="M171" s="11"/>
      <c r="N171" s="1" t="str">
        <f>IF(ISNUMBER(SEARCH("ANALOG",Table242[[#This Row],[Type]]))=TRUE,1,"")</f>
        <v/>
      </c>
      <c r="O171" s="1" t="str">
        <f>IF(ISNUMBER(SEARCH("BINARY",Table242[[#This Row],[Type]]))=TRUE,1,"")</f>
        <v/>
      </c>
      <c r="P171" t="str">
        <f>IF(Table242[[#This Row],[Type]]="","",LEFT(Table242[[#This Row],[Type]],1)&amp;LEFT($F$2,1))</f>
        <v/>
      </c>
      <c r="Q171" s="1"/>
      <c r="R171" s="1"/>
      <c r="S171" t="str">
        <f>IF(Table242[[#This Row],[A Counter]]=1,"AO"&amp;$F$3+SUM($N$12:N171),IF(Table242[[#This Row],[B Counter]]=1,"BO"&amp;$F$3+SUM($O$12:O171),""))</f>
        <v/>
      </c>
      <c r="T171" s="11"/>
    </row>
    <row r="172" spans="1:20" x14ac:dyDescent="0.25">
      <c r="A172">
        <f t="shared" si="3"/>
        <v>158</v>
      </c>
      <c r="B172" s="91" t="str">
        <f>IFERROR(RIGHT(Table242[[#This Row],[Controller Output '#]],3)*1,"")</f>
        <v/>
      </c>
      <c r="C172" s="91"/>
      <c r="D172" s="1"/>
      <c r="E172" s="11"/>
      <c r="F172" s="11"/>
      <c r="G172" s="11"/>
      <c r="H172" s="21"/>
      <c r="I172" s="11"/>
      <c r="J172" s="11"/>
      <c r="K172" s="11"/>
      <c r="L172" s="11"/>
      <c r="M172" s="11"/>
      <c r="N172" s="1" t="str">
        <f>IF(ISNUMBER(SEARCH("ANALOG",Table242[[#This Row],[Type]]))=TRUE,1,"")</f>
        <v/>
      </c>
      <c r="O172" s="1" t="str">
        <f>IF(ISNUMBER(SEARCH("BINARY",Table242[[#This Row],[Type]]))=TRUE,1,"")</f>
        <v/>
      </c>
      <c r="P172" t="str">
        <f>IF(Table242[[#This Row],[Type]]="","",LEFT(Table242[[#This Row],[Type]],1)&amp;LEFT($F$2,1))</f>
        <v/>
      </c>
      <c r="Q172" s="1"/>
      <c r="R172" s="1"/>
      <c r="S172" t="str">
        <f>IF(Table242[[#This Row],[A Counter]]=1,"AO"&amp;$F$3+SUM($N$12:N172),IF(Table242[[#This Row],[B Counter]]=1,"BO"&amp;$F$3+SUM($O$12:O172),""))</f>
        <v/>
      </c>
      <c r="T172" s="11"/>
    </row>
    <row r="173" spans="1:20" x14ac:dyDescent="0.25">
      <c r="A173">
        <f t="shared" si="3"/>
        <v>159</v>
      </c>
      <c r="B173" s="91" t="str">
        <f>IFERROR(RIGHT(Table242[[#This Row],[Controller Output '#]],3)*1,"")</f>
        <v/>
      </c>
      <c r="C173" s="91"/>
      <c r="D173" s="1"/>
      <c r="E173" s="1"/>
      <c r="F173" s="1"/>
      <c r="G173" s="1"/>
      <c r="H173" s="8"/>
      <c r="I173" s="1"/>
      <c r="J173" s="1"/>
      <c r="K173" s="3"/>
      <c r="L173" s="1"/>
      <c r="M173" s="1"/>
      <c r="N173" s="1" t="str">
        <f>IF(ISNUMBER(SEARCH("ANALOG",Table242[[#This Row],[Type]]))=TRUE,1,"")</f>
        <v/>
      </c>
      <c r="O173" s="1" t="str">
        <f>IF(ISNUMBER(SEARCH("BINARY",Table242[[#This Row],[Type]]))=TRUE,1,"")</f>
        <v/>
      </c>
      <c r="P173" t="str">
        <f>IF(Table242[[#This Row],[Type]]="","",LEFT(Table242[[#This Row],[Type]],1)&amp;LEFT($F$2,1))</f>
        <v/>
      </c>
      <c r="Q173" s="1"/>
      <c r="R173" s="1"/>
      <c r="S173" t="str">
        <f>IF(Table242[[#This Row],[A Counter]]=1,"AO"&amp;$F$3+SUM($N$12:N173),IF(Table242[[#This Row],[B Counter]]=1,"BO"&amp;$F$3+SUM($O$12:O173),""))</f>
        <v/>
      </c>
      <c r="T173" s="11"/>
    </row>
    <row r="174" spans="1:20" x14ac:dyDescent="0.25">
      <c r="A174">
        <f t="shared" si="3"/>
        <v>160</v>
      </c>
      <c r="B174" s="91" t="str">
        <f>IFERROR(RIGHT(Table242[[#This Row],[Controller Output '#]],3)*1,"")</f>
        <v/>
      </c>
      <c r="C174" s="91"/>
      <c r="D174" s="1"/>
      <c r="E174" s="1"/>
      <c r="F174" s="1"/>
      <c r="G174" s="1"/>
      <c r="H174" s="8"/>
      <c r="I174" s="1"/>
      <c r="J174" s="1"/>
      <c r="K174" s="3"/>
      <c r="L174" s="1"/>
      <c r="M174" s="1"/>
      <c r="N174" s="1" t="str">
        <f>IF(ISNUMBER(SEARCH("ANALOG",Table242[[#This Row],[Type]]))=TRUE,1,"")</f>
        <v/>
      </c>
      <c r="O174" s="1" t="str">
        <f>IF(ISNUMBER(SEARCH("BINARY",Table242[[#This Row],[Type]]))=TRUE,1,"")</f>
        <v/>
      </c>
      <c r="P174" t="str">
        <f>IF(Table242[[#This Row],[Type]]="","",LEFT(Table242[[#This Row],[Type]],1)&amp;LEFT($F$2,1))</f>
        <v/>
      </c>
      <c r="Q174" s="1"/>
      <c r="R174" s="1"/>
      <c r="S174" t="str">
        <f>IF(Table242[[#This Row],[A Counter]]=1,"AO"&amp;$F$3+SUM($N$12:N174),IF(Table242[[#This Row],[B Counter]]=1,"BO"&amp;$F$3+SUM($O$12:O174),""))</f>
        <v/>
      </c>
      <c r="T174" s="11"/>
    </row>
    <row r="175" spans="1:20" x14ac:dyDescent="0.25">
      <c r="A175">
        <f t="shared" si="3"/>
        <v>161</v>
      </c>
      <c r="B175" s="91" t="str">
        <f>IFERROR(RIGHT(Table242[[#This Row],[Controller Output '#]],3)*1,"")</f>
        <v/>
      </c>
      <c r="C175" s="91"/>
      <c r="D175" s="1"/>
      <c r="E175" s="1"/>
      <c r="F175" s="1"/>
      <c r="G175" s="1"/>
      <c r="H175" s="8"/>
      <c r="I175" s="1"/>
      <c r="J175" s="1"/>
      <c r="K175" s="3"/>
      <c r="L175" s="1"/>
      <c r="M175" s="1"/>
      <c r="N175" s="1" t="str">
        <f>IF(ISNUMBER(SEARCH("ANALOG",Table242[[#This Row],[Type]]))=TRUE,1,"")</f>
        <v/>
      </c>
      <c r="O175" s="1" t="str">
        <f>IF(ISNUMBER(SEARCH("BINARY",Table242[[#This Row],[Type]]))=TRUE,1,"")</f>
        <v/>
      </c>
      <c r="P175" t="str">
        <f>IF(Table242[[#This Row],[Type]]="","",LEFT(Table242[[#This Row],[Type]],1)&amp;LEFT($F$2,1))</f>
        <v/>
      </c>
      <c r="Q175" s="1"/>
      <c r="R175" s="1"/>
      <c r="S175" t="str">
        <f>IF(Table242[[#This Row],[A Counter]]=1,"AO"&amp;$F$3+SUM($N$12:N175),IF(Table242[[#This Row],[B Counter]]=1,"BO"&amp;$F$3+SUM($O$12:O175),""))</f>
        <v/>
      </c>
      <c r="T175" s="11"/>
    </row>
    <row r="176" spans="1:20" x14ac:dyDescent="0.25">
      <c r="A176">
        <f t="shared" si="3"/>
        <v>162</v>
      </c>
      <c r="B176" s="91" t="str">
        <f>IFERROR(RIGHT(Table242[[#This Row],[Controller Output '#]],3)*1,"")</f>
        <v/>
      </c>
      <c r="C176" s="91"/>
      <c r="D176" s="1"/>
      <c r="E176" s="11"/>
      <c r="F176" s="11"/>
      <c r="G176" s="11"/>
      <c r="H176" s="21"/>
      <c r="I176" s="11"/>
      <c r="J176" s="11"/>
      <c r="K176" s="22"/>
      <c r="L176" s="11"/>
      <c r="M176" s="11"/>
      <c r="N176" s="1" t="str">
        <f>IF(ISNUMBER(SEARCH("ANALOG",Table242[[#This Row],[Type]]))=TRUE,1,"")</f>
        <v/>
      </c>
      <c r="O176" s="1" t="str">
        <f>IF(ISNUMBER(SEARCH("BINARY",Table242[[#This Row],[Type]]))=TRUE,1,"")</f>
        <v/>
      </c>
      <c r="P176" t="str">
        <f>IF(Table242[[#This Row],[Type]]="","",LEFT(Table242[[#This Row],[Type]],1)&amp;LEFT($F$2,1))</f>
        <v/>
      </c>
      <c r="Q176" s="1"/>
      <c r="R176" s="1"/>
      <c r="S176" t="str">
        <f>IF(Table242[[#This Row],[A Counter]]=1,"AO"&amp;$F$3+SUM($N$12:N176),IF(Table242[[#This Row],[B Counter]]=1,"BO"&amp;$F$3+SUM($O$12:O176),""))</f>
        <v/>
      </c>
      <c r="T176" s="11"/>
    </row>
    <row r="177" spans="1:20" x14ac:dyDescent="0.25">
      <c r="A177">
        <f t="shared" si="3"/>
        <v>163</v>
      </c>
      <c r="B177" s="91" t="str">
        <f>IFERROR(RIGHT(Table242[[#This Row],[Controller Output '#]],3)*1,"")</f>
        <v/>
      </c>
      <c r="C177" s="91"/>
      <c r="D177" s="1"/>
      <c r="E177" s="1"/>
      <c r="F177" s="1"/>
      <c r="G177" s="1"/>
      <c r="H177" s="8"/>
      <c r="I177" s="1"/>
      <c r="J177" s="1"/>
      <c r="K177" s="3"/>
      <c r="L177" s="1"/>
      <c r="M177" s="1"/>
      <c r="N177" s="1" t="str">
        <f>IF(ISNUMBER(SEARCH("ANALOG",Table242[[#This Row],[Type]]))=TRUE,1,"")</f>
        <v/>
      </c>
      <c r="O177" s="1" t="str">
        <f>IF(ISNUMBER(SEARCH("BINARY",Table242[[#This Row],[Type]]))=TRUE,1,"")</f>
        <v/>
      </c>
      <c r="P177" t="str">
        <f>IF(Table242[[#This Row],[Type]]="","",LEFT(Table242[[#This Row],[Type]],1)&amp;LEFT($F$2,1))</f>
        <v/>
      </c>
      <c r="Q177" s="1"/>
      <c r="R177" s="1"/>
      <c r="S177" t="str">
        <f>IF(Table242[[#This Row],[A Counter]]=1,"AO"&amp;$F$3+SUM($N$12:N177),IF(Table242[[#This Row],[B Counter]]=1,"BO"&amp;$F$3+SUM($O$12:O177),""))</f>
        <v/>
      </c>
      <c r="T177" s="11"/>
    </row>
    <row r="178" spans="1:20" x14ac:dyDescent="0.25">
      <c r="A178">
        <f t="shared" si="3"/>
        <v>164</v>
      </c>
      <c r="B178" s="91" t="str">
        <f>IFERROR(RIGHT(Table242[[#This Row],[Controller Output '#]],3)*1,"")</f>
        <v/>
      </c>
      <c r="C178" s="91"/>
      <c r="D178" s="1"/>
      <c r="E178" s="11"/>
      <c r="F178" s="11"/>
      <c r="G178" s="11"/>
      <c r="H178" s="21"/>
      <c r="I178" s="11"/>
      <c r="J178" s="11"/>
      <c r="K178" s="22"/>
      <c r="L178" s="11"/>
      <c r="M178" s="11"/>
      <c r="N178" s="1" t="str">
        <f>IF(ISNUMBER(SEARCH("ANALOG",Table242[[#This Row],[Type]]))=TRUE,1,"")</f>
        <v/>
      </c>
      <c r="O178" s="1" t="str">
        <f>IF(ISNUMBER(SEARCH("BINARY",Table242[[#This Row],[Type]]))=TRUE,1,"")</f>
        <v/>
      </c>
      <c r="P178" t="str">
        <f>IF(Table242[[#This Row],[Type]]="","",LEFT(Table242[[#This Row],[Type]],1)&amp;LEFT($F$2,1))</f>
        <v/>
      </c>
      <c r="Q178" s="1"/>
      <c r="R178" s="1"/>
      <c r="S178" t="str">
        <f>IF(Table242[[#This Row],[A Counter]]=1,"AO"&amp;$F$3+SUM($N$12:N178),IF(Table242[[#This Row],[B Counter]]=1,"BO"&amp;$F$3+SUM($O$12:O178),""))</f>
        <v/>
      </c>
      <c r="T178" s="11"/>
    </row>
    <row r="179" spans="1:20" x14ac:dyDescent="0.25">
      <c r="A179">
        <f t="shared" si="3"/>
        <v>165</v>
      </c>
      <c r="B179" s="91" t="str">
        <f>IFERROR(RIGHT(Table242[[#This Row],[Controller Output '#]],3)*1,"")</f>
        <v/>
      </c>
      <c r="C179" s="91"/>
      <c r="D179" s="1"/>
      <c r="E179" s="1"/>
      <c r="F179" s="1"/>
      <c r="G179" s="1"/>
      <c r="H179" s="8"/>
      <c r="I179" s="1"/>
      <c r="J179" s="1"/>
      <c r="K179" s="3"/>
      <c r="L179" s="1"/>
      <c r="M179" s="1"/>
      <c r="N179" s="1" t="str">
        <f>IF(ISNUMBER(SEARCH("ANALOG",Table242[[#This Row],[Type]]))=TRUE,1,"")</f>
        <v/>
      </c>
      <c r="O179" s="1" t="str">
        <f>IF(ISNUMBER(SEARCH("BINARY",Table242[[#This Row],[Type]]))=TRUE,1,"")</f>
        <v/>
      </c>
      <c r="P179" t="str">
        <f>IF(Table242[[#This Row],[Type]]="","",LEFT(Table242[[#This Row],[Type]],1)&amp;LEFT($F$2,1))</f>
        <v/>
      </c>
      <c r="Q179" s="1"/>
      <c r="R179" s="1"/>
      <c r="S179" t="str">
        <f>IF(Table242[[#This Row],[A Counter]]=1,"AO"&amp;$F$3+SUM($N$12:N179),IF(Table242[[#This Row],[B Counter]]=1,"BO"&amp;$F$3+SUM($O$12:O179),""))</f>
        <v/>
      </c>
      <c r="T179" s="11"/>
    </row>
    <row r="180" spans="1:20" x14ac:dyDescent="0.25">
      <c r="A180">
        <f t="shared" si="3"/>
        <v>166</v>
      </c>
      <c r="B180" s="91" t="str">
        <f>IFERROR(RIGHT(Table242[[#This Row],[Controller Output '#]],3)*1,"")</f>
        <v/>
      </c>
      <c r="C180" s="91"/>
      <c r="D180" s="1"/>
      <c r="E180" s="11"/>
      <c r="F180" s="11"/>
      <c r="G180" s="11"/>
      <c r="H180" s="21"/>
      <c r="I180" s="11"/>
      <c r="J180" s="11"/>
      <c r="K180" s="22"/>
      <c r="L180" s="11"/>
      <c r="M180" s="11"/>
      <c r="N180" s="1" t="str">
        <f>IF(ISNUMBER(SEARCH("ANALOG",Table242[[#This Row],[Type]]))=TRUE,1,"")</f>
        <v/>
      </c>
      <c r="O180" s="1" t="str">
        <f>IF(ISNUMBER(SEARCH("BINARY",Table242[[#This Row],[Type]]))=TRUE,1,"")</f>
        <v/>
      </c>
      <c r="P180" t="str">
        <f>IF(Table242[[#This Row],[Type]]="","",LEFT(Table242[[#This Row],[Type]],1)&amp;LEFT($F$2,1))</f>
        <v/>
      </c>
      <c r="Q180" s="1"/>
      <c r="R180" s="1"/>
      <c r="S180" t="str">
        <f>IF(Table242[[#This Row],[A Counter]]=1,"AO"&amp;$F$3+SUM($N$12:N180),IF(Table242[[#This Row],[B Counter]]=1,"BO"&amp;$F$3+SUM($O$12:O180),""))</f>
        <v/>
      </c>
      <c r="T180" s="11"/>
    </row>
    <row r="181" spans="1:20" x14ac:dyDescent="0.25">
      <c r="A181">
        <f t="shared" si="3"/>
        <v>167</v>
      </c>
      <c r="B181" s="91" t="str">
        <f>IFERROR(RIGHT(Table242[[#This Row],[Controller Output '#]],3)*1,"")</f>
        <v/>
      </c>
      <c r="C181" s="91"/>
      <c r="D181" s="1"/>
      <c r="E181" s="1"/>
      <c r="F181" s="1"/>
      <c r="G181" s="1"/>
      <c r="H181" s="8"/>
      <c r="I181" s="1"/>
      <c r="J181" s="1"/>
      <c r="K181" s="3"/>
      <c r="L181" s="1"/>
      <c r="M181" s="1"/>
      <c r="N181" s="1" t="str">
        <f>IF(ISNUMBER(SEARCH("ANALOG",Table242[[#This Row],[Type]]))=TRUE,1,"")</f>
        <v/>
      </c>
      <c r="O181" s="1" t="str">
        <f>IF(ISNUMBER(SEARCH("BINARY",Table242[[#This Row],[Type]]))=TRUE,1,"")</f>
        <v/>
      </c>
      <c r="P181" t="str">
        <f>IF(Table242[[#This Row],[Type]]="","",LEFT(Table242[[#This Row],[Type]],1)&amp;LEFT($F$2,1))</f>
        <v/>
      </c>
      <c r="Q181" s="1"/>
      <c r="R181" s="1"/>
      <c r="S181" t="str">
        <f>IF(Table242[[#This Row],[A Counter]]=1,"AO"&amp;$F$3+SUM($N$12:N181),IF(Table242[[#This Row],[B Counter]]=1,"BO"&amp;$F$3+SUM($O$12:O181),""))</f>
        <v/>
      </c>
      <c r="T181" s="11"/>
    </row>
    <row r="182" spans="1:20" x14ac:dyDescent="0.25">
      <c r="A182">
        <f t="shared" si="3"/>
        <v>168</v>
      </c>
      <c r="B182" s="91" t="str">
        <f>IFERROR(RIGHT(Table242[[#This Row],[Controller Output '#]],3)*1,"")</f>
        <v/>
      </c>
      <c r="C182" s="91"/>
      <c r="D182" s="1"/>
      <c r="E182" s="1"/>
      <c r="F182" s="1"/>
      <c r="G182" s="1"/>
      <c r="H182" s="8"/>
      <c r="I182" s="1"/>
      <c r="J182" s="1"/>
      <c r="K182" s="3"/>
      <c r="L182" s="1"/>
      <c r="M182" s="1"/>
      <c r="N182" s="1" t="str">
        <f>IF(ISNUMBER(SEARCH("ANALOG",Table242[[#This Row],[Type]]))=TRUE,1,"")</f>
        <v/>
      </c>
      <c r="O182" s="1" t="str">
        <f>IF(ISNUMBER(SEARCH("BINARY",Table242[[#This Row],[Type]]))=TRUE,1,"")</f>
        <v/>
      </c>
      <c r="P182" t="str">
        <f>IF(Table242[[#This Row],[Type]]="","",LEFT(Table242[[#This Row],[Type]],1)&amp;LEFT($F$2,1))</f>
        <v/>
      </c>
      <c r="Q182" s="1"/>
      <c r="R182" s="1"/>
      <c r="S182" t="str">
        <f>IF(Table242[[#This Row],[A Counter]]=1,"AO"&amp;$F$3+SUM($N$12:N182),IF(Table242[[#This Row],[B Counter]]=1,"BO"&amp;$F$3+SUM($O$12:O182),""))</f>
        <v/>
      </c>
      <c r="T182" s="11"/>
    </row>
    <row r="183" spans="1:20" x14ac:dyDescent="0.25">
      <c r="A183">
        <f t="shared" si="3"/>
        <v>169</v>
      </c>
      <c r="B183" s="91" t="str">
        <f>IFERROR(RIGHT(Table242[[#This Row],[Controller Output '#]],3)*1,"")</f>
        <v/>
      </c>
      <c r="C183" s="91"/>
      <c r="D183" s="1"/>
      <c r="E183" s="1"/>
      <c r="F183" s="1"/>
      <c r="G183" s="1"/>
      <c r="H183" s="8"/>
      <c r="I183" s="1"/>
      <c r="J183" s="1"/>
      <c r="K183" s="3"/>
      <c r="L183" s="1"/>
      <c r="M183" s="1"/>
      <c r="N183" s="1" t="str">
        <f>IF(ISNUMBER(SEARCH("ANALOG",Table242[[#This Row],[Type]]))=TRUE,1,"")</f>
        <v/>
      </c>
      <c r="O183" s="1" t="str">
        <f>IF(ISNUMBER(SEARCH("BINARY",Table242[[#This Row],[Type]]))=TRUE,1,"")</f>
        <v/>
      </c>
      <c r="P183" t="str">
        <f>IF(Table242[[#This Row],[Type]]="","",LEFT(Table242[[#This Row],[Type]],1)&amp;LEFT($F$2,1))</f>
        <v/>
      </c>
      <c r="Q183" s="1"/>
      <c r="R183" s="1"/>
      <c r="S183" t="str">
        <f>IF(Table242[[#This Row],[A Counter]]=1,"AO"&amp;$F$3+SUM($N$12:N183),IF(Table242[[#This Row],[B Counter]]=1,"BO"&amp;$F$3+SUM($O$12:O183),""))</f>
        <v/>
      </c>
      <c r="T183" s="11"/>
    </row>
    <row r="184" spans="1:20" x14ac:dyDescent="0.25">
      <c r="A184">
        <f t="shared" si="3"/>
        <v>170</v>
      </c>
      <c r="B184" s="91" t="str">
        <f>IFERROR(RIGHT(Table242[[#This Row],[Controller Output '#]],3)*1,"")</f>
        <v/>
      </c>
      <c r="C184" s="91"/>
      <c r="D184" s="1"/>
      <c r="E184" s="11"/>
      <c r="F184" s="11"/>
      <c r="G184" s="11"/>
      <c r="H184" s="21"/>
      <c r="I184" s="11"/>
      <c r="J184" s="11"/>
      <c r="K184" s="22"/>
      <c r="L184" s="1"/>
      <c r="M184" s="1"/>
      <c r="N184" s="1" t="str">
        <f>IF(ISNUMBER(SEARCH("ANALOG",Table242[[#This Row],[Type]]))=TRUE,1,"")</f>
        <v/>
      </c>
      <c r="O184" s="1" t="str">
        <f>IF(ISNUMBER(SEARCH("BINARY",Table242[[#This Row],[Type]]))=TRUE,1,"")</f>
        <v/>
      </c>
      <c r="P184" t="str">
        <f>IF(Table242[[#This Row],[Type]]="","",LEFT(Table242[[#This Row],[Type]],1)&amp;LEFT($F$2,1))</f>
        <v/>
      </c>
      <c r="Q184" s="1"/>
      <c r="R184" s="1"/>
      <c r="S184" t="str">
        <f>IF(Table242[[#This Row],[A Counter]]=1,"AO"&amp;$F$3+SUM($N$12:N184),IF(Table242[[#This Row],[B Counter]]=1,"BO"&amp;$F$3+SUM($O$12:O184),""))</f>
        <v/>
      </c>
      <c r="T184" s="11"/>
    </row>
    <row r="185" spans="1:20" x14ac:dyDescent="0.25">
      <c r="A185">
        <f t="shared" si="3"/>
        <v>171</v>
      </c>
      <c r="B185" s="91" t="str">
        <f>IFERROR(RIGHT(Table242[[#This Row],[Controller Output '#]],3)*1,"")</f>
        <v/>
      </c>
      <c r="C185" s="91"/>
      <c r="D185" s="1"/>
      <c r="E185" s="1"/>
      <c r="F185" s="1"/>
      <c r="G185" s="1"/>
      <c r="H185" s="8"/>
      <c r="I185" s="1"/>
      <c r="J185" s="1"/>
      <c r="K185" s="1"/>
      <c r="L185" s="1"/>
      <c r="M185" s="1"/>
      <c r="N185" s="1" t="str">
        <f>IF(ISNUMBER(SEARCH("ANALOG",Table242[[#This Row],[Type]]))=TRUE,1,"")</f>
        <v/>
      </c>
      <c r="O185" s="1" t="str">
        <f>IF(ISNUMBER(SEARCH("BINARY",Table242[[#This Row],[Type]]))=TRUE,1,"")</f>
        <v/>
      </c>
      <c r="P185" t="str">
        <f>IF(Table242[[#This Row],[Type]]="","",LEFT(Table242[[#This Row],[Type]],1)&amp;LEFT($F$2,1))</f>
        <v/>
      </c>
      <c r="Q185" s="1"/>
      <c r="R185" s="1"/>
      <c r="S185" t="str">
        <f>IF(Table242[[#This Row],[A Counter]]=1,"AO"&amp;$F$3+SUM($N$12:N185),IF(Table242[[#This Row],[B Counter]]=1,"BO"&amp;$F$3+SUM($O$12:O185),""))</f>
        <v/>
      </c>
      <c r="T185" s="11"/>
    </row>
    <row r="186" spans="1:20" x14ac:dyDescent="0.25">
      <c r="A186">
        <f t="shared" si="3"/>
        <v>172</v>
      </c>
      <c r="B186" s="91" t="str">
        <f>IFERROR(RIGHT(Table242[[#This Row],[Controller Output '#]],3)*1,"")</f>
        <v/>
      </c>
      <c r="C186" s="91"/>
      <c r="D186" s="1"/>
      <c r="E186" s="1"/>
      <c r="F186" s="1"/>
      <c r="G186" s="1"/>
      <c r="H186" s="8"/>
      <c r="I186" s="1"/>
      <c r="J186" s="1"/>
      <c r="K186" s="1"/>
      <c r="L186" s="1"/>
      <c r="M186" s="1"/>
      <c r="N186" s="1" t="str">
        <f>IF(ISNUMBER(SEARCH("ANALOG",Table242[[#This Row],[Type]]))=TRUE,1,"")</f>
        <v/>
      </c>
      <c r="O186" s="1" t="str">
        <f>IF(ISNUMBER(SEARCH("BINARY",Table242[[#This Row],[Type]]))=TRUE,1,"")</f>
        <v/>
      </c>
      <c r="P186" t="str">
        <f>IF(Table242[[#This Row],[Type]]="","",LEFT(Table242[[#This Row],[Type]],1)&amp;LEFT($F$2,1))</f>
        <v/>
      </c>
      <c r="Q186" s="1"/>
      <c r="R186" s="1"/>
      <c r="S186" t="str">
        <f>IF(Table242[[#This Row],[A Counter]]=1,"AO"&amp;$F$3+SUM($N$12:N186),IF(Table242[[#This Row],[B Counter]]=1,"BO"&amp;$F$3+SUM($O$12:O186),""))</f>
        <v/>
      </c>
      <c r="T186" s="11"/>
    </row>
    <row r="187" spans="1:20" x14ac:dyDescent="0.25">
      <c r="A187">
        <f t="shared" si="3"/>
        <v>173</v>
      </c>
      <c r="B187" s="91" t="str">
        <f>IFERROR(RIGHT(Table242[[#This Row],[Controller Output '#]],3)*1,"")</f>
        <v/>
      </c>
      <c r="C187" s="91"/>
      <c r="D187" s="1"/>
      <c r="E187" s="1"/>
      <c r="F187" s="1"/>
      <c r="G187" s="1"/>
      <c r="H187" s="8"/>
      <c r="I187" s="1"/>
      <c r="J187" s="1"/>
      <c r="K187" s="1"/>
      <c r="L187" s="1"/>
      <c r="M187" s="1"/>
      <c r="N187" s="1" t="str">
        <f>IF(ISNUMBER(SEARCH("ANALOG",Table242[[#This Row],[Type]]))=TRUE,1,"")</f>
        <v/>
      </c>
      <c r="O187" s="1" t="str">
        <f>IF(ISNUMBER(SEARCH("BINARY",Table242[[#This Row],[Type]]))=TRUE,1,"")</f>
        <v/>
      </c>
      <c r="P187" t="str">
        <f>IF(Table242[[#This Row],[Type]]="","",LEFT(Table242[[#This Row],[Type]],1)&amp;LEFT($F$2,1))</f>
        <v/>
      </c>
      <c r="Q187" s="1"/>
      <c r="R187" s="1"/>
      <c r="S187" t="str">
        <f>IF(Table242[[#This Row],[A Counter]]=1,"AO"&amp;$F$3+SUM($N$12:N187),IF(Table242[[#This Row],[B Counter]]=1,"BO"&amp;$F$3+SUM($O$12:O187),""))</f>
        <v/>
      </c>
      <c r="T187" s="11"/>
    </row>
    <row r="188" spans="1:20" x14ac:dyDescent="0.25">
      <c r="A188">
        <f t="shared" si="3"/>
        <v>174</v>
      </c>
      <c r="B188" s="91" t="str">
        <f>IFERROR(RIGHT(Table242[[#This Row],[Controller Output '#]],3)*1,"")</f>
        <v/>
      </c>
      <c r="C188" s="91"/>
      <c r="D188" s="1"/>
      <c r="E188" s="1"/>
      <c r="F188" s="1"/>
      <c r="G188" s="1"/>
      <c r="H188" s="8"/>
      <c r="I188" s="1"/>
      <c r="J188" s="1"/>
      <c r="K188" s="1"/>
      <c r="L188" s="1"/>
      <c r="M188" s="1"/>
      <c r="N188" s="1" t="str">
        <f>IF(ISNUMBER(SEARCH("ANALOG",Table242[[#This Row],[Type]]))=TRUE,1,"")</f>
        <v/>
      </c>
      <c r="O188" s="1" t="str">
        <f>IF(ISNUMBER(SEARCH("BINARY",Table242[[#This Row],[Type]]))=TRUE,1,"")</f>
        <v/>
      </c>
      <c r="P188" t="str">
        <f>IF(Table242[[#This Row],[Type]]="","",LEFT(Table242[[#This Row],[Type]],1)&amp;LEFT($F$2,1))</f>
        <v/>
      </c>
      <c r="Q188" s="1"/>
      <c r="R188" s="1"/>
      <c r="S188" t="str">
        <f>IF(Table242[[#This Row],[A Counter]]=1,"AO"&amp;$F$3+SUM($N$12:N188),IF(Table242[[#This Row],[B Counter]]=1,"BO"&amp;$F$3+SUM($O$12:O188),""))</f>
        <v/>
      </c>
      <c r="T188" s="11"/>
    </row>
    <row r="189" spans="1:20" x14ac:dyDescent="0.25">
      <c r="A189">
        <f t="shared" si="3"/>
        <v>175</v>
      </c>
      <c r="B189" s="91" t="str">
        <f>IFERROR(RIGHT(Table242[[#This Row],[Controller Output '#]],3)*1,"")</f>
        <v/>
      </c>
      <c r="C189" s="91"/>
      <c r="D189" s="1"/>
      <c r="E189" s="1"/>
      <c r="F189" s="1"/>
      <c r="G189" s="1"/>
      <c r="H189" s="8"/>
      <c r="I189" s="1"/>
      <c r="J189" s="1"/>
      <c r="K189" s="1"/>
      <c r="L189" s="1"/>
      <c r="M189" s="1"/>
      <c r="N189" s="1" t="str">
        <f>IF(ISNUMBER(SEARCH("ANALOG",Table242[[#This Row],[Type]]))=TRUE,1,"")</f>
        <v/>
      </c>
      <c r="O189" s="1" t="str">
        <f>IF(ISNUMBER(SEARCH("BINARY",Table242[[#This Row],[Type]]))=TRUE,1,"")</f>
        <v/>
      </c>
      <c r="P189" t="str">
        <f>IF(Table242[[#This Row],[Type]]="","",LEFT(Table242[[#This Row],[Type]],1)&amp;LEFT($F$2,1))</f>
        <v/>
      </c>
      <c r="Q189" s="1"/>
      <c r="R189" s="1"/>
      <c r="S189" t="str">
        <f>IF(Table242[[#This Row],[A Counter]]=1,"AO"&amp;$F$3+SUM($N$12:N189),IF(Table242[[#This Row],[B Counter]]=1,"BO"&amp;$F$3+SUM($O$12:O189),""))</f>
        <v/>
      </c>
      <c r="T189" s="11"/>
    </row>
    <row r="190" spans="1:20" x14ac:dyDescent="0.25">
      <c r="A190">
        <f t="shared" si="3"/>
        <v>176</v>
      </c>
      <c r="B190" s="91" t="str">
        <f>IFERROR(RIGHT(Table242[[#This Row],[Controller Output '#]],3)*1,"")</f>
        <v/>
      </c>
      <c r="C190" s="91"/>
      <c r="D190" s="1"/>
      <c r="E190" s="1"/>
      <c r="F190" s="1"/>
      <c r="G190" s="1"/>
      <c r="H190" s="8"/>
      <c r="I190" s="1"/>
      <c r="J190" s="1"/>
      <c r="K190" s="1"/>
      <c r="L190" s="1"/>
      <c r="M190" s="1"/>
      <c r="N190" s="1" t="str">
        <f>IF(ISNUMBER(SEARCH("ANALOG",Table242[[#This Row],[Type]]))=TRUE,1,"")</f>
        <v/>
      </c>
      <c r="O190" s="1" t="str">
        <f>IF(ISNUMBER(SEARCH("BINARY",Table242[[#This Row],[Type]]))=TRUE,1,"")</f>
        <v/>
      </c>
      <c r="P190" t="str">
        <f>IF(Table242[[#This Row],[Type]]="","",LEFT(Table242[[#This Row],[Type]],1)&amp;LEFT($F$2,1))</f>
        <v/>
      </c>
      <c r="Q190" s="1"/>
      <c r="R190" s="1"/>
      <c r="S190" t="str">
        <f>IF(Table242[[#This Row],[A Counter]]=1,"AO"&amp;$F$3+SUM($N$12:N190),IF(Table242[[#This Row],[B Counter]]=1,"BO"&amp;$F$3+SUM($O$12:O190),""))</f>
        <v/>
      </c>
      <c r="T190" s="11"/>
    </row>
    <row r="191" spans="1:20" x14ac:dyDescent="0.25">
      <c r="A191">
        <f t="shared" si="3"/>
        <v>177</v>
      </c>
      <c r="B191" s="91" t="str">
        <f>IFERROR(RIGHT(Table242[[#This Row],[Controller Output '#]],3)*1,"")</f>
        <v/>
      </c>
      <c r="C191" s="91"/>
      <c r="D191" s="1"/>
      <c r="E191" s="1"/>
      <c r="F191" s="1"/>
      <c r="G191" s="1"/>
      <c r="H191" s="8"/>
      <c r="I191" s="1"/>
      <c r="J191" s="1"/>
      <c r="K191" s="3"/>
      <c r="L191" s="1"/>
      <c r="M191" s="1"/>
      <c r="N191" s="1" t="str">
        <f>IF(ISNUMBER(SEARCH("ANALOG",Table242[[#This Row],[Type]]))=TRUE,1,"")</f>
        <v/>
      </c>
      <c r="O191" s="1" t="str">
        <f>IF(ISNUMBER(SEARCH("BINARY",Table242[[#This Row],[Type]]))=TRUE,1,"")</f>
        <v/>
      </c>
      <c r="P191" t="str">
        <f>IF(Table242[[#This Row],[Type]]="","",LEFT(Table242[[#This Row],[Type]],1)&amp;LEFT($F$2,1))</f>
        <v/>
      </c>
      <c r="Q191" s="1"/>
      <c r="R191" s="1"/>
      <c r="S191" t="str">
        <f>IF(Table242[[#This Row],[A Counter]]=1,"AO"&amp;$F$3+SUM($N$12:N191),IF(Table242[[#This Row],[B Counter]]=1,"BO"&amp;$F$3+SUM($O$12:O191),""))</f>
        <v/>
      </c>
      <c r="T191" s="1"/>
    </row>
    <row r="192" spans="1:20" x14ac:dyDescent="0.25">
      <c r="A192">
        <f t="shared" si="3"/>
        <v>178</v>
      </c>
      <c r="B192" s="91" t="str">
        <f>IFERROR(RIGHT(Table242[[#This Row],[Controller Output '#]],3)*1,"")</f>
        <v/>
      </c>
      <c r="C192" s="91"/>
      <c r="D192" s="1"/>
      <c r="E192" s="11"/>
      <c r="F192" s="11"/>
      <c r="G192" s="11"/>
      <c r="H192" s="21"/>
      <c r="I192" s="11"/>
      <c r="J192" s="11"/>
      <c r="K192" s="22"/>
      <c r="L192" s="1"/>
      <c r="M192" s="1"/>
      <c r="N192" s="1" t="str">
        <f>IF(ISNUMBER(SEARCH("ANALOG",Table242[[#This Row],[Type]]))=TRUE,1,"")</f>
        <v/>
      </c>
      <c r="O192" s="1" t="str">
        <f>IF(ISNUMBER(SEARCH("BINARY",Table242[[#This Row],[Type]]))=TRUE,1,"")</f>
        <v/>
      </c>
      <c r="P192" t="str">
        <f>IF(Table242[[#This Row],[Type]]="","",LEFT(Table242[[#This Row],[Type]],1)&amp;LEFT($F$2,1))</f>
        <v/>
      </c>
      <c r="Q192" s="1"/>
      <c r="R192" s="1"/>
      <c r="S192" t="str">
        <f>IF(Table242[[#This Row],[A Counter]]=1,"AO"&amp;$F$3+SUM($N$10:N204),IF(Table242[[#This Row],[B Counter]]=1,"BO"&amp;$F$3+SUM($O$10:O204),""))</f>
        <v/>
      </c>
      <c r="T192" s="1"/>
    </row>
    <row r="193" spans="1:20" x14ac:dyDescent="0.25">
      <c r="A193">
        <f t="shared" si="3"/>
        <v>179</v>
      </c>
      <c r="B193" s="91" t="str">
        <f>IFERROR(RIGHT(Table242[[#This Row],[Controller Output '#]],3)*1,"")</f>
        <v/>
      </c>
      <c r="C193" s="91"/>
      <c r="D193" s="1"/>
      <c r="E193" s="1"/>
      <c r="F193" s="1"/>
      <c r="G193" s="1"/>
      <c r="H193" s="8"/>
      <c r="I193" s="1"/>
      <c r="J193" s="1"/>
      <c r="K193" s="1"/>
      <c r="L193" s="1"/>
      <c r="M193" s="1"/>
      <c r="N193" s="1" t="str">
        <f>IF(ISNUMBER(SEARCH("ANALOG",Table242[[#This Row],[Type]]))=TRUE,1,"")</f>
        <v/>
      </c>
      <c r="O193" s="1" t="str">
        <f>IF(ISNUMBER(SEARCH("BINARY",Table242[[#This Row],[Type]]))=TRUE,1,"")</f>
        <v/>
      </c>
      <c r="P193" t="str">
        <f>IF(Table242[[#This Row],[Type]]="","",LEFT(Table242[[#This Row],[Type]],1)&amp;LEFT($F$2,1))</f>
        <v/>
      </c>
      <c r="Q193" s="1"/>
      <c r="R193" s="1"/>
      <c r="S193" t="str">
        <f>IF(Table242[[#This Row],[A Counter]]=1,"AO"&amp;$F$3+SUM($N$10:N204),IF(Table242[[#This Row],[B Counter]]=1,"BO"&amp;$F$3+SUM($O$10:O204),""))</f>
        <v/>
      </c>
      <c r="T193" s="1"/>
    </row>
    <row r="194" spans="1:20" x14ac:dyDescent="0.25">
      <c r="A194">
        <f t="shared" si="3"/>
        <v>180</v>
      </c>
      <c r="B194" s="91" t="str">
        <f>IFERROR(RIGHT(Table242[[#This Row],[Controller Output '#]],3)*1,"")</f>
        <v/>
      </c>
      <c r="C194" s="91"/>
      <c r="D194" s="1"/>
      <c r="E194" s="1"/>
      <c r="F194" s="1"/>
      <c r="G194" s="1"/>
      <c r="H194" s="8"/>
      <c r="I194" s="1"/>
      <c r="J194" s="1"/>
      <c r="K194" s="1"/>
      <c r="L194" s="1"/>
      <c r="M194" s="1"/>
      <c r="N194" s="1" t="str">
        <f>IF(ISNUMBER(SEARCH("ANALOG",Table242[[#This Row],[Type]]))=TRUE,1,"")</f>
        <v/>
      </c>
      <c r="O194" s="1" t="str">
        <f>IF(ISNUMBER(SEARCH("BINARY",Table242[[#This Row],[Type]]))=TRUE,1,"")</f>
        <v/>
      </c>
      <c r="P194" t="str">
        <f>IF(Table242[[#This Row],[Type]]="","",LEFT(Table242[[#This Row],[Type]],1)&amp;LEFT($F$2,1))</f>
        <v/>
      </c>
      <c r="Q194" s="1"/>
      <c r="R194" s="1"/>
      <c r="S194" t="str">
        <f>IF(Table242[[#This Row],[A Counter]]=1,"AO"&amp;$F$3+SUM($N$10:N204),IF(Table242[[#This Row],[B Counter]]=1,"BO"&amp;$F$3+SUM($O$10:O204),""))</f>
        <v/>
      </c>
      <c r="T194" s="1"/>
    </row>
    <row r="195" spans="1:20" x14ac:dyDescent="0.25">
      <c r="A195">
        <f t="shared" si="3"/>
        <v>181</v>
      </c>
      <c r="B195" s="91" t="str">
        <f>IFERROR(RIGHT(Table242[[#This Row],[Controller Output '#]],3)*1,"")</f>
        <v/>
      </c>
      <c r="C195" s="91"/>
      <c r="D195" s="1"/>
      <c r="E195" s="1"/>
      <c r="F195" s="1"/>
      <c r="G195" s="1"/>
      <c r="H195" s="8"/>
      <c r="I195" s="1"/>
      <c r="J195" s="1"/>
      <c r="K195" s="1"/>
      <c r="L195" s="1"/>
      <c r="M195" s="1"/>
      <c r="N195" s="1"/>
      <c r="O195" s="1"/>
      <c r="Q195" s="1"/>
      <c r="R195" s="1"/>
      <c r="T195" s="1"/>
    </row>
    <row r="196" spans="1:20" x14ac:dyDescent="0.25">
      <c r="A196">
        <f t="shared" si="3"/>
        <v>182</v>
      </c>
      <c r="B196" s="91" t="str">
        <f>IFERROR(RIGHT(Table242[[#This Row],[Controller Output '#]],3)*1,"")</f>
        <v/>
      </c>
      <c r="C196" s="91"/>
      <c r="D196" s="1"/>
      <c r="G196" s="1"/>
      <c r="H196" s="8"/>
      <c r="I196" s="1"/>
      <c r="J196" s="1"/>
      <c r="K196" s="1"/>
      <c r="L196" s="1"/>
      <c r="M196" s="1"/>
      <c r="N196" s="1"/>
      <c r="O196" s="1"/>
      <c r="Q196" s="1"/>
      <c r="R196" s="1"/>
      <c r="T196" s="1"/>
    </row>
    <row r="197" spans="1:20" x14ac:dyDescent="0.25">
      <c r="A197">
        <f t="shared" si="3"/>
        <v>183</v>
      </c>
      <c r="B197" s="91" t="str">
        <f>IFERROR(RIGHT(Table242[[#This Row],[Controller Output '#]],3)*1,"")</f>
        <v/>
      </c>
      <c r="C197" s="91"/>
      <c r="D197" s="1"/>
      <c r="E197" s="1"/>
      <c r="F197" s="1"/>
      <c r="G197" s="1"/>
      <c r="H197" s="8"/>
      <c r="I197" s="1"/>
      <c r="J197" s="1"/>
      <c r="K197" s="1"/>
      <c r="L197" s="1"/>
      <c r="M197" s="1"/>
      <c r="N197" s="1"/>
      <c r="O197" s="1"/>
      <c r="Q197" s="1"/>
      <c r="R197" s="1"/>
      <c r="T197" s="1"/>
    </row>
    <row r="198" spans="1:20" x14ac:dyDescent="0.25">
      <c r="A198">
        <f t="shared" si="3"/>
        <v>184</v>
      </c>
      <c r="B198" s="91" t="str">
        <f>IFERROR(RIGHT(Table242[[#This Row],[Controller Output '#]],3)*1,"")</f>
        <v/>
      </c>
      <c r="C198" s="91"/>
      <c r="D198" s="1"/>
      <c r="G198" s="1"/>
      <c r="H198" s="8"/>
      <c r="I198" s="1"/>
      <c r="J198" s="1"/>
      <c r="K198" s="1"/>
      <c r="L198" s="1"/>
      <c r="M198" s="1"/>
      <c r="N198" s="1"/>
      <c r="O198" s="1"/>
      <c r="Q198" s="1"/>
      <c r="R198" s="1"/>
      <c r="T198" s="1"/>
    </row>
    <row r="199" spans="1:20" x14ac:dyDescent="0.25">
      <c r="A199">
        <f t="shared" si="3"/>
        <v>185</v>
      </c>
      <c r="B199" s="91" t="str">
        <f>IFERROR(RIGHT(Table242[[#This Row],[Controller Output '#]],3)*1,"")</f>
        <v/>
      </c>
      <c r="C199" s="91"/>
      <c r="D199" s="1"/>
      <c r="G199" s="1"/>
      <c r="H199" s="8"/>
      <c r="I199" s="1"/>
      <c r="J199" s="1"/>
      <c r="K199" s="1"/>
      <c r="L199" s="1"/>
      <c r="M199" s="1"/>
      <c r="N199" s="1" t="str">
        <f>IF(ISNUMBER(SEARCH("ANALOG",Table242[[#This Row],[Type]]))=TRUE,1,"")</f>
        <v/>
      </c>
      <c r="O199" s="1" t="str">
        <f>IF(ISNUMBER(SEARCH("BINARY",Table242[[#This Row],[Type]]))=TRUE,1,"")</f>
        <v/>
      </c>
      <c r="P199" t="str">
        <f>IF(Table242[[#This Row],[Type]]="","",LEFT(Table242[[#This Row],[Type]],1)&amp;LEFT($F$2,1))</f>
        <v/>
      </c>
      <c r="Q199" s="1"/>
      <c r="R199" s="1"/>
      <c r="S199" t="str">
        <f>IF(Table242[[#This Row],[A Counter]]=1,"AO"&amp;$F$3+SUM($N$10:N204),IF(Table242[[#This Row],[B Counter]]=1,"BO"&amp;$F$3+SUM($O$10:O204),""))</f>
        <v/>
      </c>
      <c r="T199" s="1"/>
    </row>
    <row r="200" spans="1:20" x14ac:dyDescent="0.25">
      <c r="A200">
        <f t="shared" si="3"/>
        <v>186</v>
      </c>
      <c r="B200" s="91" t="str">
        <f>IFERROR(RIGHT(Table242[[#This Row],[Controller Output '#]],3)*1,"")</f>
        <v/>
      </c>
      <c r="C200" s="91"/>
      <c r="D200" s="1"/>
      <c r="E200" s="24"/>
      <c r="F200" s="24"/>
      <c r="G200" s="1"/>
      <c r="H200" s="8"/>
      <c r="I200" s="1"/>
      <c r="J200" s="1"/>
      <c r="K200" s="1"/>
      <c r="L200" s="1"/>
      <c r="M200" s="1"/>
      <c r="N200" s="1" t="str">
        <f>IF(ISNUMBER(SEARCH("ANALOG",Table242[[#This Row],[Type]]))=TRUE,1,"")</f>
        <v/>
      </c>
      <c r="O200" s="1" t="str">
        <f>IF(ISNUMBER(SEARCH("BINARY",Table242[[#This Row],[Type]]))=TRUE,1,"")</f>
        <v/>
      </c>
      <c r="P200" t="str">
        <f>IF(Table242[[#This Row],[Type]]="","",LEFT(Table242[[#This Row],[Type]],1)&amp;LEFT($F$2,1))</f>
        <v/>
      </c>
      <c r="Q200" s="1"/>
      <c r="R200" s="1"/>
      <c r="S200" t="str">
        <f>IF(Table242[[#This Row],[A Counter]]=1,"AO"&amp;$F$3+SUM($N$10:N204),IF(Table242[[#This Row],[B Counter]]=1,"BO"&amp;$F$3+SUM($O$10:O204),""))</f>
        <v/>
      </c>
      <c r="T200" s="1"/>
    </row>
    <row r="201" spans="1:20" x14ac:dyDescent="0.25">
      <c r="A201">
        <f t="shared" si="3"/>
        <v>187</v>
      </c>
      <c r="B201" s="91" t="str">
        <f>IFERROR(RIGHT(Table242[[#This Row],[Controller Output '#]],3)*1,"")</f>
        <v/>
      </c>
      <c r="C201" s="91"/>
      <c r="D201" s="1"/>
      <c r="H201" s="8"/>
      <c r="I201" s="1"/>
      <c r="J201" s="1"/>
      <c r="K201" s="1"/>
      <c r="L201" s="1"/>
      <c r="M201" s="1"/>
      <c r="N201" s="1" t="str">
        <f>IF(ISNUMBER(SEARCH("ANALOG",Table242[[#This Row],[Type]]))=TRUE,1,"")</f>
        <v/>
      </c>
      <c r="O201" s="1" t="str">
        <f>IF(ISNUMBER(SEARCH("BINARY",Table242[[#This Row],[Type]]))=TRUE,1,"")</f>
        <v/>
      </c>
      <c r="P201" t="str">
        <f>IF(Table242[[#This Row],[Type]]="","",LEFT(Table242[[#This Row],[Type]],1)&amp;LEFT($F$2,1))</f>
        <v/>
      </c>
      <c r="Q201" s="1"/>
      <c r="R201" s="1"/>
      <c r="S201" t="str">
        <f>IF(Table242[[#This Row],[A Counter]]=1,"AO"&amp;$F$3+SUM($N$10:N204),IF(Table242[[#This Row],[B Counter]]=1,"BO"&amp;$F$3+SUM($O$10:O204),""))</f>
        <v/>
      </c>
      <c r="T201" s="1"/>
    </row>
    <row r="202" spans="1:20" x14ac:dyDescent="0.25">
      <c r="A202">
        <f t="shared" si="3"/>
        <v>188</v>
      </c>
      <c r="B202" s="91" t="str">
        <f>IFERROR(RIGHT(Table242[[#This Row],[Controller Output '#]],3)*1,"")</f>
        <v/>
      </c>
      <c r="C202" s="91"/>
      <c r="D202" s="1"/>
      <c r="E202" s="1"/>
      <c r="F202" s="1"/>
      <c r="G202" s="1"/>
      <c r="H202" s="8"/>
      <c r="I202" s="1"/>
      <c r="J202" s="1"/>
      <c r="K202" s="1"/>
      <c r="L202" s="1"/>
      <c r="M202" s="1"/>
      <c r="N202" s="1" t="str">
        <f>IF(ISNUMBER(SEARCH("ANALOG",Table242[[#This Row],[Type]]))=TRUE,1,"")</f>
        <v/>
      </c>
      <c r="O202" s="1" t="str">
        <f>IF(ISNUMBER(SEARCH("BINARY",Table242[[#This Row],[Type]]))=TRUE,1,"")</f>
        <v/>
      </c>
      <c r="P202" t="str">
        <f>IF(Table242[[#This Row],[Type]]="","",LEFT(Table242[[#This Row],[Type]],1)&amp;LEFT($F$2,1))</f>
        <v/>
      </c>
      <c r="Q202" s="1"/>
      <c r="R202" s="1"/>
      <c r="S202" t="str">
        <f>IF(Table242[[#This Row],[A Counter]]=1,"AO"&amp;$F$3+SUM($N$10:N204),IF(Table242[[#This Row],[B Counter]]=1,"BO"&amp;$F$3+SUM($O$10:O204),""))</f>
        <v/>
      </c>
      <c r="T202" s="1"/>
    </row>
    <row r="203" spans="1:20" x14ac:dyDescent="0.25">
      <c r="A203">
        <f t="shared" si="3"/>
        <v>189</v>
      </c>
      <c r="B203" s="91" t="str">
        <f>IFERROR(RIGHT(Table242[[#This Row],[Controller Output '#]],3)*1,"")</f>
        <v/>
      </c>
      <c r="C203" s="91"/>
      <c r="D203" s="1"/>
      <c r="E203" s="1"/>
      <c r="F203" s="1"/>
      <c r="G203" s="1"/>
      <c r="H203" s="8"/>
      <c r="I203" s="1"/>
      <c r="J203" s="1"/>
      <c r="K203" s="1"/>
      <c r="L203" s="1"/>
      <c r="M203" s="1"/>
      <c r="N203" s="1" t="str">
        <f>IF(ISNUMBER(SEARCH("ANALOG",Table242[[#This Row],[Type]]))=TRUE,1,"")</f>
        <v/>
      </c>
      <c r="O203" s="1" t="str">
        <f>IF(ISNUMBER(SEARCH("BINARY",Table242[[#This Row],[Type]]))=TRUE,1,"")</f>
        <v/>
      </c>
      <c r="P203" t="str">
        <f>IF(Table242[[#This Row],[Type]]="","",LEFT(Table242[[#This Row],[Type]],1)&amp;LEFT($F$2,1))</f>
        <v/>
      </c>
      <c r="Q203" s="1"/>
      <c r="R203" s="1"/>
      <c r="S203" t="str">
        <f>IF(Table242[[#This Row],[A Counter]]=1,"AO"&amp;$F$3+SUM($N$10:N204),IF(Table242[[#This Row],[B Counter]]=1,"BO"&amp;$F$3+SUM($O$10:O204),""))</f>
        <v/>
      </c>
      <c r="T203" s="1"/>
    </row>
    <row r="204" spans="1:20" x14ac:dyDescent="0.25">
      <c r="A204">
        <f t="shared" si="3"/>
        <v>190</v>
      </c>
      <c r="B204" s="91" t="str">
        <f>IFERROR(RIGHT(Table242[[#This Row],[Controller Output '#]],3)*1,"")</f>
        <v/>
      </c>
      <c r="C204" s="91"/>
      <c r="D204" s="1"/>
      <c r="E204" s="1"/>
      <c r="F204" s="1"/>
      <c r="G204" s="1"/>
      <c r="H204" s="8"/>
      <c r="I204" s="1"/>
      <c r="J204" s="1"/>
      <c r="K204" s="1"/>
      <c r="L204" s="1"/>
      <c r="M204" s="1"/>
      <c r="N204" s="1" t="str">
        <f>IF(ISNUMBER(SEARCH("ANALOG",Table242[[#This Row],[Type]]))=TRUE,1,"")</f>
        <v/>
      </c>
      <c r="O204" s="1" t="str">
        <f>IF(ISNUMBER(SEARCH("BINARY",Table242[[#This Row],[Type]]))=TRUE,1,"")</f>
        <v/>
      </c>
      <c r="P204" t="str">
        <f>IF(Table242[[#This Row],[Type]]="","",LEFT(Table242[[#This Row],[Type]],1)&amp;LEFT($F$2,1))</f>
        <v/>
      </c>
      <c r="Q204" s="1"/>
      <c r="R204" s="1"/>
      <c r="S204" t="str">
        <f>IF(Table242[[#This Row],[A Counter]]=1,"AO"&amp;$F$3+SUM($N$10:N204),IF(Table242[[#This Row],[B Counter]]=1,"BO"&amp;$F$3+SUM($O$10:O204),""))</f>
        <v/>
      </c>
      <c r="T204" s="1"/>
    </row>
    <row r="355" ht="15" customHeight="1" x14ac:dyDescent="0.25"/>
  </sheetData>
  <sortState xmlns:xlrd2="http://schemas.microsoft.com/office/spreadsheetml/2017/richdata2" ref="B204:B251">
    <sortCondition ref="B204:B251"/>
  </sortState>
  <mergeCells count="3">
    <mergeCell ref="A2:E2"/>
    <mergeCell ref="A3:E3"/>
    <mergeCell ref="A4:E4"/>
  </mergeCells>
  <phoneticPr fontId="4" type="noConversion"/>
  <dataValidations count="10">
    <dataValidation type="list" allowBlank="1" showInputMessage="1" showErrorMessage="1" sqref="F2" xr:uid="{6CBFC423-4443-4F2F-8A4A-53EE5BE90823}">
      <formula1>"Input, Output, Variable, Alarm, Trem, Schedule"</formula1>
    </dataValidation>
    <dataValidation type="list" allowBlank="1" showInputMessage="1" showErrorMessage="1" sqref="J191:J192 J113:J124 J173:J184 J101:J102 J131:J132 J143:J154 J161:J162 J92:J94 J80 J12:J35 J39:J53 J57:J71" xr:uid="{06EFEF46-8EA0-49C0-836C-B0D6DC8B75DC}">
      <formula1>Connection</formula1>
    </dataValidation>
    <dataValidation type="list" allowBlank="1" showInputMessage="1" showErrorMessage="1" sqref="L193 L197:L198 L200:L203 K90 K92:K204 K80 K12:K35 K39:K53 K57:K71" xr:uid="{AA862E21-71EB-42F3-88DD-FC65DE4E3A14}">
      <formula1>Units</formula1>
    </dataValidation>
    <dataValidation type="list" allowBlank="1" showInputMessage="1" showErrorMessage="1" sqref="M34:M35 M90 M92:M193 M71 M12:M32 M40:M53 M57:M69" xr:uid="{FDA5527B-3501-473C-92E8-3CDD6BEE4EBE}">
      <formula1>"AV, BV"</formula1>
    </dataValidation>
    <dataValidation type="list" allowBlank="1" showInputMessage="1" showErrorMessage="1" sqref="T81:T204 T21:T26 T41:T74 T38 T31:T35" xr:uid="{2773CAD2-BD62-434A-A99A-04EB1AE58A74}">
      <formula1>Visibility</formula1>
    </dataValidation>
    <dataValidation type="list" allowBlank="1" showInputMessage="1" showErrorMessage="1" sqref="L194:L196 L204 L199 L90 L92:L192 L80 L12:L35 L39:L53 L57:L71" xr:uid="{AD2E8AFA-1388-4F2D-A17B-F221A6A70D68}">
      <formula1>INDIRECT(I12)</formula1>
    </dataValidation>
    <dataValidation type="list" allowBlank="1" showInputMessage="1" showErrorMessage="1" sqref="J32 J163:J172 J185:J190 J103:J112 J95:J100 J125:J130 J155:J160 J133:J142 J193 J92 J90 J195:J197 J200:J204" xr:uid="{5D74510A-068B-4170-A5E4-A41F7ED7A038}">
      <formula1>"Direct, Comm"</formula1>
    </dataValidation>
    <dataValidation type="list" allowBlank="1" showInputMessage="1" showErrorMessage="1" sqref="I90 I92:I204 I80 I12:I35 I39:I53 I57:I71" xr:uid="{06EE4E35-F6E3-4DDF-8D46-A4D2728CF4F1}">
      <formula1>Type</formula1>
    </dataValidation>
    <dataValidation type="list" allowBlank="1" showInputMessage="1" showErrorMessage="1" sqref="Q90 Q92:Q204 Q80 Q12:Q35 Q40:Q53 Q57:Q71" xr:uid="{4B0040A0-475E-40AD-A0BD-50E350456110}">
      <formula1>BacNetStatus</formula1>
    </dataValidation>
    <dataValidation type="list" allowBlank="1" showInputMessage="1" showErrorMessage="1" sqref="D12:D26 D31:D36 D39:D204" xr:uid="{8759FB6D-29EE-445E-93EA-3DB19B9161C3}">
      <formula1>#REF!</formula1>
    </dataValidation>
  </dataValidations>
  <pageMargins left="0.7" right="0.7" top="0.75" bottom="0.75" header="0.3" footer="0.3"/>
  <pageSetup paperSize="3" scale="70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6F6AF-780A-4C57-A4E5-5C35721B1F89}">
  <sheetPr codeName="Sheet6"/>
  <dimension ref="A1:AD446"/>
  <sheetViews>
    <sheetView zoomScaleNormal="100" zoomScaleSheetLayoutView="130" workbookViewId="0">
      <pane xSplit="1" ySplit="9" topLeftCell="B10" activePane="bottomRight" state="frozen"/>
      <selection pane="topRight" activeCell="S3" sqref="S3"/>
      <selection pane="bottomLeft" activeCell="S3" sqref="S3"/>
      <selection pane="bottomRight" activeCell="J82" sqref="J82"/>
    </sheetView>
  </sheetViews>
  <sheetFormatPr defaultColWidth="9.140625" defaultRowHeight="15" x14ac:dyDescent="0.25"/>
  <cols>
    <col min="3" max="3" width="13.85546875" bestFit="1" customWidth="1"/>
    <col min="4" max="4" width="11.42578125" customWidth="1"/>
    <col min="5" max="5" width="55.85546875" bestFit="1" customWidth="1"/>
    <col min="6" max="6" width="15.7109375" bestFit="1" customWidth="1"/>
    <col min="8" max="8" width="20.28515625" customWidth="1"/>
    <col min="12" max="12" width="11.140625" bestFit="1" customWidth="1"/>
    <col min="29" max="29" width="14.140625" bestFit="1" customWidth="1"/>
  </cols>
  <sheetData>
    <row r="1" spans="1:30" ht="67.5" customHeight="1" x14ac:dyDescent="0.25">
      <c r="C1" t="s">
        <v>1136</v>
      </c>
    </row>
    <row r="5" spans="1:30" hidden="1" x14ac:dyDescent="0.25"/>
    <row r="6" spans="1:30" hidden="1" x14ac:dyDescent="0.25"/>
    <row r="7" spans="1:30" ht="7.5" hidden="1" customHeight="1" x14ac:dyDescent="0.25"/>
    <row r="8" spans="1:30" ht="36" hidden="1" customHeight="1" x14ac:dyDescent="0.25"/>
    <row r="9" spans="1:30" ht="36" customHeight="1" x14ac:dyDescent="0.25">
      <c r="A9" t="s">
        <v>44</v>
      </c>
      <c r="B9" s="4" t="s">
        <v>63</v>
      </c>
      <c r="C9" s="4" t="s">
        <v>64</v>
      </c>
      <c r="D9" s="4" t="s">
        <v>47</v>
      </c>
      <c r="E9" t="s">
        <v>48</v>
      </c>
      <c r="F9" t="s">
        <v>49</v>
      </c>
      <c r="G9" t="s">
        <v>65</v>
      </c>
      <c r="H9" t="s">
        <v>66</v>
      </c>
      <c r="I9" t="s">
        <v>51</v>
      </c>
      <c r="J9" t="s">
        <v>52</v>
      </c>
      <c r="K9" s="6" t="s">
        <v>53</v>
      </c>
      <c r="L9" s="7" t="s">
        <v>54</v>
      </c>
      <c r="M9" s="7" t="s">
        <v>55</v>
      </c>
      <c r="N9" s="7" t="s">
        <v>56</v>
      </c>
      <c r="O9" s="7" t="s">
        <v>57</v>
      </c>
      <c r="P9" s="7" t="s">
        <v>58</v>
      </c>
      <c r="Q9" s="7" t="s">
        <v>59</v>
      </c>
      <c r="R9" s="7" t="s">
        <v>60</v>
      </c>
      <c r="S9" s="7" t="s">
        <v>61</v>
      </c>
      <c r="T9" s="7" t="s">
        <v>62</v>
      </c>
      <c r="U9" s="7" t="s">
        <v>594</v>
      </c>
    </row>
    <row r="10" spans="1:30" x14ac:dyDescent="0.25">
      <c r="A10">
        <v>1</v>
      </c>
      <c r="B10" s="93">
        <f>IFERROR(RIGHT(Table246[[#This Row],[Controller Input '#]],3)*1,"")</f>
        <v>101</v>
      </c>
      <c r="C10" s="93" t="s">
        <v>1021</v>
      </c>
      <c r="D10" s="87"/>
      <c r="E10" s="92" t="s">
        <v>596</v>
      </c>
      <c r="F10" s="87" t="s">
        <v>1125</v>
      </c>
      <c r="G10" s="92" t="s">
        <v>112</v>
      </c>
      <c r="H10" s="92"/>
      <c r="I10" s="92" t="s">
        <v>1018</v>
      </c>
      <c r="J10" s="92" t="s">
        <v>71</v>
      </c>
      <c r="K10" s="1"/>
      <c r="L10" s="1"/>
      <c r="M10" s="1"/>
      <c r="N10" s="1"/>
      <c r="O10" s="1"/>
      <c r="Q10" s="1"/>
      <c r="R10" s="1"/>
      <c r="S10" s="7"/>
      <c r="T10" s="1"/>
      <c r="V10" cm="1">
        <f t="array" ref="V10:V82">_xlfn.UNIQUE(Table246[XNNOV '#])</f>
        <v>101</v>
      </c>
    </row>
    <row r="11" spans="1:30" x14ac:dyDescent="0.25">
      <c r="A11">
        <f t="shared" ref="A11:A74" si="0">A10+1</f>
        <v>2</v>
      </c>
      <c r="B11" s="130">
        <f>IFERROR(RIGHT(Table246[[#This Row],[Controller Input '#]],3)*1,"")</f>
        <v>102</v>
      </c>
      <c r="C11" s="130" t="s">
        <v>1137</v>
      </c>
      <c r="D11" s="107"/>
      <c r="E11" s="107" t="s">
        <v>598</v>
      </c>
      <c r="F11" s="107" t="s">
        <v>1124</v>
      </c>
      <c r="G11" s="92" t="s">
        <v>112</v>
      </c>
      <c r="H11" s="92"/>
      <c r="I11" s="92" t="s">
        <v>1018</v>
      </c>
      <c r="J11" s="92" t="s">
        <v>71</v>
      </c>
      <c r="K11" s="1"/>
      <c r="L11" s="1"/>
      <c r="M11" s="1"/>
      <c r="N11" s="1"/>
      <c r="O11" s="1"/>
      <c r="Q11" s="1"/>
      <c r="R11" s="1"/>
      <c r="S11" s="7"/>
      <c r="T11" s="1"/>
      <c r="U11" s="67"/>
      <c r="V11">
        <v>102</v>
      </c>
    </row>
    <row r="12" spans="1:30" x14ac:dyDescent="0.25">
      <c r="A12">
        <f t="shared" si="0"/>
        <v>3</v>
      </c>
      <c r="B12" s="93">
        <f>IFERROR(RIGHT(Table246[[#This Row],[Controller Input '#]],3)*1,"")</f>
        <v>103</v>
      </c>
      <c r="C12" s="130" t="s">
        <v>1022</v>
      </c>
      <c r="D12" s="107"/>
      <c r="E12" s="107" t="s">
        <v>1016</v>
      </c>
      <c r="F12" s="104" t="s">
        <v>1017</v>
      </c>
      <c r="G12" s="92" t="s">
        <v>133</v>
      </c>
      <c r="H12" s="92"/>
      <c r="I12" s="92" t="s">
        <v>70</v>
      </c>
      <c r="J12" s="92" t="s">
        <v>71</v>
      </c>
      <c r="K12" s="1"/>
      <c r="L12" s="1"/>
      <c r="M12" s="104"/>
      <c r="N12" s="104">
        <v>1</v>
      </c>
      <c r="O12" s="104"/>
      <c r="P12" s="87" t="s">
        <v>940</v>
      </c>
      <c r="Q12" s="104"/>
      <c r="R12" s="104"/>
      <c r="S12" s="131" t="s">
        <v>1002</v>
      </c>
      <c r="T12" s="106" t="s">
        <v>34</v>
      </c>
      <c r="U12" s="7"/>
      <c r="V12">
        <v>103</v>
      </c>
    </row>
    <row r="13" spans="1:30" x14ac:dyDescent="0.25">
      <c r="A13">
        <f t="shared" si="0"/>
        <v>4</v>
      </c>
      <c r="B13" s="130">
        <f>IFERROR(RIGHT(Table246[[#This Row],[Controller Input '#]],3)*1,"")</f>
        <v>104</v>
      </c>
      <c r="C13" s="130" t="s">
        <v>1023</v>
      </c>
      <c r="D13" s="107"/>
      <c r="E13" s="107" t="s">
        <v>1126</v>
      </c>
      <c r="F13" s="107" t="s">
        <v>1127</v>
      </c>
      <c r="G13" s="92" t="s">
        <v>133</v>
      </c>
      <c r="H13" s="92"/>
      <c r="I13" s="92" t="s">
        <v>70</v>
      </c>
      <c r="J13" s="92" t="s">
        <v>71</v>
      </c>
      <c r="K13" s="1"/>
      <c r="L13" s="1"/>
      <c r="M13" s="92"/>
      <c r="N13" s="92"/>
      <c r="O13" s="92">
        <v>1</v>
      </c>
      <c r="P13" s="92" t="s">
        <v>941</v>
      </c>
      <c r="Q13" s="92"/>
      <c r="R13" s="92"/>
      <c r="S13" s="92" t="s">
        <v>1003</v>
      </c>
      <c r="T13" s="132"/>
      <c r="U13" s="7"/>
      <c r="V13">
        <v>104</v>
      </c>
    </row>
    <row r="14" spans="1:30" x14ac:dyDescent="0.25">
      <c r="A14">
        <f t="shared" si="0"/>
        <v>5</v>
      </c>
      <c r="B14" s="93">
        <f>IFERROR(RIGHT(Table246[[#This Row],[Controller Input '#]],3)*1,"")</f>
        <v>105</v>
      </c>
      <c r="C14" s="130" t="s">
        <v>1024</v>
      </c>
      <c r="D14" s="107"/>
      <c r="E14" s="107" t="s">
        <v>95</v>
      </c>
      <c r="F14" s="104" t="s">
        <v>96</v>
      </c>
      <c r="G14" s="104" t="s">
        <v>218</v>
      </c>
      <c r="H14" s="105"/>
      <c r="I14" s="104" t="s">
        <v>70</v>
      </c>
      <c r="J14" s="104" t="s">
        <v>71</v>
      </c>
      <c r="K14" s="104" t="s">
        <v>84</v>
      </c>
      <c r="L14" s="104" t="s">
        <v>85</v>
      </c>
      <c r="M14" s="87"/>
      <c r="N14" s="87"/>
      <c r="O14" s="87">
        <v>1</v>
      </c>
      <c r="P14" s="87" t="s">
        <v>941</v>
      </c>
      <c r="Q14" s="87"/>
      <c r="R14" s="87"/>
      <c r="S14" s="87" t="s">
        <v>1003</v>
      </c>
      <c r="T14" s="133" t="s">
        <v>34</v>
      </c>
      <c r="U14" s="7"/>
      <c r="V14">
        <v>105</v>
      </c>
      <c r="W14" s="24" t="s">
        <v>83</v>
      </c>
      <c r="Y14" t="s">
        <v>86</v>
      </c>
      <c r="Z14" t="s">
        <v>87</v>
      </c>
      <c r="AA14">
        <v>3</v>
      </c>
      <c r="AC14" t="str">
        <f t="shared" ref="AC14:AC16" si="1">Y14&amp;"_"&amp;Z14&amp;AA14</f>
        <v>Suc_T3</v>
      </c>
      <c r="AD14" t="b">
        <f t="shared" ref="AD14:AD33" si="2">AC14=W14</f>
        <v>0</v>
      </c>
    </row>
    <row r="15" spans="1:30" x14ac:dyDescent="0.25">
      <c r="A15">
        <f t="shared" si="0"/>
        <v>6</v>
      </c>
      <c r="B15" s="130">
        <f>IFERROR(RIGHT(Table246[[#This Row],[Controller Input '#]],3)*1,"")</f>
        <v>106</v>
      </c>
      <c r="C15" s="130" t="s">
        <v>1025</v>
      </c>
      <c r="D15" s="75" t="s">
        <v>1004</v>
      </c>
      <c r="E15" s="92" t="s">
        <v>1013</v>
      </c>
      <c r="F15" s="92" t="s">
        <v>1014</v>
      </c>
      <c r="G15" s="92" t="s">
        <v>112</v>
      </c>
      <c r="H15" s="92"/>
      <c r="I15" s="92" t="s">
        <v>103</v>
      </c>
      <c r="J15" s="92" t="s">
        <v>71</v>
      </c>
      <c r="K15" s="92" t="s">
        <v>112</v>
      </c>
      <c r="L15" s="92"/>
      <c r="M15" s="92"/>
      <c r="N15" s="92"/>
      <c r="O15" s="92"/>
      <c r="P15" s="92"/>
      <c r="Q15" s="92" t="e">
        <f>IF(Table24[[#This Row],[Type]]="","",LEFT(Table24[[#This Row],[Type]],1)&amp;LEFT(#REF!,1))</f>
        <v>#REF!</v>
      </c>
      <c r="R15" s="92"/>
      <c r="S15" s="92"/>
      <c r="T15" s="92"/>
      <c r="V15">
        <v>106</v>
      </c>
      <c r="W15" s="25" t="s">
        <v>89</v>
      </c>
      <c r="Y15" t="s">
        <v>91</v>
      </c>
      <c r="Z15" t="s">
        <v>87</v>
      </c>
      <c r="AA15">
        <v>3</v>
      </c>
      <c r="AC15" t="str">
        <f t="shared" si="1"/>
        <v>Dis_T3</v>
      </c>
      <c r="AD15" t="b">
        <f t="shared" si="2"/>
        <v>0</v>
      </c>
    </row>
    <row r="16" spans="1:30" x14ac:dyDescent="0.25">
      <c r="A16">
        <f t="shared" si="0"/>
        <v>7</v>
      </c>
      <c r="B16" s="93">
        <f>IFERROR(RIGHT(Table246[[#This Row],[Controller Input '#]],3)*1,"")</f>
        <v>107</v>
      </c>
      <c r="C16" s="130" t="s">
        <v>1026</v>
      </c>
      <c r="D16" s="81" t="s">
        <v>1004</v>
      </c>
      <c r="E16" s="92" t="s">
        <v>1138</v>
      </c>
      <c r="F16" s="87" t="s">
        <v>1139</v>
      </c>
      <c r="G16" s="87" t="s">
        <v>112</v>
      </c>
      <c r="H16" s="87"/>
      <c r="I16" s="87" t="s">
        <v>103</v>
      </c>
      <c r="J16" s="87" t="s">
        <v>71</v>
      </c>
      <c r="K16" s="87" t="s">
        <v>112</v>
      </c>
      <c r="L16" s="87"/>
      <c r="M16" s="104"/>
      <c r="N16" s="104"/>
      <c r="O16" s="104"/>
      <c r="P16" s="87"/>
      <c r="Q16" s="104" t="e">
        <f>IF(Table24[[#This Row],[Type]]="","",LEFT(Table24[[#This Row],[Type]],1)&amp;LEFT(#REF!,1))</f>
        <v>#REF!</v>
      </c>
      <c r="R16" s="104"/>
      <c r="S16" s="131"/>
      <c r="T16" s="106"/>
      <c r="V16">
        <v>107</v>
      </c>
      <c r="W16" s="24" t="s">
        <v>93</v>
      </c>
      <c r="Y16" t="s">
        <v>94</v>
      </c>
      <c r="Z16" t="s">
        <v>87</v>
      </c>
      <c r="AA16">
        <v>3</v>
      </c>
      <c r="AC16" t="str">
        <f t="shared" si="1"/>
        <v>Liq_T3</v>
      </c>
      <c r="AD16" t="b">
        <f t="shared" si="2"/>
        <v>0</v>
      </c>
    </row>
    <row r="17" spans="1:30" x14ac:dyDescent="0.25">
      <c r="A17">
        <f t="shared" si="0"/>
        <v>8</v>
      </c>
      <c r="B17" s="130">
        <f>IFERROR(RIGHT(Table246[[#This Row],[Controller Input '#]],3)*1,"")</f>
        <v>108</v>
      </c>
      <c r="C17" s="130" t="s">
        <v>1027</v>
      </c>
      <c r="D17" s="75" t="s">
        <v>1004</v>
      </c>
      <c r="E17" s="107" t="s">
        <v>1140</v>
      </c>
      <c r="F17" s="92" t="s">
        <v>1141</v>
      </c>
      <c r="G17" s="107" t="s">
        <v>112</v>
      </c>
      <c r="H17" s="107"/>
      <c r="I17" s="107" t="s">
        <v>103</v>
      </c>
      <c r="J17" s="107" t="s">
        <v>71</v>
      </c>
      <c r="K17" s="92" t="s">
        <v>112</v>
      </c>
      <c r="L17" s="107"/>
      <c r="M17" s="107"/>
      <c r="N17" s="107"/>
      <c r="O17" s="107"/>
      <c r="P17" s="107"/>
      <c r="Q17" s="107" t="str">
        <f>IF(Table24[[#This Row],[Type]]="","",LEFT(Table24[[#This Row],[Type]],1)&amp;LEFT(#REF!,1))</f>
        <v/>
      </c>
      <c r="R17" s="107"/>
      <c r="S17" s="107"/>
      <c r="T17" s="107"/>
      <c r="V17">
        <v>108</v>
      </c>
      <c r="W17" s="24" t="s">
        <v>97</v>
      </c>
      <c r="Y17" t="s">
        <v>98</v>
      </c>
      <c r="Z17" t="s">
        <v>99</v>
      </c>
      <c r="AA17">
        <v>3</v>
      </c>
      <c r="AC17" t="str">
        <f>Y17&amp;"_"&amp;Z17&amp;AA17</f>
        <v>EEV_Fdk3</v>
      </c>
      <c r="AD17" t="b">
        <f t="shared" si="2"/>
        <v>0</v>
      </c>
    </row>
    <row r="18" spans="1:30" x14ac:dyDescent="0.25">
      <c r="A18">
        <f t="shared" si="0"/>
        <v>9</v>
      </c>
      <c r="B18" s="93">
        <f>IFERROR(RIGHT(Table246[[#This Row],[Controller Input '#]],3)*1,"")</f>
        <v>201</v>
      </c>
      <c r="C18" s="134" t="s">
        <v>1028</v>
      </c>
      <c r="D18" s="75" t="s">
        <v>1004</v>
      </c>
      <c r="E18" s="123" t="s">
        <v>110</v>
      </c>
      <c r="F18" s="109" t="s">
        <v>111</v>
      </c>
      <c r="G18" s="109" t="s">
        <v>112</v>
      </c>
      <c r="H18" s="111"/>
      <c r="I18" s="109" t="s">
        <v>103</v>
      </c>
      <c r="J18" s="109" t="s">
        <v>71</v>
      </c>
      <c r="K18" s="109" t="s">
        <v>112</v>
      </c>
      <c r="L18" s="109"/>
      <c r="M18" s="109"/>
      <c r="N18" s="114"/>
      <c r="O18" s="114">
        <v>1</v>
      </c>
      <c r="P18" s="77" t="s">
        <v>941</v>
      </c>
      <c r="Q18" s="114"/>
      <c r="R18" s="114"/>
      <c r="S18" s="77" t="s">
        <v>1009</v>
      </c>
      <c r="T18" s="115" t="s">
        <v>34</v>
      </c>
      <c r="U18" s="7"/>
      <c r="V18">
        <v>201</v>
      </c>
      <c r="W18" s="24" t="s">
        <v>104</v>
      </c>
      <c r="Y18" t="s">
        <v>98</v>
      </c>
      <c r="Z18" t="s">
        <v>105</v>
      </c>
      <c r="AA18">
        <v>3</v>
      </c>
      <c r="AC18" t="str">
        <f>Y18&amp;"_"&amp;Z18&amp;AA18</f>
        <v>EEV_Sts3</v>
      </c>
      <c r="AD18" t="b">
        <f t="shared" si="2"/>
        <v>0</v>
      </c>
    </row>
    <row r="19" spans="1:30" x14ac:dyDescent="0.25">
      <c r="A19">
        <f t="shared" si="0"/>
        <v>10</v>
      </c>
      <c r="B19" s="130">
        <f>IFERROR(RIGHT(Table246[[#This Row],[Controller Input '#]],3)*1,"")</f>
        <v>202</v>
      </c>
      <c r="C19" s="134" t="s">
        <v>1019</v>
      </c>
      <c r="D19" s="78" t="s">
        <v>1004</v>
      </c>
      <c r="E19" s="123" t="s">
        <v>116</v>
      </c>
      <c r="F19" s="108" t="s">
        <v>117</v>
      </c>
      <c r="G19" s="108" t="s">
        <v>112</v>
      </c>
      <c r="H19" s="112"/>
      <c r="I19" s="108" t="s">
        <v>103</v>
      </c>
      <c r="J19" s="108" t="s">
        <v>71</v>
      </c>
      <c r="K19" s="108" t="s">
        <v>112</v>
      </c>
      <c r="L19" s="108"/>
      <c r="M19" s="108"/>
      <c r="N19" s="113"/>
      <c r="O19" s="113">
        <v>1</v>
      </c>
      <c r="P19" s="79" t="s">
        <v>941</v>
      </c>
      <c r="Q19" s="113"/>
      <c r="R19" s="113"/>
      <c r="S19" s="79" t="s">
        <v>1010</v>
      </c>
      <c r="T19" s="116" t="s">
        <v>34</v>
      </c>
      <c r="U19" s="7"/>
      <c r="V19">
        <v>202</v>
      </c>
      <c r="W19" t="s">
        <v>101</v>
      </c>
      <c r="Y19" t="s">
        <v>108</v>
      </c>
      <c r="Z19" t="s">
        <v>109</v>
      </c>
      <c r="AA19">
        <v>3</v>
      </c>
      <c r="AC19" t="str">
        <f t="shared" ref="AC19" si="3">Y19&amp;"_"&amp;Z19&amp;AA19</f>
        <v>LP_Sw3</v>
      </c>
      <c r="AD19" t="b">
        <f t="shared" si="2"/>
        <v>0</v>
      </c>
    </row>
    <row r="20" spans="1:30" x14ac:dyDescent="0.25">
      <c r="A20">
        <f t="shared" si="0"/>
        <v>11</v>
      </c>
      <c r="B20" s="93">
        <f>IFERROR(RIGHT(Table246[[#This Row],[Controller Input '#]],3)*1,"")</f>
        <v>203</v>
      </c>
      <c r="C20" s="134" t="s">
        <v>1029</v>
      </c>
      <c r="D20" s="75"/>
      <c r="E20" s="123" t="s">
        <v>120</v>
      </c>
      <c r="F20" s="109" t="s">
        <v>121</v>
      </c>
      <c r="G20" s="109" t="s">
        <v>112</v>
      </c>
      <c r="H20" s="111"/>
      <c r="I20" s="109" t="s">
        <v>103</v>
      </c>
      <c r="J20" s="109" t="s">
        <v>71</v>
      </c>
      <c r="K20" s="109" t="s">
        <v>112</v>
      </c>
      <c r="L20" s="109"/>
      <c r="M20" s="109"/>
      <c r="N20" s="109"/>
      <c r="O20" s="109"/>
      <c r="P20" s="76"/>
      <c r="Q20" s="114"/>
      <c r="R20" s="114"/>
      <c r="S20" s="77"/>
      <c r="T20" s="115" t="s">
        <v>34</v>
      </c>
      <c r="U20" s="7"/>
      <c r="V20">
        <v>203</v>
      </c>
      <c r="W20" t="s">
        <v>113</v>
      </c>
      <c r="Y20" t="s">
        <v>114</v>
      </c>
      <c r="Z20" t="s">
        <v>115</v>
      </c>
      <c r="AA20">
        <v>3</v>
      </c>
      <c r="AB20">
        <v>1</v>
      </c>
      <c r="AC20" t="str">
        <f>Y20&amp;"_"&amp;Z20&amp;AA20&amp;"-"&amp;AB20</f>
        <v>Comp_Amp3-1</v>
      </c>
      <c r="AD20" t="b">
        <f t="shared" si="2"/>
        <v>0</v>
      </c>
    </row>
    <row r="21" spans="1:30" x14ac:dyDescent="0.25">
      <c r="A21">
        <f t="shared" si="0"/>
        <v>12</v>
      </c>
      <c r="B21" s="130">
        <f>IFERROR(RIGHT(Table246[[#This Row],[Controller Input '#]],3)*1,"")</f>
        <v>204</v>
      </c>
      <c r="C21" s="134" t="s">
        <v>1030</v>
      </c>
      <c r="D21" s="78"/>
      <c r="E21" s="123" t="s">
        <v>131</v>
      </c>
      <c r="F21" s="108" t="s">
        <v>132</v>
      </c>
      <c r="G21" s="108" t="s">
        <v>133</v>
      </c>
      <c r="H21" s="112"/>
      <c r="I21" s="108" t="s">
        <v>70</v>
      </c>
      <c r="J21" s="108" t="s">
        <v>71</v>
      </c>
      <c r="K21" s="108" t="s">
        <v>80</v>
      </c>
      <c r="L21" s="108"/>
      <c r="M21" s="108" t="s">
        <v>142</v>
      </c>
      <c r="N21" s="113">
        <v>1</v>
      </c>
      <c r="O21" s="113"/>
      <c r="P21" s="79" t="s">
        <v>940</v>
      </c>
      <c r="Q21" s="108"/>
      <c r="R21" s="108"/>
      <c r="S21" s="79"/>
      <c r="T21" s="116" t="s">
        <v>34</v>
      </c>
      <c r="U21" s="7"/>
      <c r="V21">
        <v>204</v>
      </c>
      <c r="W21" t="s">
        <v>118</v>
      </c>
      <c r="Y21" t="s">
        <v>114</v>
      </c>
      <c r="Z21" t="s">
        <v>119</v>
      </c>
      <c r="AA21">
        <v>3</v>
      </c>
      <c r="AB21">
        <v>1</v>
      </c>
      <c r="AC21" t="str">
        <f t="shared" ref="AC21:AC33" si="4">Y21&amp;"_"&amp;Z21&amp;AA21&amp;"-"&amp;AB21</f>
        <v>Comp_kW3-1</v>
      </c>
      <c r="AD21" t="b">
        <f t="shared" si="2"/>
        <v>0</v>
      </c>
    </row>
    <row r="22" spans="1:30" x14ac:dyDescent="0.25">
      <c r="A22">
        <f t="shared" si="0"/>
        <v>13</v>
      </c>
      <c r="B22" s="93">
        <f>IFERROR(RIGHT(Table246[[#This Row],[Controller Input '#]],3)*1,"")</f>
        <v>205</v>
      </c>
      <c r="C22" s="134" t="s">
        <v>1031</v>
      </c>
      <c r="D22" s="75"/>
      <c r="E22" s="123" t="s">
        <v>139</v>
      </c>
      <c r="F22" s="109" t="s">
        <v>140</v>
      </c>
      <c r="G22" s="109" t="s">
        <v>133</v>
      </c>
      <c r="H22" s="111"/>
      <c r="I22" s="109" t="s">
        <v>70</v>
      </c>
      <c r="J22" s="109" t="s">
        <v>71</v>
      </c>
      <c r="K22" s="109" t="s">
        <v>80</v>
      </c>
      <c r="L22" s="109"/>
      <c r="M22" s="109"/>
      <c r="N22" s="109"/>
      <c r="O22" s="109"/>
      <c r="P22" s="76"/>
      <c r="Q22" s="109"/>
      <c r="R22" s="109"/>
      <c r="S22" s="77"/>
      <c r="T22" s="115" t="s">
        <v>34</v>
      </c>
      <c r="U22" s="7"/>
      <c r="V22">
        <v>205</v>
      </c>
    </row>
    <row r="23" spans="1:30" x14ac:dyDescent="0.25">
      <c r="A23">
        <f t="shared" si="0"/>
        <v>14</v>
      </c>
      <c r="B23" s="130">
        <f>IFERROR(RIGHT(Table246[[#This Row],[Controller Input '#]],3)*1,"")</f>
        <v>206</v>
      </c>
      <c r="C23" s="134" t="s">
        <v>1032</v>
      </c>
      <c r="D23" s="78"/>
      <c r="E23" s="123" t="s">
        <v>1131</v>
      </c>
      <c r="F23" s="108" t="s">
        <v>1036</v>
      </c>
      <c r="G23" s="108" t="s">
        <v>133</v>
      </c>
      <c r="H23" s="108"/>
      <c r="I23" s="108" t="s">
        <v>70</v>
      </c>
      <c r="J23" s="108" t="s">
        <v>71</v>
      </c>
      <c r="K23" s="108" t="s">
        <v>80</v>
      </c>
      <c r="L23" s="108"/>
      <c r="M23" s="108"/>
      <c r="N23" s="108"/>
      <c r="O23" s="108"/>
      <c r="P23" s="108"/>
      <c r="Q23" s="108"/>
      <c r="R23" s="108"/>
      <c r="S23" s="108"/>
      <c r="T23" s="108" t="s">
        <v>34</v>
      </c>
      <c r="U23" s="108"/>
      <c r="V23">
        <v>206</v>
      </c>
      <c r="W23" t="s">
        <v>122</v>
      </c>
      <c r="Y23" t="s">
        <v>123</v>
      </c>
      <c r="Z23" t="s">
        <v>124</v>
      </c>
      <c r="AA23">
        <v>3</v>
      </c>
      <c r="AB23">
        <v>1</v>
      </c>
      <c r="AC23" t="str">
        <f>Y23&amp;"_"&amp;Z23&amp;AA23&amp;"-"&amp;AB23</f>
        <v>Cond_Alm3-1</v>
      </c>
      <c r="AD23" t="b">
        <f>AC23=W23</f>
        <v>0</v>
      </c>
    </row>
    <row r="24" spans="1:30" x14ac:dyDescent="0.25">
      <c r="A24">
        <f t="shared" si="0"/>
        <v>15</v>
      </c>
      <c r="B24" s="93">
        <f>IFERROR(RIGHT(Table246[[#This Row],[Controller Input '#]],3)*1,"")</f>
        <v>207</v>
      </c>
      <c r="C24" s="134" t="s">
        <v>1033</v>
      </c>
      <c r="D24" s="75"/>
      <c r="E24" s="123" t="s">
        <v>100</v>
      </c>
      <c r="F24" s="109" t="s">
        <v>101</v>
      </c>
      <c r="G24" s="109" t="s">
        <v>102</v>
      </c>
      <c r="H24" s="111"/>
      <c r="I24" s="109" t="s">
        <v>103</v>
      </c>
      <c r="J24" s="109" t="s">
        <v>71</v>
      </c>
      <c r="K24" s="109" t="s">
        <v>102</v>
      </c>
      <c r="L24" s="109"/>
      <c r="M24" s="109"/>
      <c r="N24" s="114"/>
      <c r="O24" s="114">
        <v>1</v>
      </c>
      <c r="P24" s="77" t="s">
        <v>941</v>
      </c>
      <c r="Q24" s="114"/>
      <c r="R24" s="114"/>
      <c r="S24" s="77" t="s">
        <v>1007</v>
      </c>
      <c r="T24" s="115" t="s">
        <v>34</v>
      </c>
      <c r="U24" s="7"/>
      <c r="V24">
        <v>207</v>
      </c>
      <c r="W24" t="s">
        <v>126</v>
      </c>
      <c r="Y24" t="s">
        <v>114</v>
      </c>
      <c r="Z24" t="s">
        <v>105</v>
      </c>
      <c r="AA24">
        <v>3</v>
      </c>
      <c r="AB24">
        <v>1</v>
      </c>
      <c r="AC24" t="str">
        <f t="shared" si="4"/>
        <v>Comp_Sts3-1</v>
      </c>
      <c r="AD24" t="b">
        <f t="shared" si="2"/>
        <v>0</v>
      </c>
    </row>
    <row r="25" spans="1:30" x14ac:dyDescent="0.25">
      <c r="A25">
        <f t="shared" si="0"/>
        <v>16</v>
      </c>
      <c r="B25" s="130">
        <f>IFERROR(RIGHT(Table246[[#This Row],[Controller Input '#]],3)*1,"")</f>
        <v>208</v>
      </c>
      <c r="C25" s="134" t="s">
        <v>1034</v>
      </c>
      <c r="D25" s="78"/>
      <c r="E25" s="123" t="s">
        <v>106</v>
      </c>
      <c r="F25" s="108" t="s">
        <v>107</v>
      </c>
      <c r="G25" s="108" t="s">
        <v>102</v>
      </c>
      <c r="H25" s="112"/>
      <c r="I25" s="108" t="s">
        <v>103</v>
      </c>
      <c r="J25" s="108" t="s">
        <v>71</v>
      </c>
      <c r="K25" s="108" t="s">
        <v>102</v>
      </c>
      <c r="L25" s="108"/>
      <c r="M25" s="108"/>
      <c r="N25" s="113"/>
      <c r="O25" s="113">
        <v>1</v>
      </c>
      <c r="P25" s="79" t="s">
        <v>941</v>
      </c>
      <c r="Q25" s="113"/>
      <c r="R25" s="113"/>
      <c r="S25" s="79" t="s">
        <v>1008</v>
      </c>
      <c r="T25" s="116" t="s">
        <v>34</v>
      </c>
      <c r="U25" s="7"/>
      <c r="V25">
        <v>208</v>
      </c>
      <c r="W25" t="s">
        <v>128</v>
      </c>
      <c r="Y25" t="s">
        <v>114</v>
      </c>
      <c r="Z25" t="s">
        <v>124</v>
      </c>
      <c r="AA25">
        <v>3</v>
      </c>
      <c r="AB25">
        <v>1</v>
      </c>
      <c r="AC25" t="str">
        <f t="shared" si="4"/>
        <v>Comp_Alm3-1</v>
      </c>
      <c r="AD25" t="b">
        <f t="shared" si="2"/>
        <v>0</v>
      </c>
    </row>
    <row r="26" spans="1:30" x14ac:dyDescent="0.25">
      <c r="A26">
        <f t="shared" si="0"/>
        <v>17</v>
      </c>
      <c r="B26" s="93">
        <f>IFERROR(RIGHT(Table246[[#This Row],[Controller Input '#]],3)*1,"")</f>
        <v>301</v>
      </c>
      <c r="C26" s="134" t="s">
        <v>1035</v>
      </c>
      <c r="D26" s="75"/>
      <c r="E26" s="124" t="s">
        <v>67</v>
      </c>
      <c r="F26" s="108" t="s">
        <v>68</v>
      </c>
      <c r="G26" s="109" t="s">
        <v>69</v>
      </c>
      <c r="H26" s="111"/>
      <c r="I26" s="109" t="s">
        <v>70</v>
      </c>
      <c r="J26" s="109" t="s">
        <v>71</v>
      </c>
      <c r="K26" s="109" t="s">
        <v>72</v>
      </c>
      <c r="L26" s="109" t="s">
        <v>73</v>
      </c>
      <c r="M26" s="114"/>
      <c r="N26" s="114">
        <v>1</v>
      </c>
      <c r="O26" s="114"/>
      <c r="P26" s="77" t="s">
        <v>940</v>
      </c>
      <c r="Q26" s="114"/>
      <c r="R26" s="114"/>
      <c r="S26" s="77" t="s">
        <v>1005</v>
      </c>
      <c r="T26" s="115"/>
      <c r="U26" s="7"/>
      <c r="V26">
        <v>301</v>
      </c>
      <c r="W26" t="s">
        <v>129</v>
      </c>
      <c r="Y26" t="s">
        <v>114</v>
      </c>
      <c r="Z26" t="s">
        <v>105</v>
      </c>
      <c r="AA26">
        <v>3</v>
      </c>
      <c r="AB26">
        <v>2</v>
      </c>
      <c r="AC26" t="str">
        <f t="shared" si="4"/>
        <v>Comp_Sts3-2</v>
      </c>
      <c r="AD26" t="b">
        <f t="shared" si="2"/>
        <v>0</v>
      </c>
    </row>
    <row r="27" spans="1:30" x14ac:dyDescent="0.25">
      <c r="A27">
        <f t="shared" si="0"/>
        <v>18</v>
      </c>
      <c r="B27" s="130">
        <f>IFERROR(RIGHT(Table246[[#This Row],[Controller Input '#]],3)*1,"")</f>
        <v>302</v>
      </c>
      <c r="C27" s="134" t="s">
        <v>1006</v>
      </c>
      <c r="D27" s="78"/>
      <c r="E27" s="124" t="s">
        <v>74</v>
      </c>
      <c r="F27" s="108" t="s">
        <v>75</v>
      </c>
      <c r="G27" s="108" t="s">
        <v>69</v>
      </c>
      <c r="H27" s="112"/>
      <c r="I27" s="108" t="s">
        <v>70</v>
      </c>
      <c r="J27" s="108" t="s">
        <v>71</v>
      </c>
      <c r="K27" s="108" t="s">
        <v>72</v>
      </c>
      <c r="L27" s="108" t="s">
        <v>76</v>
      </c>
      <c r="M27" s="108"/>
      <c r="N27" s="113">
        <v>1</v>
      </c>
      <c r="O27" s="113"/>
      <c r="P27" s="79" t="s">
        <v>940</v>
      </c>
      <c r="Q27" s="113"/>
      <c r="R27" s="113"/>
      <c r="S27" s="79" t="s">
        <v>1006</v>
      </c>
      <c r="T27" s="108" t="s">
        <v>34</v>
      </c>
      <c r="U27" s="7"/>
      <c r="V27">
        <v>302</v>
      </c>
      <c r="W27" t="s">
        <v>130</v>
      </c>
      <c r="Y27" t="s">
        <v>114</v>
      </c>
      <c r="Z27" t="s">
        <v>105</v>
      </c>
      <c r="AA27">
        <v>3</v>
      </c>
      <c r="AB27">
        <v>4</v>
      </c>
      <c r="AC27" t="str">
        <f t="shared" si="4"/>
        <v>Comp_Sts3-4</v>
      </c>
      <c r="AD27" t="b">
        <f t="shared" si="2"/>
        <v>0</v>
      </c>
    </row>
    <row r="28" spans="1:30" x14ac:dyDescent="0.25">
      <c r="A28">
        <f t="shared" si="0"/>
        <v>19</v>
      </c>
      <c r="B28" s="93">
        <f>IFERROR(RIGHT(Table246[[#This Row],[Controller Input '#]],3)*1,"")</f>
        <v>303</v>
      </c>
      <c r="C28" s="134" t="s">
        <v>204</v>
      </c>
      <c r="D28" s="75"/>
      <c r="E28" s="124" t="s">
        <v>77</v>
      </c>
      <c r="F28" s="108" t="s">
        <v>78</v>
      </c>
      <c r="G28" s="109" t="s">
        <v>69</v>
      </c>
      <c r="H28" s="111"/>
      <c r="I28" s="109" t="s">
        <v>70</v>
      </c>
      <c r="J28" s="109" t="s">
        <v>71</v>
      </c>
      <c r="K28" s="109" t="s">
        <v>72</v>
      </c>
      <c r="L28" s="109" t="s">
        <v>76</v>
      </c>
      <c r="M28" s="109"/>
      <c r="N28" s="114">
        <v>1</v>
      </c>
      <c r="O28" s="114"/>
      <c r="P28" s="77" t="s">
        <v>940</v>
      </c>
      <c r="Q28" s="114"/>
      <c r="R28" s="114"/>
      <c r="S28" s="77" t="s">
        <v>204</v>
      </c>
      <c r="T28" s="108" t="s">
        <v>34</v>
      </c>
      <c r="U28" s="7"/>
      <c r="V28">
        <v>303</v>
      </c>
      <c r="W28" t="s">
        <v>134</v>
      </c>
      <c r="Y28" t="s">
        <v>123</v>
      </c>
      <c r="Z28" t="s">
        <v>124</v>
      </c>
      <c r="AA28">
        <v>3</v>
      </c>
      <c r="AB28">
        <v>2</v>
      </c>
      <c r="AC28" t="str">
        <f t="shared" si="4"/>
        <v>Cond_Alm3-2</v>
      </c>
      <c r="AD28" t="b">
        <f t="shared" si="2"/>
        <v>0</v>
      </c>
    </row>
    <row r="29" spans="1:30" x14ac:dyDescent="0.25">
      <c r="A29">
        <f t="shared" si="0"/>
        <v>20</v>
      </c>
      <c r="B29" s="130">
        <f>IFERROR(RIGHT(Table246[[#This Row],[Controller Input '#]],3)*1,"")</f>
        <v>304</v>
      </c>
      <c r="C29" s="134" t="s">
        <v>207</v>
      </c>
      <c r="D29" s="78"/>
      <c r="E29" s="124" t="s">
        <v>82</v>
      </c>
      <c r="F29" s="108" t="s">
        <v>83</v>
      </c>
      <c r="G29" s="108" t="s">
        <v>218</v>
      </c>
      <c r="H29" s="112"/>
      <c r="I29" s="108" t="s">
        <v>70</v>
      </c>
      <c r="J29" s="108" t="s">
        <v>71</v>
      </c>
      <c r="K29" s="108" t="s">
        <v>84</v>
      </c>
      <c r="L29" s="113" t="s">
        <v>85</v>
      </c>
      <c r="M29" s="108"/>
      <c r="N29" s="113">
        <v>1</v>
      </c>
      <c r="O29" s="113"/>
      <c r="P29" s="79" t="s">
        <v>940</v>
      </c>
      <c r="Q29" s="113"/>
      <c r="R29" s="113"/>
      <c r="S29" s="79" t="s">
        <v>207</v>
      </c>
      <c r="T29" s="108" t="s">
        <v>34</v>
      </c>
      <c r="U29" s="7"/>
      <c r="V29">
        <v>304</v>
      </c>
      <c r="W29" t="s">
        <v>135</v>
      </c>
      <c r="Y29" t="s">
        <v>123</v>
      </c>
      <c r="Z29" t="s">
        <v>99</v>
      </c>
      <c r="AA29">
        <v>3</v>
      </c>
      <c r="AB29">
        <v>3</v>
      </c>
      <c r="AC29" t="str">
        <f t="shared" si="4"/>
        <v>Cond_Fdk3-3</v>
      </c>
      <c r="AD29" t="b">
        <f t="shared" si="2"/>
        <v>0</v>
      </c>
    </row>
    <row r="30" spans="1:30" x14ac:dyDescent="0.25">
      <c r="A30">
        <f t="shared" si="0"/>
        <v>21</v>
      </c>
      <c r="B30" s="93">
        <f>IFERROR(RIGHT(Table246[[#This Row],[Controller Input '#]],3)*1,"")</f>
        <v>305</v>
      </c>
      <c r="C30" s="134" t="s">
        <v>210</v>
      </c>
      <c r="D30" s="75"/>
      <c r="E30" s="124" t="s">
        <v>88</v>
      </c>
      <c r="F30" s="108" t="s">
        <v>89</v>
      </c>
      <c r="G30" s="109" t="s">
        <v>218</v>
      </c>
      <c r="H30" s="111"/>
      <c r="I30" s="109" t="s">
        <v>70</v>
      </c>
      <c r="J30" s="109" t="s">
        <v>71</v>
      </c>
      <c r="K30" s="109" t="s">
        <v>84</v>
      </c>
      <c r="L30" s="114" t="s">
        <v>90</v>
      </c>
      <c r="M30" s="109"/>
      <c r="N30" s="114">
        <v>1</v>
      </c>
      <c r="O30" s="114"/>
      <c r="P30" s="77" t="s">
        <v>940</v>
      </c>
      <c r="Q30" s="114"/>
      <c r="R30" s="114"/>
      <c r="S30" s="77" t="s">
        <v>210</v>
      </c>
      <c r="T30" s="108"/>
      <c r="U30" s="7"/>
      <c r="V30">
        <v>305</v>
      </c>
      <c r="W30" t="s">
        <v>136</v>
      </c>
      <c r="Y30" t="s">
        <v>123</v>
      </c>
      <c r="Z30" t="s">
        <v>115</v>
      </c>
      <c r="AA30">
        <v>3</v>
      </c>
      <c r="AB30">
        <v>3</v>
      </c>
      <c r="AC30" t="str">
        <f t="shared" si="4"/>
        <v>Cond_Amp3-3</v>
      </c>
      <c r="AD30" t="b">
        <f t="shared" si="2"/>
        <v>0</v>
      </c>
    </row>
    <row r="31" spans="1:30" x14ac:dyDescent="0.25">
      <c r="A31">
        <f t="shared" si="0"/>
        <v>22</v>
      </c>
      <c r="B31" s="130">
        <f>IFERROR(RIGHT(Table246[[#This Row],[Controller Input '#]],3)*1,"")</f>
        <v>306</v>
      </c>
      <c r="C31" s="134" t="s">
        <v>213</v>
      </c>
      <c r="D31" s="78"/>
      <c r="E31" s="124" t="s">
        <v>92</v>
      </c>
      <c r="F31" s="108" t="s">
        <v>93</v>
      </c>
      <c r="G31" s="108" t="s">
        <v>218</v>
      </c>
      <c r="H31" s="112"/>
      <c r="I31" s="108" t="s">
        <v>70</v>
      </c>
      <c r="J31" s="108" t="s">
        <v>71</v>
      </c>
      <c r="K31" s="108" t="s">
        <v>84</v>
      </c>
      <c r="L31" s="113" t="s">
        <v>90</v>
      </c>
      <c r="M31" s="108"/>
      <c r="N31" s="113">
        <v>1</v>
      </c>
      <c r="O31" s="113"/>
      <c r="P31" s="79" t="s">
        <v>940</v>
      </c>
      <c r="Q31" s="113"/>
      <c r="R31" s="113"/>
      <c r="S31" s="79" t="s">
        <v>213</v>
      </c>
      <c r="T31" s="108"/>
      <c r="U31" s="7"/>
      <c r="V31">
        <v>306</v>
      </c>
      <c r="W31" t="s">
        <v>137</v>
      </c>
      <c r="Y31" t="s">
        <v>123</v>
      </c>
      <c r="Z31" t="s">
        <v>119</v>
      </c>
      <c r="AA31">
        <v>3</v>
      </c>
      <c r="AB31">
        <v>3</v>
      </c>
      <c r="AC31" t="str">
        <f t="shared" si="4"/>
        <v>Cond_kW3-3</v>
      </c>
      <c r="AD31" t="b">
        <f t="shared" si="2"/>
        <v>0</v>
      </c>
    </row>
    <row r="32" spans="1:30" x14ac:dyDescent="0.25">
      <c r="A32">
        <f t="shared" si="0"/>
        <v>23</v>
      </c>
      <c r="B32" s="93">
        <f>IFERROR(RIGHT(Table246[[#This Row],[Controller Input '#]],3)*1,"")</f>
        <v>307</v>
      </c>
      <c r="C32" s="134" t="s">
        <v>1037</v>
      </c>
      <c r="D32" s="75"/>
      <c r="E32" s="124" t="s">
        <v>436</v>
      </c>
      <c r="F32" s="109" t="s">
        <v>437</v>
      </c>
      <c r="G32" s="109" t="s">
        <v>112</v>
      </c>
      <c r="H32" s="111"/>
      <c r="I32" s="109" t="s">
        <v>103</v>
      </c>
      <c r="J32" s="109" t="s">
        <v>71</v>
      </c>
      <c r="K32" s="109" t="s">
        <v>112</v>
      </c>
      <c r="L32" s="109"/>
      <c r="M32" s="109"/>
      <c r="N32" s="109"/>
      <c r="O32" s="109">
        <v>1</v>
      </c>
      <c r="P32" s="76" t="s">
        <v>941</v>
      </c>
      <c r="Q32" s="1"/>
      <c r="R32" s="1"/>
      <c r="S32" s="7"/>
      <c r="T32" s="108"/>
      <c r="U32" s="7"/>
      <c r="V32">
        <v>307</v>
      </c>
      <c r="W32" t="s">
        <v>138</v>
      </c>
      <c r="Y32" t="s">
        <v>123</v>
      </c>
      <c r="Z32" t="s">
        <v>105</v>
      </c>
      <c r="AA32">
        <v>3</v>
      </c>
      <c r="AB32">
        <v>3</v>
      </c>
      <c r="AC32" t="str">
        <f t="shared" si="4"/>
        <v>Cond_Sts3-3</v>
      </c>
      <c r="AD32" t="b">
        <f t="shared" si="2"/>
        <v>0</v>
      </c>
    </row>
    <row r="33" spans="1:30" x14ac:dyDescent="0.25">
      <c r="A33">
        <f t="shared" si="0"/>
        <v>24</v>
      </c>
      <c r="B33" s="130">
        <f>IFERROR(RIGHT(Table246[[#This Row],[Controller Input '#]],3)*1,"")</f>
        <v>308</v>
      </c>
      <c r="C33" s="134" t="s">
        <v>1038</v>
      </c>
      <c r="D33" s="78"/>
      <c r="E33" s="125"/>
      <c r="F33" s="1"/>
      <c r="G33" s="1"/>
      <c r="H33" s="8"/>
      <c r="I33" s="1"/>
      <c r="J33" s="1"/>
      <c r="K33" s="1"/>
      <c r="L33" s="1"/>
      <c r="M33" s="1"/>
      <c r="N33" s="1"/>
      <c r="O33" s="1"/>
      <c r="Q33" s="1"/>
      <c r="R33" s="1"/>
      <c r="S33" s="7"/>
      <c r="T33" s="18" t="s">
        <v>34</v>
      </c>
      <c r="U33" s="69"/>
      <c r="V33">
        <v>308</v>
      </c>
      <c r="W33" t="s">
        <v>141</v>
      </c>
      <c r="Y33" t="s">
        <v>123</v>
      </c>
      <c r="Z33" t="s">
        <v>124</v>
      </c>
      <c r="AA33">
        <v>3</v>
      </c>
      <c r="AB33">
        <v>3</v>
      </c>
      <c r="AC33" t="str">
        <f t="shared" si="4"/>
        <v>Cond_Alm3-3</v>
      </c>
      <c r="AD33" t="b">
        <f t="shared" si="2"/>
        <v>0</v>
      </c>
    </row>
    <row r="34" spans="1:30" x14ac:dyDescent="0.25">
      <c r="A34">
        <f t="shared" si="0"/>
        <v>25</v>
      </c>
      <c r="B34" s="93">
        <f>IFERROR(RIGHT(Table246[[#This Row],[Controller Input '#]],3)*1,"")</f>
        <v>401</v>
      </c>
      <c r="C34" s="134" t="s">
        <v>1039</v>
      </c>
      <c r="D34" s="75"/>
      <c r="E34" s="126" t="s">
        <v>227</v>
      </c>
      <c r="F34" s="1" t="s">
        <v>228</v>
      </c>
      <c r="G34" s="1" t="s">
        <v>112</v>
      </c>
      <c r="H34" s="8"/>
      <c r="I34" s="1" t="s">
        <v>103</v>
      </c>
      <c r="J34" s="1" t="s">
        <v>71</v>
      </c>
      <c r="K34" s="1" t="s">
        <v>112</v>
      </c>
      <c r="L34" s="11"/>
      <c r="M34" s="11"/>
      <c r="N34" s="18" t="str">
        <f>IF(ISNUMBER(SEARCH("ANALOG",Table24[[#This Row],[Type]]))=TRUE,1,"")</f>
        <v/>
      </c>
      <c r="O34" s="18">
        <f>IF(ISNUMBER(SEARCH("BINARY",Table24[[#This Row],[Type]]))=TRUE,1,"")</f>
        <v>1</v>
      </c>
      <c r="P34" s="7" t="e">
        <f>IF(Table24[[#This Row],[Type]]="","",LEFT(Table24[[#This Row],[Type]],1)&amp;LEFT(#REF!,1))</f>
        <v>#REF!</v>
      </c>
      <c r="Q34" s="18" t="e">
        <f>IF(Table24[[#This Row],[Type]]="","",LEFT(Table24[[#This Row],[Type]],1)&amp;LEFT(#REF!,1))</f>
        <v>#REF!</v>
      </c>
      <c r="R34" s="18"/>
      <c r="S34" s="7" t="e">
        <f>IF(Table24[[#This Row],[A Counter]]=1,"AI"&amp;#REF!+SUM($N$35:N144),IF(Table24[[#This Row],[B Counter]]=1,"BI"&amp;#REF!+SUM($O$35:O144),""))</f>
        <v>#REF!</v>
      </c>
      <c r="T34" s="18" t="s">
        <v>34</v>
      </c>
      <c r="U34" s="68"/>
      <c r="V34">
        <v>401</v>
      </c>
    </row>
    <row r="35" spans="1:30" x14ac:dyDescent="0.25">
      <c r="A35">
        <f t="shared" si="0"/>
        <v>26</v>
      </c>
      <c r="B35" s="130">
        <f>IFERROR(RIGHT(Table246[[#This Row],[Controller Input '#]],3)*1,"")</f>
        <v>402</v>
      </c>
      <c r="C35" s="134" t="s">
        <v>1040</v>
      </c>
      <c r="D35" s="78"/>
      <c r="E35" s="126" t="s">
        <v>237</v>
      </c>
      <c r="F35" s="11" t="s">
        <v>238</v>
      </c>
      <c r="G35" s="1" t="s">
        <v>112</v>
      </c>
      <c r="H35" s="21"/>
      <c r="I35" s="11" t="s">
        <v>103</v>
      </c>
      <c r="J35" s="11" t="s">
        <v>71</v>
      </c>
      <c r="K35" s="11" t="s">
        <v>112</v>
      </c>
      <c r="L35" s="11"/>
      <c r="M35" s="11"/>
      <c r="N35" s="18" t="str">
        <f>IF(ISNUMBER(SEARCH("ANALOG",Table24[[#This Row],[Type]]))=TRUE,1,"")</f>
        <v/>
      </c>
      <c r="O35" s="18">
        <f>IF(ISNUMBER(SEARCH("BINARY",Table24[[#This Row],[Type]]))=TRUE,1,"")</f>
        <v>1</v>
      </c>
      <c r="P35" s="7" t="e">
        <f>IF(Table24[[#This Row],[Type]]="","",LEFT(Table24[[#This Row],[Type]],1)&amp;LEFT(#REF!,1))</f>
        <v>#REF!</v>
      </c>
      <c r="Q35" s="18" t="e">
        <f>IF(Table24[[#This Row],[Type]]="","",LEFT(Table24[[#This Row],[Type]],1)&amp;LEFT(#REF!,1))</f>
        <v>#REF!</v>
      </c>
      <c r="R35" s="18"/>
      <c r="S35" s="7" t="e">
        <f>IF(Table24[[#This Row],[A Counter]]=1,"AI"&amp;#REF!+SUM($N$35:N148),IF(Table24[[#This Row],[B Counter]]=1,"BI"&amp;#REF!+SUM($O$35:O148),""))</f>
        <v>#REF!</v>
      </c>
      <c r="T35" s="18" t="s">
        <v>34</v>
      </c>
      <c r="U35" s="7"/>
      <c r="V35">
        <v>402</v>
      </c>
    </row>
    <row r="36" spans="1:30" x14ac:dyDescent="0.25">
      <c r="A36">
        <f t="shared" si="0"/>
        <v>27</v>
      </c>
      <c r="B36" s="93">
        <f>IFERROR(RIGHT(Table246[[#This Row],[Controller Input '#]],3)*1,"")</f>
        <v>403</v>
      </c>
      <c r="C36" s="135" t="s">
        <v>1041</v>
      </c>
      <c r="D36" s="1"/>
      <c r="E36" s="126" t="s">
        <v>247</v>
      </c>
      <c r="F36" s="11" t="s">
        <v>248</v>
      </c>
      <c r="G36" s="1" t="s">
        <v>112</v>
      </c>
      <c r="H36" s="21"/>
      <c r="I36" s="11" t="s">
        <v>103</v>
      </c>
      <c r="J36" s="11" t="s">
        <v>71</v>
      </c>
      <c r="K36" s="11" t="s">
        <v>112</v>
      </c>
      <c r="L36" s="11"/>
      <c r="M36" s="11"/>
      <c r="N36" s="18" t="str">
        <f>IF(ISNUMBER(SEARCH("ANALOG",Table24[[#This Row],[Type]]))=TRUE,1,"")</f>
        <v/>
      </c>
      <c r="O36" s="18">
        <f>IF(ISNUMBER(SEARCH("BINARY",Table24[[#This Row],[Type]]))=TRUE,1,"")</f>
        <v>1</v>
      </c>
      <c r="P36" s="7" t="e">
        <f>IF(Table24[[#This Row],[Type]]="","",LEFT(Table24[[#This Row],[Type]],1)&amp;LEFT(#REF!,1))</f>
        <v>#REF!</v>
      </c>
      <c r="Q36" s="18" t="e">
        <f>IF(Table24[[#This Row],[Type]]="","",LEFT(Table24[[#This Row],[Type]],1)&amp;LEFT(#REF!,1))</f>
        <v>#REF!</v>
      </c>
      <c r="R36" s="18"/>
      <c r="S36" s="7" t="e">
        <f>IF(Table24[[#This Row],[A Counter]]=1,"AI"&amp;#REF!+SUM($N$35:N153),IF(Table24[[#This Row],[B Counter]]=1,"BI"&amp;#REF!+SUM($O$35:O153),""))</f>
        <v>#REF!</v>
      </c>
      <c r="T36" s="18" t="s">
        <v>34</v>
      </c>
      <c r="U36" s="7"/>
      <c r="V36">
        <v>403</v>
      </c>
    </row>
    <row r="37" spans="1:30" x14ac:dyDescent="0.25">
      <c r="A37">
        <f t="shared" si="0"/>
        <v>28</v>
      </c>
      <c r="B37" s="130">
        <f>IFERROR(RIGHT(Table246[[#This Row],[Controller Input '#]],3)*1,"")</f>
        <v>404</v>
      </c>
      <c r="C37" s="135" t="s">
        <v>1042</v>
      </c>
      <c r="D37" s="1"/>
      <c r="E37" s="126" t="s">
        <v>257</v>
      </c>
      <c r="F37" s="11" t="s">
        <v>258</v>
      </c>
      <c r="G37" s="1" t="s">
        <v>133</v>
      </c>
      <c r="H37" s="21"/>
      <c r="I37" s="11" t="s">
        <v>70</v>
      </c>
      <c r="J37" s="11" t="s">
        <v>71</v>
      </c>
      <c r="K37" s="11" t="s">
        <v>80</v>
      </c>
      <c r="L37" s="11"/>
      <c r="M37" s="11"/>
      <c r="N37" s="18">
        <f>IF(ISNUMBER(SEARCH("ANALOG",Table24[[#This Row],[Type]]))=TRUE,1,"")</f>
        <v>1</v>
      </c>
      <c r="O37" s="18" t="str">
        <f>IF(ISNUMBER(SEARCH("BINARY",Table24[[#This Row],[Type]]))=TRUE,1,"")</f>
        <v/>
      </c>
      <c r="P37" s="7" t="e">
        <f>IF(Table24[[#This Row],[Type]]="","",LEFT(Table24[[#This Row],[Type]],1)&amp;LEFT(#REF!,1))</f>
        <v>#REF!</v>
      </c>
      <c r="Q37" s="18" t="e">
        <f>IF(Table24[[#This Row],[Type]]="","",LEFT(Table24[[#This Row],[Type]],1)&amp;LEFT(#REF!,1))</f>
        <v>#REF!</v>
      </c>
      <c r="R37" s="18"/>
      <c r="S37" s="7" t="e">
        <f>IF(Table24[[#This Row],[A Counter]]=1,"AI"&amp;#REF!+SUM($N$35:N158),IF(Table24[[#This Row],[B Counter]]=1,"BI"&amp;#REF!+SUM($O$35:O158),""))</f>
        <v>#REF!</v>
      </c>
      <c r="T37" s="18" t="s">
        <v>34</v>
      </c>
      <c r="U37" s="7"/>
      <c r="V37">
        <v>404</v>
      </c>
    </row>
    <row r="38" spans="1:30" x14ac:dyDescent="0.25">
      <c r="A38">
        <f t="shared" si="0"/>
        <v>29</v>
      </c>
      <c r="B38" s="93">
        <f>IFERROR(RIGHT(Table246[[#This Row],[Controller Input '#]],3)*1,"")</f>
        <v>405</v>
      </c>
      <c r="C38" s="136" t="s">
        <v>1043</v>
      </c>
      <c r="D38" s="76"/>
      <c r="E38" s="126" t="s">
        <v>267</v>
      </c>
      <c r="F38" s="1" t="s">
        <v>268</v>
      </c>
      <c r="G38" s="1" t="s">
        <v>133</v>
      </c>
      <c r="H38" s="8"/>
      <c r="I38" s="1" t="s">
        <v>70</v>
      </c>
      <c r="J38" s="1" t="s">
        <v>71</v>
      </c>
      <c r="K38" s="11" t="s">
        <v>80</v>
      </c>
      <c r="L38" s="1"/>
      <c r="M38" s="1"/>
      <c r="N38" s="18">
        <f>IF(ISNUMBER(SEARCH("ANALOG",Table24[[#This Row],[Type]]))=TRUE,1,"")</f>
        <v>1</v>
      </c>
      <c r="O38" s="18" t="str">
        <f>IF(ISNUMBER(SEARCH("BINARY",Table24[[#This Row],[Type]]))=TRUE,1,"")</f>
        <v/>
      </c>
      <c r="P38" s="7" t="e">
        <f>IF(Table24[[#This Row],[Type]]="","",LEFT(Table24[[#This Row],[Type]],1)&amp;LEFT(#REF!,1))</f>
        <v>#REF!</v>
      </c>
      <c r="Q38" s="18" t="e">
        <f>IF(Table24[[#This Row],[Type]]="","",LEFT(Table24[[#This Row],[Type]],1)&amp;LEFT(#REF!,1))</f>
        <v>#REF!</v>
      </c>
      <c r="R38" s="18"/>
      <c r="S38" s="7" t="e">
        <f>IF(Table24[[#This Row],[A Counter]]=1,"AI"&amp;#REF!+SUM($N$35:N163),IF(Table24[[#This Row],[B Counter]]=1,"BI"&amp;#REF!+SUM($O$35:O163),""))</f>
        <v>#REF!</v>
      </c>
      <c r="T38" s="18" t="s">
        <v>34</v>
      </c>
      <c r="U38" s="7"/>
      <c r="V38">
        <v>405</v>
      </c>
    </row>
    <row r="39" spans="1:30" x14ac:dyDescent="0.25">
      <c r="A39">
        <f t="shared" si="0"/>
        <v>30</v>
      </c>
      <c r="B39" s="130">
        <f>IFERROR(RIGHT(Table246[[#This Row],[Controller Input '#]],3)*1,"")</f>
        <v>406</v>
      </c>
      <c r="C39" s="135" t="s">
        <v>1044</v>
      </c>
      <c r="D39" s="1"/>
      <c r="E39" s="126" t="s">
        <v>277</v>
      </c>
      <c r="F39" s="1" t="s">
        <v>278</v>
      </c>
      <c r="G39" s="1" t="s">
        <v>133</v>
      </c>
      <c r="H39" s="21"/>
      <c r="I39" s="1" t="s">
        <v>70</v>
      </c>
      <c r="J39" s="1" t="s">
        <v>71</v>
      </c>
      <c r="K39" s="11" t="s">
        <v>80</v>
      </c>
      <c r="L39" s="1"/>
      <c r="M39" s="1"/>
      <c r="N39" s="18">
        <f>IF(ISNUMBER(SEARCH("ANALOG",Table24[[#This Row],[Type]]))=TRUE,1,"")</f>
        <v>1</v>
      </c>
      <c r="O39" s="18" t="str">
        <f>IF(ISNUMBER(SEARCH("BINARY",Table24[[#This Row],[Type]]))=TRUE,1,"")</f>
        <v/>
      </c>
      <c r="P39" s="7" t="e">
        <f>IF(Table24[[#This Row],[Type]]="","",LEFT(Table24[[#This Row],[Type]],1)&amp;LEFT(#REF!,1))</f>
        <v>#REF!</v>
      </c>
      <c r="Q39" s="18" t="e">
        <f>IF(Table24[[#This Row],[Type]]="","",LEFT(Table24[[#This Row],[Type]],1)&amp;LEFT(#REF!,1))</f>
        <v>#REF!</v>
      </c>
      <c r="R39" s="18"/>
      <c r="S39" s="7" t="e">
        <f>IF(Table24[[#This Row],[A Counter]]=1,"AI"&amp;#REF!+SUM($N$35:N168),IF(Table24[[#This Row],[B Counter]]=1,"BI"&amp;#REF!+SUM($O$35:O168),""))</f>
        <v>#REF!</v>
      </c>
      <c r="T39" s="8" t="s">
        <v>34</v>
      </c>
      <c r="U39" s="1"/>
      <c r="V39">
        <v>406</v>
      </c>
    </row>
    <row r="40" spans="1:30" x14ac:dyDescent="0.25">
      <c r="A40">
        <f t="shared" si="0"/>
        <v>31</v>
      </c>
      <c r="B40" s="93">
        <f>IFERROR(RIGHT(Table246[[#This Row],[Controller Input '#]],3)*1,"")</f>
        <v>407</v>
      </c>
      <c r="C40" s="135" t="s">
        <v>1045</v>
      </c>
      <c r="D40" s="1"/>
      <c r="E40" s="126" t="s">
        <v>223</v>
      </c>
      <c r="F40" s="1" t="s">
        <v>224</v>
      </c>
      <c r="G40" s="1" t="s">
        <v>102</v>
      </c>
      <c r="H40" s="8"/>
      <c r="I40" s="1" t="s">
        <v>103</v>
      </c>
      <c r="J40" s="1" t="s">
        <v>71</v>
      </c>
      <c r="K40" s="1" t="s">
        <v>102</v>
      </c>
      <c r="L40" s="1"/>
      <c r="M40" s="1"/>
      <c r="N40" s="18" t="str">
        <f>IF(ISNUMBER(SEARCH("ANALOG",Table24[[#This Row],[Type]]))=TRUE,1,"")</f>
        <v/>
      </c>
      <c r="O40" s="18">
        <f>IF(ISNUMBER(SEARCH("BINARY",Table24[[#This Row],[Type]]))=TRUE,1,"")</f>
        <v>1</v>
      </c>
      <c r="P40" s="7" t="e">
        <f>IF(Table24[[#This Row],[Type]]="","",LEFT(Table24[[#This Row],[Type]],1)&amp;LEFT(#REF!,1))</f>
        <v>#REF!</v>
      </c>
      <c r="Q40" s="18" t="e">
        <f>IF(Table24[[#This Row],[Type]]="","",LEFT(Table24[[#This Row],[Type]],1)&amp;LEFT(#REF!,1))</f>
        <v>#REF!</v>
      </c>
      <c r="R40" s="18"/>
      <c r="S40" s="7" t="e">
        <f>IF(Table24[[#This Row],[A Counter]]=1,"AI"&amp;#REF!+SUM($N40:N$57),IF(Table24[[#This Row],[B Counter]]=1,"BI"&amp;#REF!+SUM($O40:O$57),""))</f>
        <v>#REF!</v>
      </c>
      <c r="T40" s="8" t="s">
        <v>34</v>
      </c>
      <c r="U40" s="1"/>
      <c r="V40">
        <v>407</v>
      </c>
    </row>
    <row r="41" spans="1:30" x14ac:dyDescent="0.25">
      <c r="A41">
        <f t="shared" si="0"/>
        <v>32</v>
      </c>
      <c r="B41" s="130">
        <f>IFERROR(RIGHT(Table246[[#This Row],[Controller Input '#]],3)*1,"")</f>
        <v>408</v>
      </c>
      <c r="C41" s="135" t="s">
        <v>1046</v>
      </c>
      <c r="D41" s="1"/>
      <c r="E41" s="126" t="s">
        <v>225</v>
      </c>
      <c r="F41" s="1" t="s">
        <v>226</v>
      </c>
      <c r="G41" s="1" t="s">
        <v>102</v>
      </c>
      <c r="H41" s="8"/>
      <c r="I41" s="1" t="s">
        <v>103</v>
      </c>
      <c r="J41" s="1" t="s">
        <v>71</v>
      </c>
      <c r="K41" s="1" t="s">
        <v>102</v>
      </c>
      <c r="L41" s="1"/>
      <c r="M41" s="1"/>
      <c r="N41" s="18" t="str">
        <f>IF(ISNUMBER(SEARCH("ANALOG",Table24[[#This Row],[Type]]))=TRUE,1,"")</f>
        <v/>
      </c>
      <c r="O41" s="18">
        <f>IF(ISNUMBER(SEARCH("BINARY",Table24[[#This Row],[Type]]))=TRUE,1,"")</f>
        <v>1</v>
      </c>
      <c r="P41" s="7" t="e">
        <f>IF(Table24[[#This Row],[Type]]="","",LEFT(Table24[[#This Row],[Type]],1)&amp;LEFT(#REF!,1))</f>
        <v>#REF!</v>
      </c>
      <c r="Q41" s="18" t="e">
        <f>IF(Table24[[#This Row],[Type]]="","",LEFT(Table24[[#This Row],[Type]],1)&amp;LEFT(#REF!,1))</f>
        <v>#REF!</v>
      </c>
      <c r="R41" s="18"/>
      <c r="S41" s="7" t="e">
        <f>IF(Table24[[#This Row],[A Counter]]=1,"AI"&amp;#REF!+SUM($N$35:N143),IF(Table24[[#This Row],[B Counter]]=1,"BI"&amp;#REF!+SUM($O$35:O143),""))</f>
        <v>#REF!</v>
      </c>
      <c r="T41" s="8"/>
      <c r="U41" s="1"/>
      <c r="V41">
        <v>408</v>
      </c>
    </row>
    <row r="42" spans="1:30" x14ac:dyDescent="0.25">
      <c r="A42">
        <f t="shared" si="0"/>
        <v>33</v>
      </c>
      <c r="B42" s="93">
        <f>IFERROR(RIGHT(Table246[[#This Row],[Controller Input '#]],3)*1,"")</f>
        <v>501</v>
      </c>
      <c r="C42" s="135" t="s">
        <v>1047</v>
      </c>
      <c r="D42" s="1"/>
      <c r="E42" s="125" t="s">
        <v>205</v>
      </c>
      <c r="F42" s="1" t="s">
        <v>206</v>
      </c>
      <c r="G42" s="1" t="s">
        <v>69</v>
      </c>
      <c r="H42" s="8"/>
      <c r="I42" s="1" t="s">
        <v>70</v>
      </c>
      <c r="J42" s="1" t="s">
        <v>71</v>
      </c>
      <c r="K42" s="3" t="s">
        <v>72</v>
      </c>
      <c r="L42" s="1" t="s">
        <v>73</v>
      </c>
      <c r="M42" s="18"/>
      <c r="N42" s="18">
        <f>IF(ISNUMBER(SEARCH("ANALOG",Table24[[#This Row],[Type]]))=TRUE,1,"")</f>
        <v>1</v>
      </c>
      <c r="O42" s="18" t="str">
        <f>IF(ISNUMBER(SEARCH("BINARY",Table24[[#This Row],[Type]]))=TRUE,1,"")</f>
        <v/>
      </c>
      <c r="P42" s="7" t="e">
        <f>IF(Table24[[#This Row],[Type]]="","",LEFT(Table24[[#This Row],[Type]],1)&amp;LEFT(#REF!,1))</f>
        <v>#REF!</v>
      </c>
      <c r="Q42" s="18" t="e">
        <f>IF(Table24[[#This Row],[Type]]="","",LEFT(Table24[[#This Row],[Type]],1)&amp;LEFT(#REF!,1))</f>
        <v>#REF!</v>
      </c>
      <c r="R42" s="18"/>
      <c r="S42" s="7" t="e">
        <f>IF(Table24[[#This Row],[A Counter]]=1,"AI"&amp;#REF!+SUM($N42:N$57),IF(Table24[[#This Row],[B Counter]]=1,"BI"&amp;#REF!+SUM($O42:O$57),""))</f>
        <v>#REF!</v>
      </c>
      <c r="T42" s="8" t="s">
        <v>34</v>
      </c>
      <c r="U42" s="1"/>
      <c r="V42">
        <v>501</v>
      </c>
    </row>
    <row r="43" spans="1:30" x14ac:dyDescent="0.25">
      <c r="A43">
        <f t="shared" si="0"/>
        <v>34</v>
      </c>
      <c r="B43" s="130">
        <f>IFERROR(RIGHT(Table246[[#This Row],[Controller Input '#]],3)*1,"")</f>
        <v>502</v>
      </c>
      <c r="C43" s="135" t="s">
        <v>1048</v>
      </c>
      <c r="D43" s="1"/>
      <c r="E43" s="125" t="s">
        <v>208</v>
      </c>
      <c r="F43" s="1" t="s">
        <v>209</v>
      </c>
      <c r="G43" s="1" t="s">
        <v>69</v>
      </c>
      <c r="H43" s="8"/>
      <c r="I43" s="1" t="s">
        <v>70</v>
      </c>
      <c r="J43" s="1" t="s">
        <v>71</v>
      </c>
      <c r="K43" s="3" t="s">
        <v>72</v>
      </c>
      <c r="L43" s="1" t="s">
        <v>76</v>
      </c>
      <c r="M43" s="1"/>
      <c r="N43" s="18">
        <f>IF(ISNUMBER(SEARCH("ANALOG",Table24[[#This Row],[Type]]))=TRUE,1,"")</f>
        <v>1</v>
      </c>
      <c r="O43" s="18" t="str">
        <f>IF(ISNUMBER(SEARCH("BINARY",Table24[[#This Row],[Type]]))=TRUE,1,"")</f>
        <v/>
      </c>
      <c r="P43" s="7" t="e">
        <f>IF(Table24[[#This Row],[Type]]="","",LEFT(Table24[[#This Row],[Type]],1)&amp;LEFT(#REF!,1))</f>
        <v>#REF!</v>
      </c>
      <c r="Q43" s="18" t="e">
        <f>IF(Table24[[#This Row],[Type]]="","",LEFT(Table24[[#This Row],[Type]],1)&amp;LEFT(#REF!,1))</f>
        <v>#REF!</v>
      </c>
      <c r="R43" s="18"/>
      <c r="S43" s="7" t="e">
        <f>IF(Table24[[#This Row],[A Counter]]=1,"AI"&amp;#REF!+SUM($N43:N$57),IF(Table24[[#This Row],[B Counter]]=1,"BI"&amp;#REF!+SUM($O43:O$57),""))</f>
        <v>#REF!</v>
      </c>
      <c r="T43" s="26" t="s">
        <v>34</v>
      </c>
      <c r="U43" s="7"/>
      <c r="V43">
        <v>502</v>
      </c>
    </row>
    <row r="44" spans="1:30" x14ac:dyDescent="0.25">
      <c r="A44">
        <f t="shared" si="0"/>
        <v>35</v>
      </c>
      <c r="B44" s="93">
        <f>IFERROR(RIGHT(Table246[[#This Row],[Controller Input '#]],3)*1,"")</f>
        <v>503</v>
      </c>
      <c r="C44" s="135" t="s">
        <v>1049</v>
      </c>
      <c r="D44" s="1"/>
      <c r="E44" s="125" t="s">
        <v>211</v>
      </c>
      <c r="F44" s="1" t="s">
        <v>212</v>
      </c>
      <c r="G44" s="1" t="s">
        <v>69</v>
      </c>
      <c r="H44" s="8"/>
      <c r="I44" s="1" t="s">
        <v>70</v>
      </c>
      <c r="J44" s="1" t="s">
        <v>71</v>
      </c>
      <c r="K44" s="3" t="s">
        <v>72</v>
      </c>
      <c r="L44" s="1" t="s">
        <v>76</v>
      </c>
      <c r="M44" s="1"/>
      <c r="N44" s="18">
        <f>IF(ISNUMBER(SEARCH("ANALOG",Table24[[#This Row],[Type]]))=TRUE,1,"")</f>
        <v>1</v>
      </c>
      <c r="O44" s="18" t="str">
        <f>IF(ISNUMBER(SEARCH("BINARY",Table24[[#This Row],[Type]]))=TRUE,1,"")</f>
        <v/>
      </c>
      <c r="P44" s="7" t="e">
        <f>IF(Table24[[#This Row],[Type]]="","",LEFT(Table24[[#This Row],[Type]],1)&amp;LEFT(#REF!,1))</f>
        <v>#REF!</v>
      </c>
      <c r="Q44" s="18" t="e">
        <f>IF(Table24[[#This Row],[Type]]="","",LEFT(Table24[[#This Row],[Type]],1)&amp;LEFT(#REF!,1))</f>
        <v>#REF!</v>
      </c>
      <c r="R44" s="18"/>
      <c r="S44" s="7" t="e">
        <f>IF(Table24[[#This Row],[A Counter]]=1,"AI"&amp;#REF!+SUM($N44:N$57),IF(Table24[[#This Row],[B Counter]]=1,"BI"&amp;#REF!+SUM($O44:O$57),""))</f>
        <v>#REF!</v>
      </c>
      <c r="T44" s="26" t="s">
        <v>34</v>
      </c>
      <c r="U44" s="7"/>
      <c r="V44">
        <v>503</v>
      </c>
    </row>
    <row r="45" spans="1:30" x14ac:dyDescent="0.25">
      <c r="A45">
        <f t="shared" si="0"/>
        <v>36</v>
      </c>
      <c r="B45" s="130">
        <f>IFERROR(RIGHT(Table246[[#This Row],[Controller Input '#]],3)*1,"")</f>
        <v>504</v>
      </c>
      <c r="C45" s="135" t="s">
        <v>1050</v>
      </c>
      <c r="D45" s="1"/>
      <c r="E45" s="125" t="s">
        <v>216</v>
      </c>
      <c r="F45" s="1" t="s">
        <v>217</v>
      </c>
      <c r="G45" s="1" t="s">
        <v>218</v>
      </c>
      <c r="H45" s="8"/>
      <c r="I45" s="1" t="s">
        <v>70</v>
      </c>
      <c r="J45" s="1" t="s">
        <v>71</v>
      </c>
      <c r="K45" s="1" t="s">
        <v>84</v>
      </c>
      <c r="L45" s="18" t="s">
        <v>85</v>
      </c>
      <c r="M45" s="1"/>
      <c r="N45" s="18">
        <f>IF(ISNUMBER(SEARCH("ANALOG",Table24[[#This Row],[Type]]))=TRUE,1,"")</f>
        <v>1</v>
      </c>
      <c r="O45" s="18" t="str">
        <f>IF(ISNUMBER(SEARCH("BINARY",Table24[[#This Row],[Type]]))=TRUE,1,"")</f>
        <v/>
      </c>
      <c r="P45" s="7" t="e">
        <f>IF(Table24[[#This Row],[Type]]="","",LEFT(Table24[[#This Row],[Type]],1)&amp;LEFT(#REF!,1))</f>
        <v>#REF!</v>
      </c>
      <c r="Q45" s="18" t="e">
        <f>IF(Table24[[#This Row],[Type]]="","",LEFT(Table24[[#This Row],[Type]],1)&amp;LEFT(#REF!,1))</f>
        <v>#REF!</v>
      </c>
      <c r="R45" s="18"/>
      <c r="S45" s="7" t="e">
        <f>IF(Table24[[#This Row],[A Counter]]=1,"AI"&amp;#REF!+SUM($N45:N$57),IF(Table24[[#This Row],[B Counter]]=1,"BI"&amp;#REF!+SUM($O45:O$57),""))</f>
        <v>#REF!</v>
      </c>
      <c r="T45" s="26" t="s">
        <v>34</v>
      </c>
      <c r="U45" s="7"/>
      <c r="V45">
        <v>504</v>
      </c>
    </row>
    <row r="46" spans="1:30" x14ac:dyDescent="0.25">
      <c r="A46">
        <f t="shared" si="0"/>
        <v>37</v>
      </c>
      <c r="B46" s="93">
        <f>IFERROR(RIGHT(Table246[[#This Row],[Controller Input '#]],3)*1,"")</f>
        <v>505</v>
      </c>
      <c r="C46" s="135" t="s">
        <v>1020</v>
      </c>
      <c r="D46" s="1"/>
      <c r="E46" s="125" t="s">
        <v>219</v>
      </c>
      <c r="F46" s="1" t="s">
        <v>220</v>
      </c>
      <c r="G46" s="1" t="s">
        <v>218</v>
      </c>
      <c r="H46" s="8"/>
      <c r="I46" s="1" t="s">
        <v>70</v>
      </c>
      <c r="J46" s="1" t="s">
        <v>71</v>
      </c>
      <c r="K46" s="1" t="s">
        <v>84</v>
      </c>
      <c r="L46" s="18" t="s">
        <v>90</v>
      </c>
      <c r="M46" s="1"/>
      <c r="N46" s="18">
        <f>IF(ISNUMBER(SEARCH("ANALOG",Table24[[#This Row],[Type]]))=TRUE,1,"")</f>
        <v>1</v>
      </c>
      <c r="O46" s="18" t="str">
        <f>IF(ISNUMBER(SEARCH("BINARY",Table24[[#This Row],[Type]]))=TRUE,1,"")</f>
        <v/>
      </c>
      <c r="P46" s="7" t="e">
        <f>IF(Table24[[#This Row],[Type]]="","",LEFT(Table24[[#This Row],[Type]],1)&amp;LEFT(#REF!,1))</f>
        <v>#REF!</v>
      </c>
      <c r="Q46" s="18" t="e">
        <f>IF(Table24[[#This Row],[Type]]="","",LEFT(Table24[[#This Row],[Type]],1)&amp;LEFT(#REF!,1))</f>
        <v>#REF!</v>
      </c>
      <c r="R46" s="18"/>
      <c r="S46" s="7" t="e">
        <f>IF(Table24[[#This Row],[A Counter]]=1,"AI"&amp;#REF!+SUM($N46:N$57),IF(Table24[[#This Row],[B Counter]]=1,"BI"&amp;#REF!+SUM($O46:O$57),""))</f>
        <v>#REF!</v>
      </c>
      <c r="T46" s="18" t="s">
        <v>34</v>
      </c>
      <c r="U46" s="7"/>
      <c r="V46">
        <v>505</v>
      </c>
    </row>
    <row r="47" spans="1:30" x14ac:dyDescent="0.25">
      <c r="A47">
        <f t="shared" si="0"/>
        <v>38</v>
      </c>
      <c r="B47" s="130">
        <f>IFERROR(RIGHT(Table246[[#This Row],[Controller Input '#]],3)*1,"")</f>
        <v>506</v>
      </c>
      <c r="C47" s="135" t="s">
        <v>329</v>
      </c>
      <c r="D47" s="1"/>
      <c r="E47" s="125" t="s">
        <v>221</v>
      </c>
      <c r="F47" s="1" t="s">
        <v>222</v>
      </c>
      <c r="G47" s="1" t="s">
        <v>218</v>
      </c>
      <c r="H47" s="8"/>
      <c r="I47" s="1" t="s">
        <v>70</v>
      </c>
      <c r="J47" s="1" t="s">
        <v>71</v>
      </c>
      <c r="K47" s="1" t="s">
        <v>84</v>
      </c>
      <c r="L47" s="18" t="s">
        <v>90</v>
      </c>
      <c r="M47" s="1"/>
      <c r="N47" s="18">
        <f>IF(ISNUMBER(SEARCH("ANALOG",Table24[[#This Row],[Type]]))=TRUE,1,"")</f>
        <v>1</v>
      </c>
      <c r="O47" s="18" t="str">
        <f>IF(ISNUMBER(SEARCH("BINARY",Table24[[#This Row],[Type]]))=TRUE,1,"")</f>
        <v/>
      </c>
      <c r="P47" s="7" t="e">
        <f>IF(Table24[[#This Row],[Type]]="","",LEFT(Table24[[#This Row],[Type]],1)&amp;LEFT(#REF!,1))</f>
        <v>#REF!</v>
      </c>
      <c r="Q47" s="18" t="e">
        <f>IF(Table24[[#This Row],[Type]]="","",LEFT(Table24[[#This Row],[Type]],1)&amp;LEFT(#REF!,1))</f>
        <v>#REF!</v>
      </c>
      <c r="R47" s="18"/>
      <c r="S47" s="7" t="e">
        <f>IF(Table24[[#This Row],[A Counter]]=1,"AI"&amp;#REF!+SUM($N47:N$57),IF(Table24[[#This Row],[B Counter]]=1,"BI"&amp;#REF!+SUM($O47:O$57),""))</f>
        <v>#REF!</v>
      </c>
      <c r="T47" s="18" t="s">
        <v>34</v>
      </c>
      <c r="U47" s="7"/>
      <c r="V47">
        <v>506</v>
      </c>
    </row>
    <row r="48" spans="1:30" x14ac:dyDescent="0.25">
      <c r="A48">
        <f t="shared" si="0"/>
        <v>39</v>
      </c>
      <c r="B48" s="93">
        <f>IFERROR(RIGHT(Table246[[#This Row],[Controller Input '#]],3)*1,"")</f>
        <v>507</v>
      </c>
      <c r="C48" s="135" t="s">
        <v>1051</v>
      </c>
      <c r="D48" s="1"/>
      <c r="E48" s="124" t="s">
        <v>1011</v>
      </c>
      <c r="F48" s="109" t="s">
        <v>441</v>
      </c>
      <c r="G48" s="109" t="s">
        <v>112</v>
      </c>
      <c r="H48" s="111"/>
      <c r="I48" s="109" t="s">
        <v>103</v>
      </c>
      <c r="J48" s="109" t="s">
        <v>71</v>
      </c>
      <c r="K48" s="109" t="s">
        <v>112</v>
      </c>
      <c r="L48" s="109"/>
      <c r="M48" s="109"/>
      <c r="N48" s="109"/>
      <c r="O48" s="109">
        <v>1</v>
      </c>
      <c r="P48" s="76" t="s">
        <v>941</v>
      </c>
      <c r="Q48" s="114"/>
      <c r="R48" s="114"/>
      <c r="S48" s="77"/>
      <c r="T48" s="18"/>
      <c r="U48" s="68"/>
      <c r="V48">
        <v>507</v>
      </c>
    </row>
    <row r="49" spans="1:22" x14ac:dyDescent="0.25">
      <c r="A49">
        <f t="shared" si="0"/>
        <v>40</v>
      </c>
      <c r="B49" s="130">
        <f>IFERROR(RIGHT(Table246[[#This Row],[Controller Input '#]],3)*1,"")</f>
        <v>508</v>
      </c>
      <c r="C49" s="135" t="s">
        <v>1052</v>
      </c>
      <c r="D49" s="1"/>
      <c r="E49" s="125"/>
      <c r="F49" s="1"/>
      <c r="G49" s="1"/>
      <c r="H49" s="8"/>
      <c r="I49" s="1"/>
      <c r="J49" s="1"/>
      <c r="K49" s="1"/>
      <c r="L49" s="1"/>
      <c r="M49" s="1"/>
      <c r="N49" s="1"/>
      <c r="O49" s="1"/>
      <c r="Q49" s="1"/>
      <c r="R49" s="1"/>
      <c r="S49" s="7"/>
      <c r="T49" s="18"/>
      <c r="U49" s="68"/>
      <c r="V49">
        <v>508</v>
      </c>
    </row>
    <row r="50" spans="1:22" x14ac:dyDescent="0.25">
      <c r="A50">
        <f t="shared" si="0"/>
        <v>41</v>
      </c>
      <c r="B50" s="93">
        <f>IFERROR(RIGHT(Table246[[#This Row],[Controller Input '#]],3)*1,"")</f>
        <v>601</v>
      </c>
      <c r="C50" s="135" t="s">
        <v>1053</v>
      </c>
      <c r="D50" s="1"/>
      <c r="E50" s="126" t="s">
        <v>341</v>
      </c>
      <c r="F50" s="1" t="s">
        <v>342</v>
      </c>
      <c r="G50" s="1" t="s">
        <v>112</v>
      </c>
      <c r="H50" s="8"/>
      <c r="I50" s="1" t="s">
        <v>103</v>
      </c>
      <c r="J50" s="1" t="s">
        <v>71</v>
      </c>
      <c r="K50" s="1" t="s">
        <v>112</v>
      </c>
      <c r="L50" s="11"/>
      <c r="M50" s="1"/>
      <c r="N50" s="18" t="str">
        <f>IF(ISNUMBER(SEARCH("ANALOG",Table24[[#This Row],[Type]]))=TRUE,1,"")</f>
        <v/>
      </c>
      <c r="O50" s="18">
        <f>IF(ISNUMBER(SEARCH("BINARY",Table24[[#This Row],[Type]]))=TRUE,1,"")</f>
        <v>1</v>
      </c>
      <c r="P50" s="7" t="e">
        <f>IF(Table24[[#This Row],[Type]]="","",LEFT(Table24[[#This Row],[Type]],1)&amp;LEFT(#REF!,1))</f>
        <v>#REF!</v>
      </c>
      <c r="Q50" s="18" t="e">
        <f>IF(Table24[[#This Row],[Type]]="","",LEFT(Table24[[#This Row],[Type]],1)&amp;LEFT(#REF!,1))</f>
        <v>#REF!</v>
      </c>
      <c r="R50" s="18"/>
      <c r="S50" s="7" t="e">
        <f>IF(Table24[[#This Row],[A Counter]]=1,"AI"&amp;#REF!+SUM($N$35:N199),IF(Table24[[#This Row],[B Counter]]=1,"BI"&amp;#REF!+SUM($O$35:O199),""))</f>
        <v>#REF!</v>
      </c>
      <c r="T50" s="18" t="s">
        <v>34</v>
      </c>
      <c r="U50" s="68"/>
      <c r="V50">
        <v>601</v>
      </c>
    </row>
    <row r="51" spans="1:22" x14ac:dyDescent="0.25">
      <c r="A51">
        <f t="shared" si="0"/>
        <v>42</v>
      </c>
      <c r="B51" s="130">
        <f>IFERROR(RIGHT(Table246[[#This Row],[Controller Input '#]],3)*1,"")</f>
        <v>602</v>
      </c>
      <c r="C51" s="135" t="s">
        <v>336</v>
      </c>
      <c r="D51" s="1"/>
      <c r="E51" s="126" t="s">
        <v>351</v>
      </c>
      <c r="F51" s="11" t="s">
        <v>352</v>
      </c>
      <c r="G51" s="1" t="s">
        <v>112</v>
      </c>
      <c r="H51" s="21"/>
      <c r="I51" s="11" t="s">
        <v>103</v>
      </c>
      <c r="J51" s="11" t="s">
        <v>71</v>
      </c>
      <c r="K51" s="11" t="s">
        <v>112</v>
      </c>
      <c r="L51" s="11"/>
      <c r="M51" s="11"/>
      <c r="N51" s="18" t="str">
        <f>IF(ISNUMBER(SEARCH("ANALOG",Table24[[#This Row],[Type]]))=TRUE,1,"")</f>
        <v/>
      </c>
      <c r="O51" s="18">
        <f>IF(ISNUMBER(SEARCH("BINARY",Table24[[#This Row],[Type]]))=TRUE,1,"")</f>
        <v>1</v>
      </c>
      <c r="P51" s="7" t="e">
        <f>IF(Table24[[#This Row],[Type]]="","",LEFT(Table24[[#This Row],[Type]],1)&amp;LEFT(#REF!,1))</f>
        <v>#REF!</v>
      </c>
      <c r="Q51" s="18" t="e">
        <f>IF(Table24[[#This Row],[Type]]="","",LEFT(Table24[[#This Row],[Type]],1)&amp;LEFT(#REF!,1))</f>
        <v>#REF!</v>
      </c>
      <c r="R51" s="18"/>
      <c r="S51" s="7" t="e">
        <f>IF(Table24[[#This Row],[A Counter]]=1,"AI"&amp;#REF!+SUM($N$35:N51),IF(Table24[[#This Row],[B Counter]]=1,"BI"&amp;#REF!+SUM($O$35:O51),""))</f>
        <v>#REF!</v>
      </c>
      <c r="T51" s="18" t="s">
        <v>34</v>
      </c>
      <c r="U51" s="69"/>
      <c r="V51">
        <v>602</v>
      </c>
    </row>
    <row r="52" spans="1:22" x14ac:dyDescent="0.25">
      <c r="A52">
        <f t="shared" si="0"/>
        <v>43</v>
      </c>
      <c r="B52" s="93">
        <f>IFERROR(RIGHT(Table246[[#This Row],[Controller Input '#]],3)*1,"")</f>
        <v>603</v>
      </c>
      <c r="C52" s="135" t="s">
        <v>1054</v>
      </c>
      <c r="D52" s="1"/>
      <c r="E52" s="126" t="s">
        <v>361</v>
      </c>
      <c r="F52" s="11" t="s">
        <v>362</v>
      </c>
      <c r="G52" s="1" t="s">
        <v>112</v>
      </c>
      <c r="H52" s="21"/>
      <c r="I52" s="11" t="s">
        <v>103</v>
      </c>
      <c r="J52" s="11" t="s">
        <v>71</v>
      </c>
      <c r="K52" s="11" t="s">
        <v>112</v>
      </c>
      <c r="L52" s="11"/>
      <c r="M52" s="11"/>
      <c r="N52" s="18" t="str">
        <f>IF(ISNUMBER(SEARCH("ANALOG",Table24[[#This Row],[Type]]))=TRUE,1,"")</f>
        <v/>
      </c>
      <c r="O52" s="18">
        <f>IF(ISNUMBER(SEARCH("BINARY",Table24[[#This Row],[Type]]))=TRUE,1,"")</f>
        <v>1</v>
      </c>
      <c r="P52" s="7" t="e">
        <f>IF(Table24[[#This Row],[Type]]="","",LEFT(Table24[[#This Row],[Type]],1)&amp;LEFT(#REF!,1))</f>
        <v>#REF!</v>
      </c>
      <c r="Q52" s="18" t="e">
        <f>IF(Table24[[#This Row],[Type]]="","",LEFT(Table24[[#This Row],[Type]],1)&amp;LEFT(#REF!,1))</f>
        <v>#REF!</v>
      </c>
      <c r="R52" s="18"/>
      <c r="S52" s="7" t="e">
        <f>IF(Table24[[#This Row],[A Counter]]=1,"AI"&amp;#REF!+SUM($N$35:N52),IF(Table24[[#This Row],[B Counter]]=1,"BI"&amp;#REF!+SUM($O$35:O52),""))</f>
        <v>#REF!</v>
      </c>
      <c r="T52" s="18" t="s">
        <v>34</v>
      </c>
      <c r="U52" s="7"/>
      <c r="V52">
        <v>603</v>
      </c>
    </row>
    <row r="53" spans="1:22" x14ac:dyDescent="0.25">
      <c r="A53">
        <f t="shared" si="0"/>
        <v>44</v>
      </c>
      <c r="B53" s="130">
        <f>IFERROR(RIGHT(Table246[[#This Row],[Controller Input '#]],3)*1,"")</f>
        <v>604</v>
      </c>
      <c r="C53" s="135" t="s">
        <v>1055</v>
      </c>
      <c r="D53" s="1"/>
      <c r="E53" s="126" t="s">
        <v>371</v>
      </c>
      <c r="F53" s="11" t="s">
        <v>372</v>
      </c>
      <c r="G53" s="1" t="s">
        <v>133</v>
      </c>
      <c r="H53" s="21"/>
      <c r="I53" s="11" t="s">
        <v>70</v>
      </c>
      <c r="J53" s="11" t="s">
        <v>71</v>
      </c>
      <c r="K53" s="11" t="s">
        <v>80</v>
      </c>
      <c r="L53" s="11"/>
      <c r="M53" s="11"/>
      <c r="N53" s="18">
        <f>IF(ISNUMBER(SEARCH("ANALOG",Table24[[#This Row],[Type]]))=TRUE,1,"")</f>
        <v>1</v>
      </c>
      <c r="O53" s="18" t="str">
        <f>IF(ISNUMBER(SEARCH("BINARY",Table24[[#This Row],[Type]]))=TRUE,1,"")</f>
        <v/>
      </c>
      <c r="P53" s="7" t="e">
        <f>IF(Table24[[#This Row],[Type]]="","",LEFT(Table24[[#This Row],[Type]],1)&amp;LEFT(#REF!,1))</f>
        <v>#REF!</v>
      </c>
      <c r="Q53" s="18" t="e">
        <f>IF(Table24[[#This Row],[Type]]="","",LEFT(Table24[[#This Row],[Type]],1)&amp;LEFT(#REF!,1))</f>
        <v>#REF!</v>
      </c>
      <c r="R53" s="18"/>
      <c r="S53" s="7" t="e">
        <f>IF(Table24[[#This Row],[A Counter]]=1,"AI"&amp;#REF!+SUM($N$35:N53),IF(Table24[[#This Row],[B Counter]]=1,"BI"&amp;#REF!+SUM($O$35:O53),""))</f>
        <v>#REF!</v>
      </c>
      <c r="T53" s="1"/>
      <c r="U53" s="7"/>
      <c r="V53">
        <v>604</v>
      </c>
    </row>
    <row r="54" spans="1:22" x14ac:dyDescent="0.25">
      <c r="A54">
        <f t="shared" si="0"/>
        <v>45</v>
      </c>
      <c r="B54" s="93">
        <f>IFERROR(RIGHT(Table246[[#This Row],[Controller Input '#]],3)*1,"")</f>
        <v>605</v>
      </c>
      <c r="C54" s="135" t="s">
        <v>1056</v>
      </c>
      <c r="D54" s="1"/>
      <c r="E54" s="126" t="s">
        <v>381</v>
      </c>
      <c r="F54" s="1" t="s">
        <v>382</v>
      </c>
      <c r="G54" s="1" t="s">
        <v>133</v>
      </c>
      <c r="H54" s="8"/>
      <c r="I54" s="11" t="s">
        <v>70</v>
      </c>
      <c r="J54" s="1" t="s">
        <v>71</v>
      </c>
      <c r="K54" s="11" t="s">
        <v>80</v>
      </c>
      <c r="L54" s="1"/>
      <c r="M54" s="11"/>
      <c r="N54" s="18">
        <f>IF(ISNUMBER(SEARCH("ANALOG",Table24[[#This Row],[Type]]))=TRUE,1,"")</f>
        <v>1</v>
      </c>
      <c r="O54" s="18" t="str">
        <f>IF(ISNUMBER(SEARCH("BINARY",Table24[[#This Row],[Type]]))=TRUE,1,"")</f>
        <v/>
      </c>
      <c r="P54" s="7" t="e">
        <f>IF(Table24[[#This Row],[Type]]="","",LEFT(Table24[[#This Row],[Type]],1)&amp;LEFT(#REF!,1))</f>
        <v>#REF!</v>
      </c>
      <c r="Q54" s="18" t="e">
        <f>IF(Table24[[#This Row],[Type]]="","",LEFT(Table24[[#This Row],[Type]],1)&amp;LEFT(#REF!,1))</f>
        <v>#REF!</v>
      </c>
      <c r="R54" s="18"/>
      <c r="S54" s="7" t="e">
        <f>IF(Table24[[#This Row],[A Counter]]=1,"AI"&amp;#REF!+SUM($N$35:N54),IF(Table24[[#This Row],[B Counter]]=1,"BI"&amp;#REF!+SUM($O$35:O54),""))</f>
        <v>#REF!</v>
      </c>
      <c r="T54" s="18" t="s">
        <v>34</v>
      </c>
      <c r="U54" s="7"/>
      <c r="V54">
        <v>605</v>
      </c>
    </row>
    <row r="55" spans="1:22" x14ac:dyDescent="0.25">
      <c r="A55">
        <f t="shared" si="0"/>
        <v>46</v>
      </c>
      <c r="B55" s="130">
        <f>IFERROR(RIGHT(Table246[[#This Row],[Controller Input '#]],3)*1,"")</f>
        <v>606</v>
      </c>
      <c r="C55" s="135" t="s">
        <v>1057</v>
      </c>
      <c r="D55" s="1"/>
      <c r="E55" s="126" t="s">
        <v>391</v>
      </c>
      <c r="F55" s="1" t="s">
        <v>392</v>
      </c>
      <c r="G55" s="1" t="s">
        <v>133</v>
      </c>
      <c r="H55" s="21"/>
      <c r="I55" s="11" t="s">
        <v>70</v>
      </c>
      <c r="J55" s="1" t="s">
        <v>71</v>
      </c>
      <c r="K55" s="11" t="s">
        <v>80</v>
      </c>
      <c r="L55" s="1"/>
      <c r="M55" s="1"/>
      <c r="N55" s="18">
        <f>IF(ISNUMBER(SEARCH("ANALOG",Table24[[#This Row],[Type]]))=TRUE,1,"")</f>
        <v>1</v>
      </c>
      <c r="O55" s="18" t="str">
        <f>IF(ISNUMBER(SEARCH("BINARY",Table24[[#This Row],[Type]]))=TRUE,1,"")</f>
        <v/>
      </c>
      <c r="P55" s="7" t="e">
        <f>IF(Table24[[#This Row],[Type]]="","",LEFT(Table24[[#This Row],[Type]],1)&amp;LEFT(#REF!,1))</f>
        <v>#REF!</v>
      </c>
      <c r="Q55" s="18" t="e">
        <f>IF(Table24[[#This Row],[Type]]="","",LEFT(Table24[[#This Row],[Type]],1)&amp;LEFT(#REF!,1))</f>
        <v>#REF!</v>
      </c>
      <c r="R55" s="18"/>
      <c r="S55" s="7" t="e">
        <f>IF(Table24[[#This Row],[A Counter]]=1,"AI"&amp;#REF!+SUM($N$35:N65),IF(Table24[[#This Row],[B Counter]]=1,"BI"&amp;#REF!+SUM($O$35:O65),""))</f>
        <v>#REF!</v>
      </c>
      <c r="T55" s="18" t="s">
        <v>34</v>
      </c>
      <c r="U55" s="7"/>
      <c r="V55">
        <v>606</v>
      </c>
    </row>
    <row r="56" spans="1:22" x14ac:dyDescent="0.25">
      <c r="A56">
        <f t="shared" si="0"/>
        <v>47</v>
      </c>
      <c r="B56" s="93">
        <f>IFERROR(RIGHT(Table246[[#This Row],[Controller Input '#]],3)*1,"")</f>
        <v>607</v>
      </c>
      <c r="C56" s="135" t="s">
        <v>1058</v>
      </c>
      <c r="D56" s="1"/>
      <c r="E56" s="126" t="s">
        <v>337</v>
      </c>
      <c r="F56" s="1" t="s">
        <v>338</v>
      </c>
      <c r="G56" s="1" t="s">
        <v>102</v>
      </c>
      <c r="H56" s="8"/>
      <c r="I56" s="1" t="s">
        <v>103</v>
      </c>
      <c r="J56" s="1" t="s">
        <v>71</v>
      </c>
      <c r="K56" s="1" t="s">
        <v>102</v>
      </c>
      <c r="L56" s="1"/>
      <c r="M56" s="1"/>
      <c r="N56" s="18" t="str">
        <f>IF(ISNUMBER(SEARCH("ANALOG",Table24[[#This Row],[Type]]))=TRUE,1,"")</f>
        <v/>
      </c>
      <c r="O56" s="18">
        <f>IF(ISNUMBER(SEARCH("BINARY",Table24[[#This Row],[Type]]))=TRUE,1,"")</f>
        <v>1</v>
      </c>
      <c r="P56" s="7" t="e">
        <f>IF(Table24[[#This Row],[Type]]="","",LEFT(Table24[[#This Row],[Type]],1)&amp;LEFT(#REF!,1))</f>
        <v>#REF!</v>
      </c>
      <c r="Q56" s="18" t="e">
        <f>IF(Table24[[#This Row],[Type]]="","",LEFT(Table24[[#This Row],[Type]],1)&amp;LEFT(#REF!,1))</f>
        <v>#REF!</v>
      </c>
      <c r="R56" s="18"/>
      <c r="S56" s="7" t="e">
        <f>IF(Table24[[#This Row],[A Counter]]=1,"AI"&amp;#REF!+SUM($N$35:N56),IF(Table24[[#This Row],[B Counter]]=1,"BI"&amp;#REF!+SUM($O$35:O56),""))</f>
        <v>#REF!</v>
      </c>
      <c r="T56" s="26" t="s">
        <v>34</v>
      </c>
      <c r="U56" s="7"/>
      <c r="V56">
        <v>607</v>
      </c>
    </row>
    <row r="57" spans="1:22" x14ac:dyDescent="0.25">
      <c r="A57">
        <f t="shared" si="0"/>
        <v>48</v>
      </c>
      <c r="B57" s="130">
        <f>IFERROR(RIGHT(Table246[[#This Row],[Controller Input '#]],3)*1,"")</f>
        <v>608</v>
      </c>
      <c r="C57" s="135" t="s">
        <v>1059</v>
      </c>
      <c r="D57" s="1"/>
      <c r="E57" s="126" t="s">
        <v>339</v>
      </c>
      <c r="F57" s="1" t="s">
        <v>340</v>
      </c>
      <c r="G57" s="1" t="s">
        <v>102</v>
      </c>
      <c r="H57" s="8"/>
      <c r="I57" s="1" t="s">
        <v>103</v>
      </c>
      <c r="J57" s="1" t="s">
        <v>71</v>
      </c>
      <c r="K57" s="1" t="s">
        <v>102</v>
      </c>
      <c r="L57" s="1"/>
      <c r="M57" s="1"/>
      <c r="N57" s="18" t="str">
        <f>IF(ISNUMBER(SEARCH("ANALOG",Table24[[#This Row],[Type]]))=TRUE,1,"")</f>
        <v/>
      </c>
      <c r="O57" s="18">
        <f>IF(ISNUMBER(SEARCH("BINARY",Table24[[#This Row],[Type]]))=TRUE,1,"")</f>
        <v>1</v>
      </c>
      <c r="P57" s="7" t="e">
        <f>IF(Table24[[#This Row],[Type]]="","",LEFT(Table24[[#This Row],[Type]],1)&amp;LEFT(#REF!,1))</f>
        <v>#REF!</v>
      </c>
      <c r="Q57" s="18" t="e">
        <f>IF(Table24[[#This Row],[Type]]="","",LEFT(Table24[[#This Row],[Type]],1)&amp;LEFT(#REF!,1))</f>
        <v>#REF!</v>
      </c>
      <c r="R57" s="18"/>
      <c r="S57" s="7" t="e">
        <f>IF(Table24[[#This Row],[A Counter]]=1,"AI"&amp;#REF!+SUM($N$35:N63),IF(Table24[[#This Row],[B Counter]]=1,"BI"&amp;#REF!+SUM($O$35:O63),""))</f>
        <v>#REF!</v>
      </c>
      <c r="T57" s="26" t="s">
        <v>34</v>
      </c>
      <c r="U57" s="7"/>
      <c r="V57">
        <v>608</v>
      </c>
    </row>
    <row r="58" spans="1:22" x14ac:dyDescent="0.25">
      <c r="A58">
        <f t="shared" si="0"/>
        <v>49</v>
      </c>
      <c r="B58" s="93">
        <f>IFERROR(RIGHT(Table246[[#This Row],[Controller Input '#]],3)*1,"")</f>
        <v>701</v>
      </c>
      <c r="C58" s="135" t="s">
        <v>1060</v>
      </c>
      <c r="D58" s="1"/>
      <c r="E58" s="125" t="s">
        <v>323</v>
      </c>
      <c r="F58" s="1" t="s">
        <v>324</v>
      </c>
      <c r="G58" s="1" t="s">
        <v>69</v>
      </c>
      <c r="H58" s="8"/>
      <c r="I58" s="1" t="s">
        <v>70</v>
      </c>
      <c r="J58" s="1" t="s">
        <v>71</v>
      </c>
      <c r="K58" s="3" t="s">
        <v>72</v>
      </c>
      <c r="L58" s="1" t="s">
        <v>73</v>
      </c>
      <c r="M58" s="1"/>
      <c r="N58" s="18">
        <f>IF(ISNUMBER(SEARCH("ANALOG",Table24[[#This Row],[Type]]))=TRUE,1,"")</f>
        <v>1</v>
      </c>
      <c r="O58" s="18" t="str">
        <f>IF(ISNUMBER(SEARCH("BINARY",Table24[[#This Row],[Type]]))=TRUE,1,"")</f>
        <v/>
      </c>
      <c r="P58" s="7" t="e">
        <f>IF(Table24[[#This Row],[Type]]="","",LEFT(Table24[[#This Row],[Type]],1)&amp;LEFT(#REF!,1))</f>
        <v>#REF!</v>
      </c>
      <c r="Q58" s="18" t="e">
        <f>IF(Table24[[#This Row],[Type]]="","",LEFT(Table24[[#This Row],[Type]],1)&amp;LEFT(#REF!,1))</f>
        <v>#REF!</v>
      </c>
      <c r="R58" s="18"/>
      <c r="S58" s="7" t="e">
        <f>IF(Table24[[#This Row],[A Counter]]=1,"AI"&amp;#REF!+SUM($N$35:N58),IF(Table24[[#This Row],[B Counter]]=1,"BI"&amp;#REF!+SUM($O$35:O58),""))</f>
        <v>#REF!</v>
      </c>
      <c r="T58" s="26" t="s">
        <v>34</v>
      </c>
      <c r="U58" s="7"/>
      <c r="V58">
        <v>701</v>
      </c>
    </row>
    <row r="59" spans="1:22" x14ac:dyDescent="0.25">
      <c r="A59">
        <f t="shared" si="0"/>
        <v>50</v>
      </c>
      <c r="B59" s="130">
        <f>IFERROR(RIGHT(Table246[[#This Row],[Controller Input '#]],3)*1,"")</f>
        <v>702</v>
      </c>
      <c r="C59" s="135" t="s">
        <v>1061</v>
      </c>
      <c r="D59" s="1"/>
      <c r="E59" s="125" t="s">
        <v>325</v>
      </c>
      <c r="F59" s="1" t="s">
        <v>326</v>
      </c>
      <c r="G59" s="1" t="s">
        <v>69</v>
      </c>
      <c r="H59" s="8"/>
      <c r="I59" s="1" t="s">
        <v>70</v>
      </c>
      <c r="J59" s="1" t="s">
        <v>71</v>
      </c>
      <c r="K59" s="3" t="s">
        <v>72</v>
      </c>
      <c r="L59" s="1" t="s">
        <v>76</v>
      </c>
      <c r="M59" s="1"/>
      <c r="N59" s="18">
        <f>IF(ISNUMBER(SEARCH("ANALOG",Table24[[#This Row],[Type]]))=TRUE,1,"")</f>
        <v>1</v>
      </c>
      <c r="O59" s="18" t="str">
        <f>IF(ISNUMBER(SEARCH("BINARY",Table24[[#This Row],[Type]]))=TRUE,1,"")</f>
        <v/>
      </c>
      <c r="P59" s="7" t="e">
        <f>IF(Table24[[#This Row],[Type]]="","",LEFT(Table24[[#This Row],[Type]],1)&amp;LEFT(#REF!,1))</f>
        <v>#REF!</v>
      </c>
      <c r="Q59" s="18" t="e">
        <f>IF(Table24[[#This Row],[Type]]="","",LEFT(Table24[[#This Row],[Type]],1)&amp;LEFT(#REF!,1))</f>
        <v>#REF!</v>
      </c>
      <c r="R59" s="18"/>
      <c r="S59" s="7" t="e">
        <f>IF(Table24[[#This Row],[A Counter]]=1,"AI"&amp;#REF!+SUM($N$35:N59),IF(Table24[[#This Row],[B Counter]]=1,"BI"&amp;#REF!+SUM($O$35:O59),""))</f>
        <v>#REF!</v>
      </c>
      <c r="T59" s="18" t="s">
        <v>34</v>
      </c>
      <c r="U59" s="7"/>
      <c r="V59">
        <v>702</v>
      </c>
    </row>
    <row r="60" spans="1:22" x14ac:dyDescent="0.25">
      <c r="A60">
        <f t="shared" si="0"/>
        <v>51</v>
      </c>
      <c r="B60" s="93">
        <f>IFERROR(RIGHT(Table246[[#This Row],[Controller Input '#]],3)*1,"")</f>
        <v>703</v>
      </c>
      <c r="C60" s="99">
        <v>703</v>
      </c>
      <c r="D60" s="1"/>
      <c r="E60" s="125" t="s">
        <v>327</v>
      </c>
      <c r="F60" s="1" t="s">
        <v>328</v>
      </c>
      <c r="G60" s="1" t="s">
        <v>69</v>
      </c>
      <c r="H60" s="8"/>
      <c r="I60" s="1" t="s">
        <v>70</v>
      </c>
      <c r="J60" s="1" t="s">
        <v>71</v>
      </c>
      <c r="K60" s="3" t="s">
        <v>72</v>
      </c>
      <c r="L60" s="1" t="s">
        <v>76</v>
      </c>
      <c r="M60" s="18"/>
      <c r="N60" s="18">
        <f>IF(ISNUMBER(SEARCH("ANALOG",Table24[[#This Row],[Type]]))=TRUE,1,"")</f>
        <v>1</v>
      </c>
      <c r="O60" s="18" t="str">
        <f>IF(ISNUMBER(SEARCH("BINARY",Table24[[#This Row],[Type]]))=TRUE,1,"")</f>
        <v/>
      </c>
      <c r="P60" s="7" t="e">
        <f>IF(Table24[[#This Row],[Type]]="","",LEFT(Table24[[#This Row],[Type]],1)&amp;LEFT(#REF!,1))</f>
        <v>#REF!</v>
      </c>
      <c r="Q60" s="18" t="e">
        <f>IF(Table24[[#This Row],[Type]]="","",LEFT(Table24[[#This Row],[Type]],1)&amp;LEFT(#REF!,1))</f>
        <v>#REF!</v>
      </c>
      <c r="R60" s="18"/>
      <c r="S60" s="7" t="e">
        <f>IF(Table24[[#This Row],[A Counter]]=1,"AI"&amp;#REF!+SUM($N$35:N60),IF(Table24[[#This Row],[B Counter]]=1,"BI"&amp;#REF!+SUM($O$35:O60),""))</f>
        <v>#REF!</v>
      </c>
      <c r="T60" s="1"/>
      <c r="V60">
        <v>703</v>
      </c>
    </row>
    <row r="61" spans="1:22" x14ac:dyDescent="0.25">
      <c r="A61">
        <f t="shared" si="0"/>
        <v>52</v>
      </c>
      <c r="B61" s="130">
        <f>IFERROR(RIGHT(Table246[[#This Row],[Controller Input '#]],3)*1,"")</f>
        <v>704</v>
      </c>
      <c r="C61" s="99">
        <v>704</v>
      </c>
      <c r="D61" s="1"/>
      <c r="E61" s="125" t="s">
        <v>330</v>
      </c>
      <c r="F61" s="1" t="s">
        <v>331</v>
      </c>
      <c r="G61" s="1" t="s">
        <v>218</v>
      </c>
      <c r="H61" s="8"/>
      <c r="I61" s="1" t="s">
        <v>70</v>
      </c>
      <c r="J61" s="1" t="s">
        <v>71</v>
      </c>
      <c r="K61" s="1" t="s">
        <v>84</v>
      </c>
      <c r="L61" s="18" t="s">
        <v>85</v>
      </c>
      <c r="M61" s="1"/>
      <c r="N61" s="18">
        <f>IF(ISNUMBER(SEARCH("ANALOG",Table24[[#This Row],[Type]]))=TRUE,1,"")</f>
        <v>1</v>
      </c>
      <c r="O61" s="18" t="str">
        <f>IF(ISNUMBER(SEARCH("BINARY",Table24[[#This Row],[Type]]))=TRUE,1,"")</f>
        <v/>
      </c>
      <c r="P61" s="7" t="e">
        <f>IF(Table24[[#This Row],[Type]]="","",LEFT(Table24[[#This Row],[Type]],1)&amp;LEFT(#REF!,1))</f>
        <v>#REF!</v>
      </c>
      <c r="Q61" s="18" t="e">
        <f>IF(Table24[[#This Row],[Type]]="","",LEFT(Table24[[#This Row],[Type]],1)&amp;LEFT(#REF!,1))</f>
        <v>#REF!</v>
      </c>
      <c r="R61" s="18"/>
      <c r="S61" s="7" t="e">
        <f>IF(Table24[[#This Row],[A Counter]]=1,"AI"&amp;#REF!+SUM($N$35:N61),IF(Table24[[#This Row],[B Counter]]=1,"BI"&amp;#REF!+SUM($O$35:O61),""))</f>
        <v>#REF!</v>
      </c>
      <c r="T61" s="18"/>
      <c r="V61">
        <v>704</v>
      </c>
    </row>
    <row r="62" spans="1:22" x14ac:dyDescent="0.25">
      <c r="A62">
        <f t="shared" si="0"/>
        <v>53</v>
      </c>
      <c r="B62" s="93">
        <f>IFERROR(RIGHT(Table246[[#This Row],[Controller Input '#]],3)*1,"")</f>
        <v>705</v>
      </c>
      <c r="C62" s="99">
        <v>705</v>
      </c>
      <c r="D62" s="1"/>
      <c r="E62" s="125" t="s">
        <v>332</v>
      </c>
      <c r="F62" s="1" t="s">
        <v>333</v>
      </c>
      <c r="G62" s="1" t="s">
        <v>218</v>
      </c>
      <c r="H62" s="8"/>
      <c r="I62" s="1" t="s">
        <v>70</v>
      </c>
      <c r="J62" s="1" t="s">
        <v>71</v>
      </c>
      <c r="K62" s="1" t="s">
        <v>84</v>
      </c>
      <c r="L62" s="18" t="s">
        <v>90</v>
      </c>
      <c r="M62" s="1"/>
      <c r="N62" s="18">
        <f>IF(ISNUMBER(SEARCH("ANALOG",Table24[[#This Row],[Type]]))=TRUE,1,"")</f>
        <v>1</v>
      </c>
      <c r="O62" s="18" t="str">
        <f>IF(ISNUMBER(SEARCH("BINARY",Table24[[#This Row],[Type]]))=TRUE,1,"")</f>
        <v/>
      </c>
      <c r="P62" s="7" t="e">
        <f>IF(Table24[[#This Row],[Type]]="","",LEFT(Table24[[#This Row],[Type]],1)&amp;LEFT(#REF!,1))</f>
        <v>#REF!</v>
      </c>
      <c r="Q62" s="18" t="e">
        <f>IF(Table24[[#This Row],[Type]]="","",LEFT(Table24[[#This Row],[Type]],1)&amp;LEFT(#REF!,1))</f>
        <v>#REF!</v>
      </c>
      <c r="R62" s="18"/>
      <c r="S62" s="7" t="e">
        <f>IF(Table24[[#This Row],[A Counter]]=1,"AI"&amp;#REF!+SUM($N$35:N62),IF(Table24[[#This Row],[B Counter]]=1,"BI"&amp;#REF!+SUM($O$35:O62),""))</f>
        <v>#REF!</v>
      </c>
      <c r="T62" s="18"/>
      <c r="V62">
        <v>705</v>
      </c>
    </row>
    <row r="63" spans="1:22" x14ac:dyDescent="0.25">
      <c r="A63">
        <f t="shared" si="0"/>
        <v>54</v>
      </c>
      <c r="B63" s="130">
        <f>IFERROR(RIGHT(Table246[[#This Row],[Controller Input '#]],3)*1,"")</f>
        <v>706</v>
      </c>
      <c r="C63" s="99">
        <v>706</v>
      </c>
      <c r="D63" s="1"/>
      <c r="E63" s="125" t="s">
        <v>334</v>
      </c>
      <c r="F63" s="1" t="s">
        <v>335</v>
      </c>
      <c r="G63" s="1" t="s">
        <v>218</v>
      </c>
      <c r="H63" s="8"/>
      <c r="I63" s="1" t="s">
        <v>70</v>
      </c>
      <c r="J63" s="1" t="s">
        <v>71</v>
      </c>
      <c r="K63" s="1" t="s">
        <v>84</v>
      </c>
      <c r="L63" s="18" t="s">
        <v>90</v>
      </c>
      <c r="M63" s="1"/>
      <c r="N63" s="18">
        <f>IF(ISNUMBER(SEARCH("ANALOG",Table24[[#This Row],[Type]]))=TRUE,1,"")</f>
        <v>1</v>
      </c>
      <c r="O63" s="18" t="str">
        <f>IF(ISNUMBER(SEARCH("BINARY",Table24[[#This Row],[Type]]))=TRUE,1,"")</f>
        <v/>
      </c>
      <c r="P63" s="7" t="e">
        <f>IF(Table24[[#This Row],[Type]]="","",LEFT(Table24[[#This Row],[Type]],1)&amp;LEFT(#REF!,1))</f>
        <v>#REF!</v>
      </c>
      <c r="Q63" s="18" t="e">
        <f>IF(Table24[[#This Row],[Type]]="","",LEFT(Table24[[#This Row],[Type]],1)&amp;LEFT(#REF!,1))</f>
        <v>#REF!</v>
      </c>
      <c r="R63" s="18"/>
      <c r="S63" s="7" t="e">
        <f>IF(Table24[[#This Row],[A Counter]]=1,"AI"&amp;#REF!+SUM($N$35:N191),IF(Table24[[#This Row],[B Counter]]=1,"BI"&amp;#REF!+SUM($O$35:O191),""))</f>
        <v>#REF!</v>
      </c>
      <c r="T63" s="18"/>
      <c r="V63">
        <v>706</v>
      </c>
    </row>
    <row r="64" spans="1:22" x14ac:dyDescent="0.25">
      <c r="A64">
        <f t="shared" si="0"/>
        <v>55</v>
      </c>
      <c r="B64" s="93">
        <f>IFERROR(RIGHT(Table246[[#This Row],[Controller Input '#]],3)*1,"")</f>
        <v>707</v>
      </c>
      <c r="C64" s="99">
        <v>707</v>
      </c>
      <c r="D64" s="1"/>
      <c r="E64" s="124" t="s">
        <v>1012</v>
      </c>
      <c r="F64" s="109" t="s">
        <v>445</v>
      </c>
      <c r="G64" s="109" t="s">
        <v>112</v>
      </c>
      <c r="H64" s="111"/>
      <c r="I64" s="109" t="s">
        <v>103</v>
      </c>
      <c r="J64" s="109" t="s">
        <v>71</v>
      </c>
      <c r="K64" s="109" t="s">
        <v>112</v>
      </c>
      <c r="L64" s="109"/>
      <c r="M64" s="109"/>
      <c r="N64" s="109"/>
      <c r="O64" s="109">
        <v>1</v>
      </c>
      <c r="P64" s="76" t="s">
        <v>941</v>
      </c>
      <c r="Q64" s="1"/>
      <c r="R64" s="1"/>
      <c r="S64" s="7"/>
      <c r="T64" s="1"/>
      <c r="V64">
        <v>707</v>
      </c>
    </row>
    <row r="65" spans="1:24" x14ac:dyDescent="0.25">
      <c r="A65">
        <f t="shared" si="0"/>
        <v>56</v>
      </c>
      <c r="B65" s="130">
        <f>IFERROR(RIGHT(Table246[[#This Row],[Controller Input '#]],3)*1,"")</f>
        <v>708</v>
      </c>
      <c r="C65" s="99">
        <v>708</v>
      </c>
      <c r="D65" s="1"/>
      <c r="E65" s="125"/>
      <c r="F65" s="1"/>
      <c r="G65" s="1"/>
      <c r="H65" s="8"/>
      <c r="I65" s="1"/>
      <c r="J65" s="1"/>
      <c r="K65" s="1"/>
      <c r="L65" s="1"/>
      <c r="M65" s="1"/>
      <c r="N65" s="1"/>
      <c r="O65" s="1"/>
      <c r="Q65" s="1"/>
      <c r="R65" s="1"/>
      <c r="S65" s="7"/>
      <c r="T65" s="1"/>
      <c r="V65">
        <v>708</v>
      </c>
    </row>
    <row r="66" spans="1:24" x14ac:dyDescent="0.25">
      <c r="A66">
        <f t="shared" si="0"/>
        <v>57</v>
      </c>
      <c r="B66" s="93">
        <f>IFERROR(RIGHT(Table246[[#This Row],[Controller Input '#]],3)*1,"")</f>
        <v>801</v>
      </c>
      <c r="C66" s="99">
        <v>801</v>
      </c>
      <c r="D66" s="1"/>
      <c r="E66" s="126" t="s">
        <v>1132</v>
      </c>
      <c r="F66" s="137" t="s">
        <v>1142</v>
      </c>
      <c r="G66" s="1"/>
      <c r="H66" s="8"/>
      <c r="I66" s="1" t="s">
        <v>70</v>
      </c>
      <c r="J66" s="1"/>
      <c r="K66" s="1"/>
      <c r="L66" s="1"/>
      <c r="M66" s="1"/>
      <c r="N66" s="1"/>
      <c r="O66" s="1"/>
      <c r="Q66" s="1"/>
      <c r="R66" s="1"/>
      <c r="S66" s="7"/>
      <c r="T66" s="1"/>
      <c r="V66">
        <v>801</v>
      </c>
      <c r="X66" s="138" t="s">
        <v>1143</v>
      </c>
    </row>
    <row r="67" spans="1:24" x14ac:dyDescent="0.25">
      <c r="A67">
        <f t="shared" si="0"/>
        <v>58</v>
      </c>
      <c r="B67" s="130">
        <f>IFERROR(RIGHT(Table246[[#This Row],[Controller Input '#]],3)*1,"")</f>
        <v>802</v>
      </c>
      <c r="C67" s="99">
        <v>802</v>
      </c>
      <c r="D67" s="1"/>
      <c r="E67" s="126" t="s">
        <v>1133</v>
      </c>
      <c r="F67" s="137" t="s">
        <v>1144</v>
      </c>
      <c r="G67" s="1"/>
      <c r="H67" s="8"/>
      <c r="I67" s="1" t="s">
        <v>70</v>
      </c>
      <c r="J67" s="1"/>
      <c r="K67" s="1"/>
      <c r="L67" s="1"/>
      <c r="M67" s="1"/>
      <c r="N67" s="1"/>
      <c r="O67" s="1"/>
      <c r="Q67" s="1"/>
      <c r="R67" s="1"/>
      <c r="S67" s="7"/>
      <c r="T67" s="1"/>
      <c r="V67">
        <v>802</v>
      </c>
      <c r="X67" s="139" t="s">
        <v>1145</v>
      </c>
    </row>
    <row r="68" spans="1:24" x14ac:dyDescent="0.25">
      <c r="A68">
        <f t="shared" si="0"/>
        <v>59</v>
      </c>
      <c r="B68" s="93">
        <f>IFERROR(RIGHT(Table246[[#This Row],[Controller Input '#]],3)*1,"")</f>
        <v>803</v>
      </c>
      <c r="C68" s="99">
        <v>803</v>
      </c>
      <c r="D68" s="1"/>
      <c r="E68" s="126" t="s">
        <v>1134</v>
      </c>
      <c r="F68" s="137" t="s">
        <v>1146</v>
      </c>
      <c r="G68" s="1"/>
      <c r="H68" s="8"/>
      <c r="I68" s="1" t="s">
        <v>70</v>
      </c>
      <c r="J68" s="1"/>
      <c r="K68" s="1"/>
      <c r="L68" s="1"/>
      <c r="M68" s="1"/>
      <c r="N68" s="1"/>
      <c r="O68" s="1"/>
      <c r="Q68" s="1"/>
      <c r="R68" s="1"/>
      <c r="S68" s="7"/>
      <c r="T68" s="1"/>
      <c r="V68">
        <v>803</v>
      </c>
      <c r="X68" s="138" t="s">
        <v>1147</v>
      </c>
    </row>
    <row r="69" spans="1:24" x14ac:dyDescent="0.25">
      <c r="A69">
        <f t="shared" si="0"/>
        <v>60</v>
      </c>
      <c r="B69" s="130">
        <f>IFERROR(RIGHT(Table246[[#This Row],[Controller Input '#]],3)*1,"")</f>
        <v>804</v>
      </c>
      <c r="C69" s="99">
        <v>804</v>
      </c>
      <c r="D69" s="1"/>
      <c r="E69" s="126" t="s">
        <v>1135</v>
      </c>
      <c r="F69" s="137" t="s">
        <v>1148</v>
      </c>
      <c r="G69" s="1"/>
      <c r="H69" s="8"/>
      <c r="I69" s="1" t="s">
        <v>70</v>
      </c>
      <c r="J69" s="1"/>
      <c r="K69" s="1"/>
      <c r="L69" s="1"/>
      <c r="M69" s="1"/>
      <c r="N69" s="18"/>
      <c r="O69" s="18"/>
      <c r="P69" s="7"/>
      <c r="Q69" s="18"/>
      <c r="R69" s="18"/>
      <c r="S69" s="7"/>
      <c r="T69" s="18"/>
      <c r="V69">
        <v>804</v>
      </c>
      <c r="X69" s="139" t="s">
        <v>1145</v>
      </c>
    </row>
    <row r="70" spans="1:24" x14ac:dyDescent="0.25">
      <c r="A70">
        <f t="shared" si="0"/>
        <v>61</v>
      </c>
      <c r="B70" s="93">
        <f>IFERROR(RIGHT(Table246[[#This Row],[Controller Input '#]],3)*1,"")</f>
        <v>805</v>
      </c>
      <c r="C70" s="99">
        <v>805</v>
      </c>
      <c r="D70" s="1"/>
      <c r="E70" s="126" t="s">
        <v>1149</v>
      </c>
      <c r="F70" s="61" t="s">
        <v>1150</v>
      </c>
      <c r="G70" s="1"/>
      <c r="H70" s="8"/>
      <c r="I70" s="1" t="s">
        <v>70</v>
      </c>
      <c r="J70" s="1"/>
      <c r="K70" s="1"/>
      <c r="L70" s="1"/>
      <c r="M70" s="1"/>
      <c r="N70" s="18"/>
      <c r="O70" s="18"/>
      <c r="P70" s="7"/>
      <c r="Q70" s="18" t="e">
        <f>IF(Table246[[#This Row],[Type]]="","",LEFT(Table246[[#This Row],[Type]],1)&amp;LEFT(#REF!,1))</f>
        <v>#REF!</v>
      </c>
      <c r="R70" s="18"/>
      <c r="S70" s="7"/>
      <c r="T70" s="18"/>
      <c r="V70">
        <v>805</v>
      </c>
    </row>
    <row r="71" spans="1:24" x14ac:dyDescent="0.25">
      <c r="A71">
        <f t="shared" si="0"/>
        <v>62</v>
      </c>
      <c r="B71" s="93">
        <f>IFERROR(RIGHT(Table246[[#This Row],[Controller Input '#]],3)*1,"")</f>
        <v>806</v>
      </c>
      <c r="C71" s="99">
        <v>806</v>
      </c>
      <c r="D71" s="1"/>
      <c r="E71" s="126" t="s">
        <v>1151</v>
      </c>
      <c r="F71" s="61" t="s">
        <v>1152</v>
      </c>
      <c r="G71" s="1"/>
      <c r="H71" s="8"/>
      <c r="I71" s="1" t="s">
        <v>70</v>
      </c>
      <c r="J71" s="1"/>
      <c r="K71" s="1"/>
      <c r="L71" s="1"/>
      <c r="M71" s="1"/>
      <c r="N71" s="18"/>
      <c r="O71" s="18"/>
      <c r="P71" s="7"/>
      <c r="Q71" s="18" t="e">
        <f>IF(Table246[[#This Row],[Type]]="","",LEFT(Table246[[#This Row],[Type]],1)&amp;LEFT(#REF!,1))</f>
        <v>#REF!</v>
      </c>
      <c r="R71" s="18"/>
      <c r="S71" s="7"/>
      <c r="T71" s="18"/>
      <c r="V71">
        <v>806</v>
      </c>
    </row>
    <row r="72" spans="1:24" x14ac:dyDescent="0.25">
      <c r="A72">
        <f t="shared" si="0"/>
        <v>63</v>
      </c>
      <c r="B72" s="93">
        <f>IFERROR(RIGHT(Table246[[#This Row],[Controller Input '#]],3)*1,"")</f>
        <v>807</v>
      </c>
      <c r="C72" s="99">
        <v>807</v>
      </c>
      <c r="D72" s="1"/>
      <c r="E72" s="126" t="s">
        <v>1153</v>
      </c>
      <c r="F72" s="61" t="s">
        <v>1154</v>
      </c>
      <c r="G72" s="1"/>
      <c r="H72" s="8"/>
      <c r="I72" s="1" t="s">
        <v>70</v>
      </c>
      <c r="J72" s="1"/>
      <c r="K72" s="1"/>
      <c r="L72" s="1"/>
      <c r="M72" s="1"/>
      <c r="N72" s="18"/>
      <c r="O72" s="18"/>
      <c r="P72" s="7"/>
      <c r="Q72" s="18" t="e">
        <f>IF(Table246[[#This Row],[Type]]="","",LEFT(Table246[[#This Row],[Type]],1)&amp;LEFT(#REF!,1))</f>
        <v>#REF!</v>
      </c>
      <c r="R72" s="18"/>
      <c r="S72" s="7"/>
      <c r="T72" s="18"/>
      <c r="V72">
        <v>807</v>
      </c>
    </row>
    <row r="73" spans="1:24" x14ac:dyDescent="0.25">
      <c r="A73">
        <f t="shared" si="0"/>
        <v>64</v>
      </c>
      <c r="B73" s="93">
        <f>IFERROR(RIGHT(Table246[[#This Row],[Controller Input '#]],3)*1,"")</f>
        <v>808</v>
      </c>
      <c r="C73" s="99">
        <v>808</v>
      </c>
      <c r="D73" s="1"/>
      <c r="E73" s="126" t="s">
        <v>1155</v>
      </c>
      <c r="F73" s="61" t="s">
        <v>1156</v>
      </c>
      <c r="G73" s="1"/>
      <c r="H73" s="8"/>
      <c r="I73" s="1" t="s">
        <v>70</v>
      </c>
      <c r="J73" s="1"/>
      <c r="K73" s="1"/>
      <c r="L73" s="1"/>
      <c r="M73" s="1"/>
      <c r="N73" s="18"/>
      <c r="O73" s="18"/>
      <c r="P73" s="7"/>
      <c r="Q73" s="18" t="e">
        <f>IF(Table246[[#This Row],[Type]]="","",LEFT(Table246[[#This Row],[Type]],1)&amp;LEFT(#REF!,1))</f>
        <v>#REF!</v>
      </c>
      <c r="R73" s="18"/>
      <c r="S73" s="7"/>
      <c r="T73" s="18"/>
      <c r="V73">
        <v>808</v>
      </c>
    </row>
    <row r="74" spans="1:24" x14ac:dyDescent="0.25">
      <c r="A74">
        <f t="shared" si="0"/>
        <v>65</v>
      </c>
      <c r="B74" s="93">
        <f>IFERROR(RIGHT(Table246[[#This Row],[Controller Input '#]],3)*1,"")</f>
        <v>901</v>
      </c>
      <c r="C74" s="99">
        <v>901</v>
      </c>
      <c r="D74" s="1"/>
      <c r="E74" s="125" t="s">
        <v>1157</v>
      </c>
      <c r="F74" s="61" t="s">
        <v>1158</v>
      </c>
      <c r="G74" s="1"/>
      <c r="H74" s="8"/>
      <c r="I74" s="1" t="s">
        <v>70</v>
      </c>
      <c r="J74" s="1"/>
      <c r="K74" s="1"/>
      <c r="L74" s="1"/>
      <c r="M74" s="1"/>
      <c r="N74" s="18"/>
      <c r="O74" s="18"/>
      <c r="P74" s="7"/>
      <c r="Q74" s="18" t="e">
        <f>IF(Table246[[#This Row],[Type]]="","",LEFT(Table246[[#This Row],[Type]],1)&amp;LEFT(#REF!,1))</f>
        <v>#REF!</v>
      </c>
      <c r="R74" s="18"/>
      <c r="S74" s="7"/>
      <c r="T74" s="18"/>
      <c r="V74">
        <v>901</v>
      </c>
    </row>
    <row r="75" spans="1:24" x14ac:dyDescent="0.25">
      <c r="A75">
        <f t="shared" ref="A75:A162" si="5">A74+1</f>
        <v>66</v>
      </c>
      <c r="B75" s="93">
        <f>IFERROR(RIGHT(Table246[[#This Row],[Controller Input '#]],3)*1,"")</f>
        <v>902</v>
      </c>
      <c r="C75" s="99">
        <v>902</v>
      </c>
      <c r="D75" s="1"/>
      <c r="E75" s="125" t="s">
        <v>1159</v>
      </c>
      <c r="F75" s="61" t="s">
        <v>1160</v>
      </c>
      <c r="G75" s="1"/>
      <c r="H75" s="8"/>
      <c r="I75" s="1" t="s">
        <v>70</v>
      </c>
      <c r="J75" s="1"/>
      <c r="K75" s="1"/>
      <c r="L75" s="1"/>
      <c r="M75" s="1"/>
      <c r="N75" s="18"/>
      <c r="O75" s="18"/>
      <c r="P75" s="7"/>
      <c r="Q75" s="18" t="e">
        <f>IF(Table246[[#This Row],[Type]]="","",LEFT(Table246[[#This Row],[Type]],1)&amp;LEFT(#REF!,1))</f>
        <v>#REF!</v>
      </c>
      <c r="R75" s="18"/>
      <c r="S75" s="7"/>
      <c r="T75" s="18"/>
      <c r="V75">
        <v>902</v>
      </c>
    </row>
    <row r="76" spans="1:24" x14ac:dyDescent="0.25">
      <c r="A76">
        <f t="shared" si="5"/>
        <v>67</v>
      </c>
      <c r="B76" s="93">
        <f>IFERROR(RIGHT(Table246[[#This Row],[Controller Input '#]],3)*1,"")</f>
        <v>903</v>
      </c>
      <c r="C76" s="99">
        <v>903</v>
      </c>
      <c r="D76" s="1"/>
      <c r="E76" s="125"/>
      <c r="F76" s="61"/>
      <c r="G76" s="1"/>
      <c r="H76" s="8"/>
      <c r="I76" s="1"/>
      <c r="J76" s="1"/>
      <c r="K76" s="1"/>
      <c r="L76" s="1"/>
      <c r="M76" s="1"/>
      <c r="N76" s="18"/>
      <c r="O76" s="18"/>
      <c r="P76" s="7"/>
      <c r="Q76" s="18" t="str">
        <f>IF(Table246[[#This Row],[Type]]="","",LEFT(Table246[[#This Row],[Type]],1)&amp;LEFT(#REF!,1))</f>
        <v/>
      </c>
      <c r="R76" s="18"/>
      <c r="S76" s="7"/>
      <c r="T76" s="18"/>
      <c r="V76">
        <v>903</v>
      </c>
    </row>
    <row r="77" spans="1:24" x14ac:dyDescent="0.25">
      <c r="A77">
        <f t="shared" si="5"/>
        <v>68</v>
      </c>
      <c r="B77" s="93">
        <f>IFERROR(RIGHT(Table246[[#This Row],[Controller Input '#]],3)*1,"")</f>
        <v>904</v>
      </c>
      <c r="C77" s="99">
        <v>904</v>
      </c>
      <c r="D77" s="1"/>
      <c r="E77" s="125"/>
      <c r="F77" s="61"/>
      <c r="G77" s="1"/>
      <c r="H77" s="8"/>
      <c r="I77" s="1"/>
      <c r="J77" s="1"/>
      <c r="K77" s="1"/>
      <c r="L77" s="1"/>
      <c r="M77" s="1"/>
      <c r="N77" s="18"/>
      <c r="O77" s="18"/>
      <c r="P77" s="7"/>
      <c r="Q77" s="18" t="str">
        <f>IF(Table246[[#This Row],[Type]]="","",LEFT(Table246[[#This Row],[Type]],1)&amp;LEFT(#REF!,1))</f>
        <v/>
      </c>
      <c r="R77" s="18"/>
      <c r="S77" s="7"/>
      <c r="T77" s="18"/>
      <c r="V77">
        <v>904</v>
      </c>
    </row>
    <row r="78" spans="1:24" x14ac:dyDescent="0.25">
      <c r="A78">
        <f t="shared" si="5"/>
        <v>69</v>
      </c>
      <c r="B78" s="93">
        <f>IFERROR(RIGHT(Table246[[#This Row],[Controller Input '#]],3)*1,"")</f>
        <v>905</v>
      </c>
      <c r="C78" s="99">
        <v>905</v>
      </c>
      <c r="D78" s="1"/>
      <c r="E78" s="125"/>
      <c r="F78" s="61"/>
      <c r="G78" s="1"/>
      <c r="H78" s="8"/>
      <c r="I78" s="1"/>
      <c r="J78" s="1"/>
      <c r="K78" s="1"/>
      <c r="L78" s="1"/>
      <c r="M78" s="1"/>
      <c r="N78" s="18"/>
      <c r="O78" s="18"/>
      <c r="P78" s="7"/>
      <c r="Q78" s="18" t="str">
        <f>IF(Table246[[#This Row],[Type]]="","",LEFT(Table246[[#This Row],[Type]],1)&amp;LEFT(#REF!,1))</f>
        <v/>
      </c>
      <c r="R78" s="18"/>
      <c r="S78" s="7"/>
      <c r="T78" s="18"/>
      <c r="V78">
        <v>905</v>
      </c>
    </row>
    <row r="79" spans="1:24" x14ac:dyDescent="0.25">
      <c r="A79">
        <f t="shared" si="5"/>
        <v>70</v>
      </c>
      <c r="B79" s="93">
        <f>IFERROR(RIGHT(Table246[[#This Row],[Controller Input '#]],3)*1,"")</f>
        <v>906</v>
      </c>
      <c r="C79" s="99">
        <v>906</v>
      </c>
      <c r="D79" s="1"/>
      <c r="E79" s="125"/>
      <c r="F79" s="61"/>
      <c r="G79" s="1"/>
      <c r="H79" s="8"/>
      <c r="I79" s="1"/>
      <c r="J79" s="1"/>
      <c r="K79" s="1"/>
      <c r="L79" s="1"/>
      <c r="M79" s="1"/>
      <c r="N79" s="18"/>
      <c r="O79" s="18"/>
      <c r="P79" s="7"/>
      <c r="Q79" s="18" t="str">
        <f>IF(Table246[[#This Row],[Type]]="","",LEFT(Table246[[#This Row],[Type]],1)&amp;LEFT(#REF!,1))</f>
        <v/>
      </c>
      <c r="R79" s="18"/>
      <c r="S79" s="7"/>
      <c r="T79" s="18"/>
      <c r="V79">
        <v>906</v>
      </c>
    </row>
    <row r="80" spans="1:24" x14ac:dyDescent="0.25">
      <c r="A80">
        <f t="shared" si="5"/>
        <v>71</v>
      </c>
      <c r="B80" s="93">
        <f>IFERROR(RIGHT(Table246[[#This Row],[Controller Input '#]],3)*1,"")</f>
        <v>907</v>
      </c>
      <c r="C80" s="99">
        <v>907</v>
      </c>
      <c r="D80" s="1"/>
      <c r="E80" s="125"/>
      <c r="F80" s="61"/>
      <c r="G80" s="1"/>
      <c r="H80" s="8"/>
      <c r="I80" s="1"/>
      <c r="J80" s="1"/>
      <c r="K80" s="1"/>
      <c r="L80" s="1"/>
      <c r="M80" s="1"/>
      <c r="N80" s="18"/>
      <c r="O80" s="18"/>
      <c r="P80" s="7"/>
      <c r="Q80" s="18" t="str">
        <f>IF(Table246[[#This Row],[Type]]="","",LEFT(Table246[[#This Row],[Type]],1)&amp;LEFT(#REF!,1))</f>
        <v/>
      </c>
      <c r="R80" s="18"/>
      <c r="S80" s="7"/>
      <c r="T80" s="18"/>
      <c r="V80">
        <v>907</v>
      </c>
    </row>
    <row r="81" spans="1:22" x14ac:dyDescent="0.25">
      <c r="A81">
        <f t="shared" si="5"/>
        <v>72</v>
      </c>
      <c r="B81" s="93">
        <f>IFERROR(RIGHT(Table246[[#This Row],[Controller Input '#]],3)*1,"")</f>
        <v>908</v>
      </c>
      <c r="C81" s="99">
        <v>908</v>
      </c>
      <c r="D81" s="1"/>
      <c r="E81" s="125"/>
      <c r="F81" s="61"/>
      <c r="G81" s="1"/>
      <c r="H81" s="8"/>
      <c r="I81" s="1"/>
      <c r="J81" s="1"/>
      <c r="K81" s="1"/>
      <c r="L81" s="1"/>
      <c r="M81" s="1"/>
      <c r="N81" s="18"/>
      <c r="O81" s="18"/>
      <c r="P81" s="7"/>
      <c r="Q81" s="18" t="str">
        <f>IF(Table246[[#This Row],[Type]]="","",LEFT(Table246[[#This Row],[Type]],1)&amp;LEFT(#REF!,1))</f>
        <v/>
      </c>
      <c r="R81" s="18"/>
      <c r="S81" s="7"/>
      <c r="T81" s="18"/>
      <c r="V81">
        <v>908</v>
      </c>
    </row>
    <row r="82" spans="1:22" x14ac:dyDescent="0.25">
      <c r="A82">
        <f t="shared" si="5"/>
        <v>73</v>
      </c>
      <c r="B82" s="93" t="str">
        <f>IFERROR(RIGHT(Table246[[#This Row],[Controller Input '#]],3)*1,"")</f>
        <v/>
      </c>
      <c r="C82" s="99"/>
      <c r="D82" s="1"/>
      <c r="E82" s="1"/>
      <c r="F82" s="61"/>
      <c r="G82" s="1"/>
      <c r="H82" s="8"/>
      <c r="I82" s="1"/>
      <c r="J82" s="1"/>
      <c r="K82" s="1"/>
      <c r="L82" s="1"/>
      <c r="M82" s="1"/>
      <c r="N82" s="18"/>
      <c r="O82" s="18"/>
      <c r="P82" s="7"/>
      <c r="Q82" s="18" t="str">
        <f>IF(Table246[[#This Row],[Type]]="","",LEFT(Table246[[#This Row],[Type]],1)&amp;LEFT(#REF!,1))</f>
        <v/>
      </c>
      <c r="R82" s="18"/>
      <c r="S82" s="7"/>
      <c r="T82" s="18"/>
      <c r="V82" t="str">
        <v/>
      </c>
    </row>
    <row r="83" spans="1:22" x14ac:dyDescent="0.25">
      <c r="A83">
        <f t="shared" si="5"/>
        <v>74</v>
      </c>
      <c r="B83" s="93" t="str">
        <f>IFERROR(RIGHT(Table246[[#This Row],[Controller Input '#]],3)*1,"")</f>
        <v/>
      </c>
      <c r="C83" s="99"/>
      <c r="D83" s="1"/>
      <c r="E83" s="1"/>
      <c r="F83" s="61"/>
      <c r="G83" s="1"/>
      <c r="H83" s="8"/>
      <c r="I83" s="1"/>
      <c r="J83" s="1"/>
      <c r="K83" s="1"/>
      <c r="L83" s="1"/>
      <c r="M83" s="1"/>
      <c r="N83" s="18"/>
      <c r="O83" s="18"/>
      <c r="P83" s="7"/>
      <c r="Q83" s="18" t="str">
        <f>IF(Table246[[#This Row],[Type]]="","",LEFT(Table246[[#This Row],[Type]],1)&amp;LEFT(#REF!,1))</f>
        <v/>
      </c>
      <c r="R83" s="18"/>
      <c r="S83" s="7"/>
      <c r="T83" s="18"/>
    </row>
    <row r="84" spans="1:22" x14ac:dyDescent="0.25">
      <c r="A84">
        <f t="shared" si="5"/>
        <v>75</v>
      </c>
      <c r="B84" s="93" t="str">
        <f>IFERROR(RIGHT(Table246[[#This Row],[Controller Input '#]],3)*1,"")</f>
        <v/>
      </c>
      <c r="C84" s="99"/>
      <c r="D84" s="1"/>
      <c r="E84" s="1"/>
      <c r="F84" s="61"/>
      <c r="G84" s="1"/>
      <c r="H84" s="8"/>
      <c r="I84" s="1"/>
      <c r="J84" s="1"/>
      <c r="K84" s="1"/>
      <c r="L84" s="1"/>
      <c r="M84" s="1"/>
      <c r="N84" s="18"/>
      <c r="O84" s="18"/>
      <c r="P84" s="7"/>
      <c r="Q84" s="18" t="str">
        <f>IF(Table246[[#This Row],[Type]]="","",LEFT(Table246[[#This Row],[Type]],1)&amp;LEFT(#REF!,1))</f>
        <v/>
      </c>
      <c r="R84" s="18"/>
      <c r="S84" s="7"/>
      <c r="T84" s="18"/>
    </row>
    <row r="85" spans="1:22" x14ac:dyDescent="0.25">
      <c r="A85">
        <f t="shared" si="5"/>
        <v>76</v>
      </c>
      <c r="B85" s="93" t="str">
        <f>IFERROR(RIGHT(Table246[[#This Row],[Controller Input '#]],3)*1,"")</f>
        <v/>
      </c>
      <c r="C85" s="99"/>
      <c r="D85" s="1"/>
      <c r="E85" s="1"/>
      <c r="F85" s="61"/>
      <c r="G85" s="1"/>
      <c r="H85" s="8"/>
      <c r="I85" s="1"/>
      <c r="J85" s="1"/>
      <c r="K85" s="1"/>
      <c r="L85" s="1"/>
      <c r="M85" s="1"/>
      <c r="N85" s="18"/>
      <c r="O85" s="18"/>
      <c r="P85" s="7"/>
      <c r="Q85" s="18" t="str">
        <f>IF(Table246[[#This Row],[Type]]="","",LEFT(Table246[[#This Row],[Type]],1)&amp;LEFT(#REF!,1))</f>
        <v/>
      </c>
      <c r="R85" s="18"/>
      <c r="S85" s="7"/>
      <c r="T85" s="18"/>
    </row>
    <row r="86" spans="1:22" x14ac:dyDescent="0.25">
      <c r="A86">
        <f t="shared" si="5"/>
        <v>77</v>
      </c>
      <c r="B86" s="93" t="str">
        <f>IFERROR(RIGHT(Table246[[#This Row],[Controller Input '#]],3)*1,"")</f>
        <v/>
      </c>
      <c r="C86" s="99"/>
      <c r="D86" s="1"/>
      <c r="E86" s="1"/>
      <c r="F86" s="61"/>
      <c r="G86" s="1"/>
      <c r="H86" s="8"/>
      <c r="I86" s="1"/>
      <c r="J86" s="1"/>
      <c r="K86" s="1"/>
      <c r="L86" s="1"/>
      <c r="M86" s="1"/>
      <c r="N86" s="18"/>
      <c r="O86" s="18"/>
      <c r="P86" s="7"/>
      <c r="Q86" s="18" t="str">
        <f>IF(Table246[[#This Row],[Type]]="","",LEFT(Table246[[#This Row],[Type]],1)&amp;LEFT(#REF!,1))</f>
        <v/>
      </c>
      <c r="R86" s="18"/>
      <c r="S86" s="7"/>
      <c r="T86" s="18"/>
    </row>
    <row r="87" spans="1:22" x14ac:dyDescent="0.25">
      <c r="A87">
        <f t="shared" si="5"/>
        <v>78</v>
      </c>
      <c r="B87" s="93" t="str">
        <f>IFERROR(RIGHT(Table246[[#This Row],[Controller Input '#]],3)*1,"")</f>
        <v/>
      </c>
      <c r="C87" s="99"/>
      <c r="D87" s="1"/>
      <c r="E87" s="1"/>
      <c r="F87" s="61"/>
      <c r="G87" s="1"/>
      <c r="H87" s="8"/>
      <c r="I87" s="1"/>
      <c r="J87" s="1"/>
      <c r="K87" s="1"/>
      <c r="L87" s="1"/>
      <c r="M87" s="1"/>
      <c r="N87" s="18"/>
      <c r="O87" s="18"/>
      <c r="P87" s="7"/>
      <c r="Q87" s="18" t="str">
        <f>IF(Table246[[#This Row],[Type]]="","",LEFT(Table246[[#This Row],[Type]],1)&amp;LEFT(#REF!,1))</f>
        <v/>
      </c>
      <c r="R87" s="18"/>
      <c r="S87" s="7"/>
      <c r="T87" s="18"/>
    </row>
    <row r="88" spans="1:22" x14ac:dyDescent="0.25">
      <c r="A88">
        <f t="shared" si="5"/>
        <v>79</v>
      </c>
      <c r="B88" s="93" t="str">
        <f>IFERROR(RIGHT(Table246[[#This Row],[Controller Input '#]],3)*1,"")</f>
        <v/>
      </c>
      <c r="C88" s="99"/>
      <c r="D88" s="1"/>
      <c r="E88" s="1"/>
      <c r="F88" s="61"/>
      <c r="G88" s="1"/>
      <c r="H88" s="8"/>
      <c r="I88" s="1"/>
      <c r="J88" s="1"/>
      <c r="K88" s="1"/>
      <c r="L88" s="1"/>
      <c r="M88" s="1"/>
      <c r="N88" s="18"/>
      <c r="O88" s="18"/>
      <c r="P88" s="7"/>
      <c r="Q88" s="18" t="str">
        <f>IF(Table246[[#This Row],[Type]]="","",LEFT(Table246[[#This Row],[Type]],1)&amp;LEFT(#REF!,1))</f>
        <v/>
      </c>
      <c r="R88" s="18"/>
      <c r="S88" s="7"/>
      <c r="T88" s="18"/>
    </row>
    <row r="89" spans="1:22" x14ac:dyDescent="0.25">
      <c r="A89">
        <f t="shared" si="5"/>
        <v>80</v>
      </c>
      <c r="B89" s="93" t="str">
        <f>IFERROR(RIGHT(Table246[[#This Row],[Controller Input '#]],3)*1,"")</f>
        <v/>
      </c>
      <c r="C89" s="99"/>
      <c r="D89" s="1"/>
      <c r="E89" s="1"/>
      <c r="F89" s="61"/>
      <c r="G89" s="1"/>
      <c r="H89" s="8"/>
      <c r="I89" s="1"/>
      <c r="J89" s="1"/>
      <c r="K89" s="1"/>
      <c r="L89" s="1"/>
      <c r="M89" s="1"/>
      <c r="N89" s="18"/>
      <c r="O89" s="18"/>
      <c r="P89" s="7"/>
      <c r="Q89" s="18" t="str">
        <f>IF(Table246[[#This Row],[Type]]="","",LEFT(Table246[[#This Row],[Type]],1)&amp;LEFT(#REF!,1))</f>
        <v/>
      </c>
      <c r="R89" s="18"/>
      <c r="S89" s="7"/>
      <c r="T89" s="18"/>
    </row>
    <row r="90" spans="1:22" x14ac:dyDescent="0.25">
      <c r="A90">
        <f t="shared" si="5"/>
        <v>81</v>
      </c>
      <c r="B90" s="93" t="str">
        <f>IFERROR(RIGHT(Table246[[#This Row],[Controller Input '#]],3)*1,"")</f>
        <v/>
      </c>
      <c r="C90" s="99"/>
      <c r="D90" s="1"/>
      <c r="E90" s="1"/>
      <c r="F90" s="61"/>
      <c r="G90" s="1"/>
      <c r="H90" s="8"/>
      <c r="I90" s="1"/>
      <c r="J90" s="1"/>
      <c r="K90" s="1"/>
      <c r="L90" s="1"/>
      <c r="M90" s="1"/>
      <c r="N90" s="18"/>
      <c r="O90" s="18"/>
      <c r="P90" s="7"/>
      <c r="Q90" s="18" t="str">
        <f>IF(Table246[[#This Row],[Type]]="","",LEFT(Table246[[#This Row],[Type]],1)&amp;LEFT(#REF!,1))</f>
        <v/>
      </c>
      <c r="R90" s="18"/>
      <c r="S90" s="7"/>
      <c r="T90" s="18"/>
    </row>
    <row r="91" spans="1:22" x14ac:dyDescent="0.25">
      <c r="A91">
        <f t="shared" si="5"/>
        <v>82</v>
      </c>
      <c r="B91" s="93" t="str">
        <f>IFERROR(RIGHT(Table246[[#This Row],[Controller Input '#]],3)*1,"")</f>
        <v/>
      </c>
      <c r="C91" s="99"/>
      <c r="D91" s="1"/>
      <c r="E91" s="1"/>
      <c r="F91" s="61"/>
      <c r="G91" s="1"/>
      <c r="H91" s="8"/>
      <c r="I91" s="1"/>
      <c r="J91" s="1"/>
      <c r="K91" s="1"/>
      <c r="L91" s="1"/>
      <c r="M91" s="1"/>
      <c r="N91" s="18"/>
      <c r="O91" s="18"/>
      <c r="P91" s="7"/>
      <c r="Q91" s="18" t="str">
        <f>IF(Table246[[#This Row],[Type]]="","",LEFT(Table246[[#This Row],[Type]],1)&amp;LEFT(#REF!,1))</f>
        <v/>
      </c>
      <c r="R91" s="18"/>
      <c r="S91" s="7"/>
      <c r="T91" s="18"/>
    </row>
    <row r="92" spans="1:22" x14ac:dyDescent="0.25">
      <c r="A92">
        <f t="shared" si="5"/>
        <v>83</v>
      </c>
      <c r="B92" s="93" t="str">
        <f>IFERROR(RIGHT(Table246[[#This Row],[Controller Input '#]],3)*1,"")</f>
        <v/>
      </c>
      <c r="C92" s="99"/>
      <c r="D92" s="1"/>
      <c r="E92" s="1"/>
      <c r="F92" s="61"/>
      <c r="G92" s="1"/>
      <c r="H92" s="8"/>
      <c r="I92" s="1"/>
      <c r="J92" s="1"/>
      <c r="K92" s="1"/>
      <c r="L92" s="1"/>
      <c r="M92" s="1"/>
      <c r="N92" s="18"/>
      <c r="O92" s="18"/>
      <c r="P92" s="7"/>
      <c r="Q92" s="18" t="str">
        <f>IF(Table246[[#This Row],[Type]]="","",LEFT(Table246[[#This Row],[Type]],1)&amp;LEFT(#REF!,1))</f>
        <v/>
      </c>
      <c r="R92" s="18"/>
      <c r="S92" s="7"/>
      <c r="T92" s="18"/>
    </row>
    <row r="93" spans="1:22" x14ac:dyDescent="0.25">
      <c r="A93">
        <f t="shared" si="5"/>
        <v>84</v>
      </c>
      <c r="B93" s="93" t="str">
        <f>IFERROR(RIGHT(Table246[[#This Row],[Controller Input '#]],3)*1,"")</f>
        <v/>
      </c>
      <c r="C93" s="99"/>
      <c r="D93" s="1"/>
      <c r="E93" s="1"/>
      <c r="F93" s="61"/>
      <c r="G93" s="1"/>
      <c r="H93" s="8"/>
      <c r="I93" s="1"/>
      <c r="J93" s="1"/>
      <c r="K93" s="1"/>
      <c r="L93" s="1"/>
      <c r="M93" s="1"/>
      <c r="N93" s="18"/>
      <c r="O93" s="18"/>
      <c r="P93" s="7"/>
      <c r="Q93" s="18" t="str">
        <f>IF(Table246[[#This Row],[Type]]="","",LEFT(Table246[[#This Row],[Type]],1)&amp;LEFT(#REF!,1))</f>
        <v/>
      </c>
      <c r="R93" s="18"/>
      <c r="S93" s="7"/>
      <c r="T93" s="18"/>
    </row>
    <row r="94" spans="1:22" x14ac:dyDescent="0.25">
      <c r="A94">
        <f t="shared" si="5"/>
        <v>85</v>
      </c>
      <c r="B94" s="93" t="str">
        <f>IFERROR(RIGHT(Table246[[#This Row],[Controller Input '#]],3)*1,"")</f>
        <v/>
      </c>
      <c r="C94" s="99"/>
      <c r="D94" s="1"/>
      <c r="E94" s="1"/>
      <c r="F94" s="61"/>
      <c r="G94" s="1"/>
      <c r="H94" s="8"/>
      <c r="I94" s="1"/>
      <c r="J94" s="1"/>
      <c r="K94" s="1"/>
      <c r="L94" s="1"/>
      <c r="M94" s="1"/>
      <c r="N94" s="18"/>
      <c r="O94" s="18"/>
      <c r="P94" s="7"/>
      <c r="Q94" s="18" t="str">
        <f>IF(Table246[[#This Row],[Type]]="","",LEFT(Table246[[#This Row],[Type]],1)&amp;LEFT(#REF!,1))</f>
        <v/>
      </c>
      <c r="R94" s="18"/>
      <c r="S94" s="7"/>
      <c r="T94" s="18"/>
    </row>
    <row r="95" spans="1:22" x14ac:dyDescent="0.25">
      <c r="A95">
        <f t="shared" si="5"/>
        <v>86</v>
      </c>
      <c r="B95" s="93" t="str">
        <f>IFERROR(RIGHT(Table246[[#This Row],[Controller Input '#]],3)*1,"")</f>
        <v/>
      </c>
      <c r="C95" s="99"/>
      <c r="D95" s="1"/>
      <c r="E95" s="1"/>
      <c r="F95" s="61"/>
      <c r="G95" s="1"/>
      <c r="H95" s="8"/>
      <c r="I95" s="1"/>
      <c r="J95" s="1"/>
      <c r="K95" s="1"/>
      <c r="L95" s="1"/>
      <c r="M95" s="1"/>
      <c r="N95" s="18"/>
      <c r="O95" s="18"/>
      <c r="P95" s="7"/>
      <c r="Q95" s="18" t="str">
        <f>IF(Table246[[#This Row],[Type]]="","",LEFT(Table246[[#This Row],[Type]],1)&amp;LEFT(#REF!,1))</f>
        <v/>
      </c>
      <c r="R95" s="18"/>
      <c r="S95" s="7"/>
      <c r="T95" s="18"/>
    </row>
    <row r="96" spans="1:22" x14ac:dyDescent="0.25">
      <c r="A96">
        <f t="shared" si="5"/>
        <v>87</v>
      </c>
      <c r="B96" s="93" t="str">
        <f>IFERROR(RIGHT(Table246[[#This Row],[Controller Input '#]],3)*1,"")</f>
        <v/>
      </c>
      <c r="C96" s="99"/>
      <c r="D96" s="1"/>
      <c r="E96" s="1"/>
      <c r="F96" s="61"/>
      <c r="G96" s="1"/>
      <c r="H96" s="8"/>
      <c r="I96" s="1"/>
      <c r="J96" s="1"/>
      <c r="K96" s="1"/>
      <c r="L96" s="1"/>
      <c r="M96" s="1"/>
      <c r="N96" s="18"/>
      <c r="O96" s="18"/>
      <c r="P96" s="7"/>
      <c r="Q96" s="18" t="str">
        <f>IF(Table246[[#This Row],[Type]]="","",LEFT(Table246[[#This Row],[Type]],1)&amp;LEFT(#REF!,1))</f>
        <v/>
      </c>
      <c r="R96" s="18"/>
      <c r="S96" s="7"/>
      <c r="T96" s="18"/>
    </row>
    <row r="97" spans="1:21" x14ac:dyDescent="0.25">
      <c r="A97">
        <f t="shared" si="5"/>
        <v>88</v>
      </c>
      <c r="B97" s="93" t="str">
        <f>IFERROR(RIGHT(Table246[[#This Row],[Controller Input '#]],3)*1,"")</f>
        <v/>
      </c>
      <c r="C97" s="99"/>
      <c r="D97" s="1"/>
      <c r="E97" s="1"/>
      <c r="F97" s="61"/>
      <c r="G97" s="1"/>
      <c r="H97" s="8"/>
      <c r="I97" s="1"/>
      <c r="J97" s="1"/>
      <c r="K97" s="1"/>
      <c r="L97" s="1"/>
      <c r="M97" s="1"/>
      <c r="N97" s="18"/>
      <c r="O97" s="18"/>
      <c r="P97" s="7"/>
      <c r="Q97" s="18" t="str">
        <f>IF(Table246[[#This Row],[Type]]="","",LEFT(Table246[[#This Row],[Type]],1)&amp;LEFT(#REF!,1))</f>
        <v/>
      </c>
      <c r="R97" s="18"/>
      <c r="S97" s="7"/>
      <c r="T97" s="18"/>
    </row>
    <row r="98" spans="1:21" x14ac:dyDescent="0.25">
      <c r="A98">
        <f t="shared" si="5"/>
        <v>89</v>
      </c>
      <c r="B98" s="93" t="str">
        <f>IFERROR(RIGHT(Table246[[#This Row],[Controller Input '#]],3)*1,"")</f>
        <v/>
      </c>
      <c r="C98" s="99"/>
      <c r="D98" s="1"/>
      <c r="E98" s="1"/>
      <c r="F98" s="61"/>
      <c r="G98" s="1"/>
      <c r="H98" s="8"/>
      <c r="I98" s="1"/>
      <c r="J98" s="1"/>
      <c r="K98" s="1"/>
      <c r="L98" s="1"/>
      <c r="M98" s="1"/>
      <c r="N98" s="18"/>
      <c r="O98" s="18"/>
      <c r="P98" s="7"/>
      <c r="Q98" s="18" t="str">
        <f>IF(Table246[[#This Row],[Type]]="","",LEFT(Table246[[#This Row],[Type]],1)&amp;LEFT(#REF!,1))</f>
        <v/>
      </c>
      <c r="R98" s="18"/>
      <c r="S98" s="7"/>
      <c r="T98" s="18"/>
    </row>
    <row r="99" spans="1:21" x14ac:dyDescent="0.25">
      <c r="A99">
        <f t="shared" si="5"/>
        <v>90</v>
      </c>
      <c r="B99" s="93" t="str">
        <f>IFERROR(RIGHT(Table246[[#This Row],[Controller Input '#]],3)*1,"")</f>
        <v/>
      </c>
      <c r="C99" s="99"/>
      <c r="D99" s="1"/>
      <c r="E99" s="1"/>
      <c r="F99" s="61"/>
      <c r="G99" s="1"/>
      <c r="H99" s="8"/>
      <c r="I99" s="1"/>
      <c r="J99" s="1"/>
      <c r="K99" s="1"/>
      <c r="L99" s="1"/>
      <c r="M99" s="1"/>
      <c r="N99" s="18"/>
      <c r="O99" s="18"/>
      <c r="P99" s="7"/>
      <c r="Q99" s="18" t="str">
        <f>IF(Table246[[#This Row],[Type]]="","",LEFT(Table246[[#This Row],[Type]],1)&amp;LEFT(#REF!,1))</f>
        <v/>
      </c>
      <c r="R99" s="18"/>
      <c r="S99" s="7"/>
      <c r="T99" s="18"/>
    </row>
    <row r="100" spans="1:21" x14ac:dyDescent="0.25">
      <c r="A100">
        <f t="shared" si="5"/>
        <v>91</v>
      </c>
      <c r="B100" s="93" t="str">
        <f>IFERROR(RIGHT(Table246[[#This Row],[Controller Input '#]],3)*1,"")</f>
        <v/>
      </c>
      <c r="C100" s="99"/>
      <c r="D100" s="1"/>
      <c r="E100" s="1"/>
      <c r="F100" s="61"/>
      <c r="G100" s="1"/>
      <c r="H100" s="8"/>
      <c r="I100" s="1"/>
      <c r="J100" s="1"/>
      <c r="K100" s="1"/>
      <c r="L100" s="1"/>
      <c r="M100" s="1"/>
      <c r="N100" s="18"/>
      <c r="O100" s="18"/>
      <c r="P100" s="7"/>
      <c r="Q100" s="18" t="str">
        <f>IF(Table246[[#This Row],[Type]]="","",LEFT(Table246[[#This Row],[Type]],1)&amp;LEFT(#REF!,1))</f>
        <v/>
      </c>
      <c r="R100" s="18"/>
      <c r="S100" s="7"/>
      <c r="T100" s="18"/>
    </row>
    <row r="101" spans="1:21" x14ac:dyDescent="0.25">
      <c r="A101">
        <f>A100+1</f>
        <v>92</v>
      </c>
      <c r="B101" s="93" t="str">
        <f>IFERROR(RIGHT(Table246[[#This Row],[Controller Input '#]],3)*1,"")</f>
        <v/>
      </c>
      <c r="C101" s="99"/>
      <c r="D101" s="1"/>
      <c r="E101" s="1" t="s">
        <v>143</v>
      </c>
      <c r="F101" s="1" t="s">
        <v>144</v>
      </c>
      <c r="G101" s="1"/>
      <c r="H101" s="8"/>
      <c r="I101" s="1" t="s">
        <v>103</v>
      </c>
      <c r="J101" s="1" t="s">
        <v>125</v>
      </c>
      <c r="K101" s="1" t="s">
        <v>112</v>
      </c>
      <c r="L101" s="1"/>
      <c r="M101" s="1"/>
      <c r="N101" s="18" t="str">
        <f>IF(ISNUMBER(SEARCH("ANALOG",Table246[[#This Row],[Type]]))=TRUE,1,"")</f>
        <v/>
      </c>
      <c r="O101" s="18">
        <f>IF(ISNUMBER(SEARCH("BINARY",Table246[[#This Row],[Type]]))=TRUE,1,"")</f>
        <v>1</v>
      </c>
      <c r="P101" s="7" t="e">
        <f>IF(Table246[[#This Row],[Type]]="","",LEFT(Table246[[#This Row],[Type]],1)&amp;LEFT(#REF!,1))</f>
        <v>#REF!</v>
      </c>
      <c r="Q101" s="18" t="e">
        <f>IF(Table246[[#This Row],[Type]]="","",LEFT(Table246[[#This Row],[Type]],1)&amp;LEFT(#REF!,1))</f>
        <v>#REF!</v>
      </c>
      <c r="R101" s="18"/>
      <c r="S101" s="7" t="e">
        <f>IF(Table246[[#This Row],[A Counter]]=1,"AI"&amp;#REF!+SUM($N$43:N101),IF(Table246[[#This Row],[B Counter]]=1,"BI"&amp;#REF!+SUM($O$43:O101),""))</f>
        <v>#REF!</v>
      </c>
      <c r="T101" s="18" t="s">
        <v>34</v>
      </c>
    </row>
    <row r="102" spans="1:21" x14ac:dyDescent="0.25">
      <c r="A102">
        <f t="shared" si="5"/>
        <v>93</v>
      </c>
      <c r="B102" s="130" t="str">
        <f>IFERROR(RIGHT(Table246[[#This Row],[Controller Input '#]],3)*1,"")</f>
        <v/>
      </c>
      <c r="C102" s="99"/>
      <c r="D102" s="1"/>
      <c r="E102" s="1" t="s">
        <v>145</v>
      </c>
      <c r="F102" s="1" t="s">
        <v>146</v>
      </c>
      <c r="G102" s="1"/>
      <c r="H102" s="8"/>
      <c r="I102" s="1" t="s">
        <v>70</v>
      </c>
      <c r="J102" s="1" t="s">
        <v>125</v>
      </c>
      <c r="K102" s="1" t="s">
        <v>80</v>
      </c>
      <c r="L102" s="1"/>
      <c r="M102" s="1"/>
      <c r="N102" s="18">
        <f>IF(ISNUMBER(SEARCH("ANALOG",Table246[[#This Row],[Type]]))=TRUE,1,"")</f>
        <v>1</v>
      </c>
      <c r="O102" s="18" t="str">
        <f>IF(ISNUMBER(SEARCH("BINARY",Table246[[#This Row],[Type]]))=TRUE,1,"")</f>
        <v/>
      </c>
      <c r="P102" s="7" t="e">
        <f>IF(Table246[[#This Row],[Type]]="","",LEFT(Table246[[#This Row],[Type]],1)&amp;LEFT(#REF!,1))</f>
        <v>#REF!</v>
      </c>
      <c r="Q102" s="18" t="e">
        <f>IF(Table246[[#This Row],[Type]]="","",LEFT(Table246[[#This Row],[Type]],1)&amp;LEFT(#REF!,1))</f>
        <v>#REF!</v>
      </c>
      <c r="R102" s="18"/>
      <c r="S102" s="7" t="e">
        <f>IF(Table246[[#This Row],[A Counter]]=1,"AI"&amp;#REF!+SUM($N$43:N102),IF(Table246[[#This Row],[B Counter]]=1,"BI"&amp;#REF!+SUM($O$43:O102),""))</f>
        <v>#REF!</v>
      </c>
      <c r="T102" s="18" t="s">
        <v>34</v>
      </c>
    </row>
    <row r="103" spans="1:21" x14ac:dyDescent="0.25">
      <c r="A103">
        <f t="shared" si="5"/>
        <v>94</v>
      </c>
      <c r="B103" s="93" t="str">
        <f>IFERROR(RIGHT(Table246[[#This Row],[Controller Input '#]],3)*1,"")</f>
        <v/>
      </c>
      <c r="C103" s="98"/>
      <c r="D103" s="1"/>
      <c r="E103" s="1" t="s">
        <v>147</v>
      </c>
      <c r="F103" s="1" t="s">
        <v>148</v>
      </c>
      <c r="G103" s="1"/>
      <c r="H103" s="8"/>
      <c r="I103" s="1" t="s">
        <v>70</v>
      </c>
      <c r="J103" s="1" t="s">
        <v>125</v>
      </c>
      <c r="K103" s="1" t="s">
        <v>127</v>
      </c>
      <c r="L103" s="1"/>
      <c r="M103" s="1"/>
      <c r="N103" s="18">
        <f>IF(ISNUMBER(SEARCH("ANALOG",Table246[[#This Row],[Type]]))=TRUE,1,"")</f>
        <v>1</v>
      </c>
      <c r="O103" s="18" t="str">
        <f>IF(ISNUMBER(SEARCH("BINARY",Table246[[#This Row],[Type]]))=TRUE,1,"")</f>
        <v/>
      </c>
      <c r="P103" s="7" t="e">
        <f>IF(Table246[[#This Row],[Type]]="","",LEFT(Table246[[#This Row],[Type]],1)&amp;LEFT(#REF!,1))</f>
        <v>#REF!</v>
      </c>
      <c r="Q103" s="18" t="e">
        <f>IF(Table246[[#This Row],[Type]]="","",LEFT(Table246[[#This Row],[Type]],1)&amp;LEFT(#REF!,1))</f>
        <v>#REF!</v>
      </c>
      <c r="R103" s="18"/>
      <c r="S103" s="7" t="e">
        <f>IF(Table246[[#This Row],[A Counter]]=1,"AI"&amp;#REF!+SUM($N$43:N103),IF(Table246[[#This Row],[B Counter]]=1,"BI"&amp;#REF!+SUM($O$43:O103),""))</f>
        <v>#REF!</v>
      </c>
      <c r="T103" s="18" t="s">
        <v>34</v>
      </c>
      <c r="U103" s="7"/>
    </row>
    <row r="104" spans="1:21" x14ac:dyDescent="0.25">
      <c r="A104">
        <f t="shared" si="5"/>
        <v>95</v>
      </c>
      <c r="B104" s="130" t="str">
        <f>IFERROR(RIGHT(Table246[[#This Row],[Controller Input '#]],3)*1,"")</f>
        <v/>
      </c>
      <c r="C104" s="98"/>
      <c r="D104" s="1"/>
      <c r="E104" s="1" t="s">
        <v>149</v>
      </c>
      <c r="F104" s="1" t="s">
        <v>150</v>
      </c>
      <c r="G104" s="1"/>
      <c r="H104" s="8"/>
      <c r="I104" s="1" t="s">
        <v>70</v>
      </c>
      <c r="J104" s="1" t="s">
        <v>125</v>
      </c>
      <c r="K104" s="1" t="s">
        <v>119</v>
      </c>
      <c r="L104" s="1"/>
      <c r="M104" s="1"/>
      <c r="N104" s="18">
        <f>IF(ISNUMBER(SEARCH("ANALOG",Table246[[#This Row],[Type]]))=TRUE,1,"")</f>
        <v>1</v>
      </c>
      <c r="O104" s="18" t="str">
        <f>IF(ISNUMBER(SEARCH("BINARY",Table246[[#This Row],[Type]]))=TRUE,1,"")</f>
        <v/>
      </c>
      <c r="P104" s="7" t="e">
        <f>IF(Table246[[#This Row],[Type]]="","",LEFT(Table246[[#This Row],[Type]],1)&amp;LEFT(#REF!,1))</f>
        <v>#REF!</v>
      </c>
      <c r="Q104" s="18" t="e">
        <f>IF(Table246[[#This Row],[Type]]="","",LEFT(Table246[[#This Row],[Type]],1)&amp;LEFT(#REF!,1))</f>
        <v>#REF!</v>
      </c>
      <c r="R104" s="18"/>
      <c r="S104" s="7" t="e">
        <f>IF(Table246[[#This Row],[A Counter]]=1,"AI"&amp;#REF!+SUM($N$43:N104),IF(Table246[[#This Row],[B Counter]]=1,"BI"&amp;#REF!+SUM($O$43:O104),""))</f>
        <v>#REF!</v>
      </c>
      <c r="T104" s="18" t="s">
        <v>34</v>
      </c>
      <c r="U104" s="7"/>
    </row>
    <row r="105" spans="1:21" x14ac:dyDescent="0.25">
      <c r="A105">
        <f t="shared" si="5"/>
        <v>96</v>
      </c>
      <c r="B105" s="93" t="str">
        <f>IFERROR(RIGHT(Table246[[#This Row],[Controller Input '#]],3)*1,"")</f>
        <v/>
      </c>
      <c r="C105" s="98"/>
      <c r="D105" s="1"/>
      <c r="E105" s="59"/>
      <c r="F105" s="59"/>
      <c r="G105" s="59"/>
      <c r="H105" s="60"/>
      <c r="I105" s="59"/>
      <c r="J105" s="59"/>
      <c r="K105" s="61"/>
      <c r="L105" s="62"/>
      <c r="M105" s="62"/>
      <c r="N105" s="62"/>
      <c r="O105" s="62"/>
      <c r="P105" s="67"/>
      <c r="Q105" s="62"/>
      <c r="R105" s="62"/>
      <c r="S105" s="67"/>
      <c r="T105" s="62"/>
      <c r="U105" s="7"/>
    </row>
    <row r="106" spans="1:21" x14ac:dyDescent="0.25">
      <c r="A106">
        <f t="shared" si="5"/>
        <v>97</v>
      </c>
      <c r="B106" s="130" t="str">
        <f>IFERROR(RIGHT(Table246[[#This Row],[Controller Input '#]],3)*1,"")</f>
        <v/>
      </c>
      <c r="C106" s="100"/>
      <c r="D106" s="1"/>
      <c r="E106" s="1" t="s">
        <v>154</v>
      </c>
      <c r="F106" s="1" t="s">
        <v>155</v>
      </c>
      <c r="G106" s="1"/>
      <c r="H106" s="8"/>
      <c r="I106" s="1" t="s">
        <v>103</v>
      </c>
      <c r="J106" s="1" t="s">
        <v>125</v>
      </c>
      <c r="K106" s="1" t="s">
        <v>112</v>
      </c>
      <c r="L106" s="1"/>
      <c r="M106" s="1"/>
      <c r="N106" s="18" t="str">
        <f>IF(ISNUMBER(SEARCH("ANALOG",Table246[[#This Row],[Type]]))=TRUE,1,"")</f>
        <v/>
      </c>
      <c r="O106" s="18">
        <f>IF(ISNUMBER(SEARCH("BINARY",Table246[[#This Row],[Type]]))=TRUE,1,"")</f>
        <v>1</v>
      </c>
      <c r="P106" s="7" t="e">
        <f>IF(Table246[[#This Row],[Type]]="","",LEFT(Table246[[#This Row],[Type]],1)&amp;LEFT(#REF!,1))</f>
        <v>#REF!</v>
      </c>
      <c r="Q106" s="18" t="e">
        <f>IF(Table246[[#This Row],[Type]]="","",LEFT(Table246[[#This Row],[Type]],1)&amp;LEFT(#REF!,1))</f>
        <v>#REF!</v>
      </c>
      <c r="R106" s="18"/>
      <c r="S106" s="7" t="e">
        <f>IF(Table246[[#This Row],[A Counter]]=1,"AI"&amp;#REF!+SUM($N$43:N106),IF(Table246[[#This Row],[B Counter]]=1,"BI"&amp;#REF!+SUM($O$43:O106),""))</f>
        <v>#REF!</v>
      </c>
      <c r="T106" s="18" t="s">
        <v>34</v>
      </c>
      <c r="U106" s="7"/>
    </row>
    <row r="107" spans="1:21" x14ac:dyDescent="0.25">
      <c r="A107">
        <f t="shared" si="5"/>
        <v>98</v>
      </c>
      <c r="B107" s="93" t="str">
        <f>IFERROR(RIGHT(Table246[[#This Row],[Controller Input '#]],3)*1,"")</f>
        <v/>
      </c>
      <c r="C107" s="98"/>
      <c r="D107" s="1"/>
      <c r="E107" s="1" t="s">
        <v>156</v>
      </c>
      <c r="F107" s="1" t="s">
        <v>157</v>
      </c>
      <c r="G107" s="1"/>
      <c r="H107" s="8"/>
      <c r="I107" s="1" t="s">
        <v>70</v>
      </c>
      <c r="J107" s="1" t="s">
        <v>125</v>
      </c>
      <c r="K107" s="1" t="s">
        <v>80</v>
      </c>
      <c r="L107" s="1"/>
      <c r="M107" s="1"/>
      <c r="N107" s="18">
        <f>IF(ISNUMBER(SEARCH("ANALOG",Table246[[#This Row],[Type]]))=TRUE,1,"")</f>
        <v>1</v>
      </c>
      <c r="O107" s="18" t="str">
        <f>IF(ISNUMBER(SEARCH("BINARY",Table246[[#This Row],[Type]]))=TRUE,1,"")</f>
        <v/>
      </c>
      <c r="P107" s="7" t="e">
        <f>IF(Table246[[#This Row],[Type]]="","",LEFT(Table246[[#This Row],[Type]],1)&amp;LEFT(#REF!,1))</f>
        <v>#REF!</v>
      </c>
      <c r="Q107" s="18" t="e">
        <f>IF(Table246[[#This Row],[Type]]="","",LEFT(Table246[[#This Row],[Type]],1)&amp;LEFT(#REF!,1))</f>
        <v>#REF!</v>
      </c>
      <c r="R107" s="18"/>
      <c r="S107" s="7" t="e">
        <f>IF(Table246[[#This Row],[A Counter]]=1,"AI"&amp;#REF!+SUM($N$43:N107),IF(Table246[[#This Row],[B Counter]]=1,"BI"&amp;#REF!+SUM($O$43:O107),""))</f>
        <v>#REF!</v>
      </c>
      <c r="T107" s="18" t="s">
        <v>34</v>
      </c>
      <c r="U107" s="7"/>
    </row>
    <row r="108" spans="1:21" x14ac:dyDescent="0.25">
      <c r="A108">
        <f t="shared" si="5"/>
        <v>99</v>
      </c>
      <c r="B108" s="130" t="str">
        <f>IFERROR(RIGHT(Table246[[#This Row],[Controller Input '#]],3)*1,"")</f>
        <v/>
      </c>
      <c r="C108" s="98"/>
      <c r="D108" s="1"/>
      <c r="E108" s="1" t="s">
        <v>158</v>
      </c>
      <c r="F108" s="1" t="s">
        <v>159</v>
      </c>
      <c r="G108" s="1"/>
      <c r="H108" s="8"/>
      <c r="I108" s="1" t="s">
        <v>70</v>
      </c>
      <c r="J108" s="1" t="s">
        <v>125</v>
      </c>
      <c r="K108" s="1" t="s">
        <v>127</v>
      </c>
      <c r="L108" s="1"/>
      <c r="M108" s="1"/>
      <c r="N108" s="18">
        <f>IF(ISNUMBER(SEARCH("ANALOG",Table246[[#This Row],[Type]]))=TRUE,1,"")</f>
        <v>1</v>
      </c>
      <c r="O108" s="18" t="str">
        <f>IF(ISNUMBER(SEARCH("BINARY",Table246[[#This Row],[Type]]))=TRUE,1,"")</f>
        <v/>
      </c>
      <c r="P108" s="7" t="e">
        <f>IF(Table246[[#This Row],[Type]]="","",LEFT(Table246[[#This Row],[Type]],1)&amp;LEFT(#REF!,1))</f>
        <v>#REF!</v>
      </c>
      <c r="Q108" s="18" t="e">
        <f>IF(Table246[[#This Row],[Type]]="","",LEFT(Table246[[#This Row],[Type]],1)&amp;LEFT(#REF!,1))</f>
        <v>#REF!</v>
      </c>
      <c r="R108" s="18"/>
      <c r="S108" s="7" t="e">
        <f>IF(Table246[[#This Row],[A Counter]]=1,"AI"&amp;#REF!+SUM($N$43:N108),IF(Table246[[#This Row],[B Counter]]=1,"BI"&amp;#REF!+SUM($O$43:O108),""))</f>
        <v>#REF!</v>
      </c>
      <c r="T108" s="18" t="s">
        <v>34</v>
      </c>
      <c r="U108" s="7"/>
    </row>
    <row r="109" spans="1:21" x14ac:dyDescent="0.25">
      <c r="A109">
        <f t="shared" si="5"/>
        <v>100</v>
      </c>
      <c r="B109" s="93" t="str">
        <f>IFERROR(RIGHT(Table246[[#This Row],[Controller Input '#]],3)*1,"")</f>
        <v/>
      </c>
      <c r="C109" s="98"/>
      <c r="D109" s="1"/>
      <c r="E109" s="1" t="s">
        <v>160</v>
      </c>
      <c r="F109" s="1" t="s">
        <v>161</v>
      </c>
      <c r="G109" s="1"/>
      <c r="H109" s="8"/>
      <c r="I109" s="1" t="s">
        <v>70</v>
      </c>
      <c r="J109" s="1" t="s">
        <v>125</v>
      </c>
      <c r="K109" s="1" t="s">
        <v>119</v>
      </c>
      <c r="L109" s="1"/>
      <c r="M109" s="1"/>
      <c r="N109" s="18">
        <f>IF(ISNUMBER(SEARCH("ANALOG",Table246[[#This Row],[Type]]))=TRUE,1,"")</f>
        <v>1</v>
      </c>
      <c r="O109" s="18" t="str">
        <f>IF(ISNUMBER(SEARCH("BINARY",Table246[[#This Row],[Type]]))=TRUE,1,"")</f>
        <v/>
      </c>
      <c r="P109" s="7" t="e">
        <f>IF(Table246[[#This Row],[Type]]="","",LEFT(Table246[[#This Row],[Type]],1)&amp;LEFT(#REF!,1))</f>
        <v>#REF!</v>
      </c>
      <c r="Q109" s="18" t="e">
        <f>IF(Table246[[#This Row],[Type]]="","",LEFT(Table246[[#This Row],[Type]],1)&amp;LEFT(#REF!,1))</f>
        <v>#REF!</v>
      </c>
      <c r="R109" s="18"/>
      <c r="S109" s="7" t="e">
        <f>IF(Table246[[#This Row],[A Counter]]=1,"AI"&amp;#REF!+SUM($N$43:N109),IF(Table246[[#This Row],[B Counter]]=1,"BI"&amp;#REF!+SUM($O$43:O109),""))</f>
        <v>#REF!</v>
      </c>
      <c r="T109" s="18" t="s">
        <v>34</v>
      </c>
      <c r="U109" s="7"/>
    </row>
    <row r="110" spans="1:21" x14ac:dyDescent="0.25">
      <c r="A110">
        <f>A109+1</f>
        <v>101</v>
      </c>
      <c r="B110" s="130" t="str">
        <f>IFERROR(RIGHT(Table246[[#This Row],[Controller Input '#]],3)*1,"")</f>
        <v/>
      </c>
      <c r="C110" s="100"/>
      <c r="D110" s="1"/>
      <c r="E110" s="1"/>
      <c r="F110" s="1"/>
      <c r="G110" s="1"/>
      <c r="H110" s="8"/>
      <c r="I110" s="1"/>
      <c r="J110" s="1"/>
      <c r="K110" s="1"/>
      <c r="L110" s="1"/>
      <c r="M110" s="1"/>
      <c r="N110" s="1"/>
      <c r="O110" s="1"/>
      <c r="Q110" s="1"/>
      <c r="R110" s="1"/>
      <c r="S110" s="7"/>
      <c r="T110" s="1"/>
    </row>
    <row r="111" spans="1:21" x14ac:dyDescent="0.25">
      <c r="A111">
        <f t="shared" si="5"/>
        <v>102</v>
      </c>
      <c r="B111" s="93" t="str">
        <f>IFERROR(RIGHT(Table246[[#This Row],[Controller Input '#]],3)*1,"")</f>
        <v/>
      </c>
      <c r="C111" s="98"/>
      <c r="D111" s="1"/>
      <c r="E111" s="1" t="s">
        <v>164</v>
      </c>
      <c r="F111" s="1" t="s">
        <v>165</v>
      </c>
      <c r="G111" s="1"/>
      <c r="H111" s="8"/>
      <c r="I111" s="1" t="s">
        <v>103</v>
      </c>
      <c r="J111" s="1" t="s">
        <v>125</v>
      </c>
      <c r="K111" s="1" t="s">
        <v>112</v>
      </c>
      <c r="L111" s="1"/>
      <c r="M111" s="1" t="s">
        <v>142</v>
      </c>
      <c r="N111" s="18" t="str">
        <f>IF(ISNUMBER(SEARCH("ANALOG",Table246[[#This Row],[Type]]))=TRUE,1,"")</f>
        <v/>
      </c>
      <c r="O111" s="18">
        <f>IF(ISNUMBER(SEARCH("BINARY",Table246[[#This Row],[Type]]))=TRUE,1,"")</f>
        <v>1</v>
      </c>
      <c r="P111" s="7" t="e">
        <f>IF(Table246[[#This Row],[Type]]="","",LEFT(Table246[[#This Row],[Type]],1)&amp;LEFT(#REF!,1))</f>
        <v>#REF!</v>
      </c>
      <c r="Q111" s="18" t="e">
        <f>IF(Table246[[#This Row],[Type]]="","",LEFT(Table246[[#This Row],[Type]],1)&amp;LEFT(#REF!,1))</f>
        <v>#REF!</v>
      </c>
      <c r="R111" s="18"/>
      <c r="S111" s="7" t="e">
        <f>IF(Table246[[#This Row],[A Counter]]=1,"AI"&amp;#REF!+SUM($N$43:N111),IF(Table246[[#This Row],[B Counter]]=1,"BI"&amp;#REF!+SUM($O$43:O111),""))</f>
        <v>#REF!</v>
      </c>
      <c r="T111" s="18" t="s">
        <v>34</v>
      </c>
      <c r="U111" s="7"/>
    </row>
    <row r="112" spans="1:21" x14ac:dyDescent="0.25">
      <c r="A112">
        <f t="shared" si="5"/>
        <v>103</v>
      </c>
      <c r="B112" s="130" t="str">
        <f>IFERROR(RIGHT(Table246[[#This Row],[Controller Input '#]],3)*1,"")</f>
        <v/>
      </c>
      <c r="C112" s="98"/>
      <c r="D112" s="1"/>
      <c r="E112" s="1" t="s">
        <v>166</v>
      </c>
      <c r="F112" s="1" t="s">
        <v>167</v>
      </c>
      <c r="G112" s="1"/>
      <c r="H112" s="8"/>
      <c r="I112" s="1" t="s">
        <v>70</v>
      </c>
      <c r="J112" s="1" t="s">
        <v>125</v>
      </c>
      <c r="K112" s="1" t="s">
        <v>80</v>
      </c>
      <c r="L112" s="1"/>
      <c r="M112" s="1"/>
      <c r="N112" s="18">
        <f>IF(ISNUMBER(SEARCH("ANALOG",Table246[[#This Row],[Type]]))=TRUE,1,"")</f>
        <v>1</v>
      </c>
      <c r="O112" s="18" t="str">
        <f>IF(ISNUMBER(SEARCH("BINARY",Table246[[#This Row],[Type]]))=TRUE,1,"")</f>
        <v/>
      </c>
      <c r="P112" s="7" t="e">
        <f>IF(Table246[[#This Row],[Type]]="","",LEFT(Table246[[#This Row],[Type]],1)&amp;LEFT(#REF!,1))</f>
        <v>#REF!</v>
      </c>
      <c r="Q112" s="18" t="e">
        <f>IF(Table246[[#This Row],[Type]]="","",LEFT(Table246[[#This Row],[Type]],1)&amp;LEFT(#REF!,1))</f>
        <v>#REF!</v>
      </c>
      <c r="R112" s="18"/>
      <c r="S112" s="7" t="e">
        <f>IF(Table246[[#This Row],[A Counter]]=1,"AI"&amp;#REF!+SUM($N$43:N112),IF(Table246[[#This Row],[B Counter]]=1,"BI"&amp;#REF!+SUM($O$43:O112),""))</f>
        <v>#REF!</v>
      </c>
      <c r="T112" s="18" t="s">
        <v>34</v>
      </c>
      <c r="U112" s="7"/>
    </row>
    <row r="113" spans="1:21" x14ac:dyDescent="0.25">
      <c r="A113">
        <f t="shared" si="5"/>
        <v>104</v>
      </c>
      <c r="B113" s="93" t="str">
        <f>IFERROR(RIGHT(Table246[[#This Row],[Controller Input '#]],3)*1,"")</f>
        <v/>
      </c>
      <c r="C113" s="99"/>
      <c r="D113" s="1"/>
      <c r="E113" s="1" t="s">
        <v>168</v>
      </c>
      <c r="F113" s="1" t="s">
        <v>169</v>
      </c>
      <c r="G113" s="1"/>
      <c r="H113" s="8"/>
      <c r="I113" s="1" t="s">
        <v>70</v>
      </c>
      <c r="J113" s="1" t="s">
        <v>125</v>
      </c>
      <c r="K113" s="1" t="s">
        <v>127</v>
      </c>
      <c r="L113" s="1"/>
      <c r="M113" s="1"/>
      <c r="N113" s="18">
        <f>IF(ISNUMBER(SEARCH("ANALOG",Table246[[#This Row],[Type]]))=TRUE,1,"")</f>
        <v>1</v>
      </c>
      <c r="O113" s="18" t="str">
        <f>IF(ISNUMBER(SEARCH("BINARY",Table246[[#This Row],[Type]]))=TRUE,1,"")</f>
        <v/>
      </c>
      <c r="P113" s="7" t="e">
        <f>IF(Table246[[#This Row],[Type]]="","",LEFT(Table246[[#This Row],[Type]],1)&amp;LEFT(#REF!,1))</f>
        <v>#REF!</v>
      </c>
      <c r="Q113" s="18" t="e">
        <f>IF(Table246[[#This Row],[Type]]="","",LEFT(Table246[[#This Row],[Type]],1)&amp;LEFT(#REF!,1))</f>
        <v>#REF!</v>
      </c>
      <c r="R113" s="18"/>
      <c r="S113" s="7" t="e">
        <f>IF(Table246[[#This Row],[A Counter]]=1,"AI"&amp;#REF!+SUM($N$43:N113),IF(Table246[[#This Row],[B Counter]]=1,"BI"&amp;#REF!+SUM($O$43:O113),""))</f>
        <v>#REF!</v>
      </c>
      <c r="T113" s="18" t="s">
        <v>34</v>
      </c>
      <c r="U113" s="7"/>
    </row>
    <row r="114" spans="1:21" x14ac:dyDescent="0.25">
      <c r="A114">
        <f t="shared" si="5"/>
        <v>105</v>
      </c>
      <c r="B114" s="130" t="str">
        <f>IFERROR(RIGHT(Table246[[#This Row],[Controller Input '#]],3)*1,"")</f>
        <v/>
      </c>
      <c r="C114" s="99"/>
      <c r="D114" s="1"/>
      <c r="E114" s="1" t="s">
        <v>170</v>
      </c>
      <c r="F114" s="1" t="s">
        <v>171</v>
      </c>
      <c r="G114" s="1"/>
      <c r="H114" s="8"/>
      <c r="I114" s="1" t="s">
        <v>70</v>
      </c>
      <c r="J114" s="1" t="s">
        <v>125</v>
      </c>
      <c r="K114" s="1" t="s">
        <v>119</v>
      </c>
      <c r="L114" s="1"/>
      <c r="M114" s="1"/>
      <c r="N114" s="18">
        <f>IF(ISNUMBER(SEARCH("ANALOG",Table246[[#This Row],[Type]]))=TRUE,1,"")</f>
        <v>1</v>
      </c>
      <c r="O114" s="18" t="str">
        <f>IF(ISNUMBER(SEARCH("BINARY",Table246[[#This Row],[Type]]))=TRUE,1,"")</f>
        <v/>
      </c>
      <c r="P114" s="7" t="e">
        <f>IF(Table246[[#This Row],[Type]]="","",LEFT(Table246[[#This Row],[Type]],1)&amp;LEFT(#REF!,1))</f>
        <v>#REF!</v>
      </c>
      <c r="Q114" s="18" t="e">
        <f>IF(Table246[[#This Row],[Type]]="","",LEFT(Table246[[#This Row],[Type]],1)&amp;LEFT(#REF!,1))</f>
        <v>#REF!</v>
      </c>
      <c r="R114" s="18"/>
      <c r="S114" s="7" t="e">
        <f>IF(Table246[[#This Row],[A Counter]]=1,"AI"&amp;#REF!+SUM($N$43:N114),IF(Table246[[#This Row],[B Counter]]=1,"BI"&amp;#REF!+SUM($O$43:O114),""))</f>
        <v>#REF!</v>
      </c>
      <c r="T114" s="18" t="s">
        <v>34</v>
      </c>
      <c r="U114" s="7"/>
    </row>
    <row r="115" spans="1:21" x14ac:dyDescent="0.25">
      <c r="A115">
        <f t="shared" si="5"/>
        <v>106</v>
      </c>
      <c r="B115" s="93" t="str">
        <f>IFERROR(RIGHT(Table246[[#This Row],[Controller Input '#]],3)*1,"")</f>
        <v/>
      </c>
      <c r="C115" s="99"/>
      <c r="D115" s="1"/>
      <c r="E115" s="1" t="s">
        <v>172</v>
      </c>
      <c r="F115" s="1" t="s">
        <v>173</v>
      </c>
      <c r="G115" s="1"/>
      <c r="H115" s="8"/>
      <c r="I115" s="1" t="s">
        <v>70</v>
      </c>
      <c r="J115" s="1" t="s">
        <v>125</v>
      </c>
      <c r="K115" s="1" t="s">
        <v>80</v>
      </c>
      <c r="L115" s="1" t="s">
        <v>81</v>
      </c>
      <c r="M115" s="1"/>
      <c r="N115" s="18">
        <f>IF(ISNUMBER(SEARCH("ANALOG",Table246[[#This Row],[Type]]))=TRUE,1,"")</f>
        <v>1</v>
      </c>
      <c r="O115" s="18" t="str">
        <f>IF(ISNUMBER(SEARCH("BINARY",Table246[[#This Row],[Type]]))=TRUE,1,"")</f>
        <v/>
      </c>
      <c r="P115" s="7" t="e">
        <f>IF(Table246[[#This Row],[Type]]="","",LEFT(Table246[[#This Row],[Type]],1)&amp;LEFT(#REF!,1))</f>
        <v>#REF!</v>
      </c>
      <c r="Q115" s="18" t="e">
        <f>IF(Table246[[#This Row],[Type]]="","",LEFT(Table246[[#This Row],[Type]],1)&amp;LEFT(#REF!,1))</f>
        <v>#REF!</v>
      </c>
      <c r="R115" s="18"/>
      <c r="S115" s="7" t="e">
        <f>IF(Table246[[#This Row],[A Counter]]=1,"AI"&amp;#REF!+SUM($N$43:N115),IF(Table246[[#This Row],[B Counter]]=1,"BI"&amp;#REF!+SUM($O$43:O115),""))</f>
        <v>#REF!</v>
      </c>
      <c r="T115" s="18" t="s">
        <v>34</v>
      </c>
      <c r="U115" s="7"/>
    </row>
    <row r="116" spans="1:21" x14ac:dyDescent="0.25">
      <c r="A116">
        <f t="shared" si="5"/>
        <v>107</v>
      </c>
      <c r="B116" s="130" t="str">
        <f>IFERROR(RIGHT(Table246[[#This Row],[Controller Input '#]],3)*1,"")</f>
        <v/>
      </c>
      <c r="C116" s="99"/>
      <c r="D116" s="1"/>
      <c r="E116" s="1" t="s">
        <v>174</v>
      </c>
      <c r="F116" s="1" t="s">
        <v>175</v>
      </c>
      <c r="G116" s="1"/>
      <c r="H116" s="8"/>
      <c r="I116" s="1" t="s">
        <v>103</v>
      </c>
      <c r="J116" s="1" t="s">
        <v>125</v>
      </c>
      <c r="K116" s="1" t="s">
        <v>112</v>
      </c>
      <c r="L116" s="1"/>
      <c r="M116" s="1"/>
      <c r="N116" s="18" t="str">
        <f>IF(ISNUMBER(SEARCH("ANALOG",Table246[[#This Row],[Type]]))=TRUE,1,"")</f>
        <v/>
      </c>
      <c r="O116" s="18">
        <f>IF(ISNUMBER(SEARCH("BINARY",Table246[[#This Row],[Type]]))=TRUE,1,"")</f>
        <v>1</v>
      </c>
      <c r="P116" s="7" t="e">
        <f>IF(Table246[[#This Row],[Type]]="","",LEFT(Table246[[#This Row],[Type]],1)&amp;LEFT(#REF!,1))</f>
        <v>#REF!</v>
      </c>
      <c r="Q116" s="18" t="e">
        <f>IF(Table246[[#This Row],[Type]]="","",LEFT(Table246[[#This Row],[Type]],1)&amp;LEFT(#REF!,1))</f>
        <v>#REF!</v>
      </c>
      <c r="R116" s="18"/>
      <c r="S116" s="7" t="e">
        <f>IF(Table246[[#This Row],[A Counter]]=1,"AI"&amp;#REF!+SUM($N$43:N116),IF(Table246[[#This Row],[B Counter]]=1,"BI"&amp;#REF!+SUM($O$43:O116),""))</f>
        <v>#REF!</v>
      </c>
      <c r="T116" s="18" t="s">
        <v>34</v>
      </c>
      <c r="U116" s="7"/>
    </row>
    <row r="117" spans="1:21" x14ac:dyDescent="0.25">
      <c r="A117">
        <f t="shared" si="5"/>
        <v>108</v>
      </c>
      <c r="B117" s="93" t="str">
        <f>IFERROR(RIGHT(Table246[[#This Row],[Controller Input '#]],3)*1,"")</f>
        <v/>
      </c>
      <c r="C117" s="99"/>
      <c r="D117" s="1"/>
      <c r="E117" s="1" t="s">
        <v>176</v>
      </c>
      <c r="F117" s="1" t="s">
        <v>177</v>
      </c>
      <c r="G117" s="1"/>
      <c r="H117" s="8"/>
      <c r="I117" s="1" t="s">
        <v>70</v>
      </c>
      <c r="J117" s="1" t="s">
        <v>125</v>
      </c>
      <c r="K117" s="1" t="s">
        <v>80</v>
      </c>
      <c r="L117" s="1" t="s">
        <v>81</v>
      </c>
      <c r="M117" s="11"/>
      <c r="N117" s="18">
        <f>IF(ISNUMBER(SEARCH("ANALOG",Table246[[#This Row],[Type]]))=TRUE,1,"")</f>
        <v>1</v>
      </c>
      <c r="O117" s="18" t="str">
        <f>IF(ISNUMBER(SEARCH("BINARY",Table246[[#This Row],[Type]]))=TRUE,1,"")</f>
        <v/>
      </c>
      <c r="P117" s="7" t="e">
        <f>IF(Table246[[#This Row],[Type]]="","",LEFT(Table246[[#This Row],[Type]],1)&amp;LEFT(#REF!,1))</f>
        <v>#REF!</v>
      </c>
      <c r="Q117" s="18" t="e">
        <f>IF(Table246[[#This Row],[Type]]="","",LEFT(Table246[[#This Row],[Type]],1)&amp;LEFT(#REF!,1))</f>
        <v>#REF!</v>
      </c>
      <c r="R117" s="18"/>
      <c r="S117" s="7" t="e">
        <f>IF(Table246[[#This Row],[A Counter]]=1,"AI"&amp;#REF!+SUM($N$43:N117),IF(Table246[[#This Row],[B Counter]]=1,"BI"&amp;#REF!+SUM($O$43:O117),""))</f>
        <v>#REF!</v>
      </c>
      <c r="T117" s="1"/>
      <c r="U117" s="7"/>
    </row>
    <row r="118" spans="1:21" x14ac:dyDescent="0.25">
      <c r="A118">
        <f t="shared" si="5"/>
        <v>109</v>
      </c>
      <c r="B118" s="130" t="str">
        <f>IFERROR(RIGHT(Table246[[#This Row],[Controller Input '#]],3)*1,"")</f>
        <v/>
      </c>
      <c r="C118" s="99"/>
      <c r="D118" s="1"/>
      <c r="E118" s="1" t="s">
        <v>178</v>
      </c>
      <c r="F118" s="1" t="s">
        <v>179</v>
      </c>
      <c r="G118" s="1"/>
      <c r="H118" s="8"/>
      <c r="I118" s="1" t="s">
        <v>103</v>
      </c>
      <c r="J118" s="1" t="s">
        <v>125</v>
      </c>
      <c r="K118" s="1" t="s">
        <v>112</v>
      </c>
      <c r="L118" s="1"/>
      <c r="M118" s="11"/>
      <c r="N118" s="18" t="str">
        <f>IF(ISNUMBER(SEARCH("ANALOG",Table246[[#This Row],[Type]]))=TRUE,1,"")</f>
        <v/>
      </c>
      <c r="O118" s="18">
        <f>IF(ISNUMBER(SEARCH("BINARY",Table246[[#This Row],[Type]]))=TRUE,1,"")</f>
        <v>1</v>
      </c>
      <c r="P118" s="7" t="e">
        <f>IF(Table246[[#This Row],[Type]]="","",LEFT(Table246[[#This Row],[Type]],1)&amp;LEFT(#REF!,1))</f>
        <v>#REF!</v>
      </c>
      <c r="Q118" s="18" t="e">
        <f>IF(Table246[[#This Row],[Type]]="","",LEFT(Table246[[#This Row],[Type]],1)&amp;LEFT(#REF!,1))</f>
        <v>#REF!</v>
      </c>
      <c r="R118" s="18"/>
      <c r="S118" s="7" t="e">
        <f>IF(Table246[[#This Row],[A Counter]]=1,"AI"&amp;#REF!+SUM($N$43:N118),IF(Table246[[#This Row],[B Counter]]=1,"BI"&amp;#REF!+SUM($O$43:O118),""))</f>
        <v>#REF!</v>
      </c>
      <c r="T118" s="1"/>
      <c r="U118" s="68"/>
    </row>
    <row r="119" spans="1:21" x14ac:dyDescent="0.25">
      <c r="A119">
        <f t="shared" si="5"/>
        <v>110</v>
      </c>
      <c r="B119" s="93" t="str">
        <f>IFERROR(RIGHT(Table246[[#This Row],[Controller Input '#]],3)*1,"")</f>
        <v/>
      </c>
      <c r="C119" s="99"/>
      <c r="D119" s="1"/>
      <c r="E119" s="1" t="s">
        <v>180</v>
      </c>
      <c r="F119" s="1" t="s">
        <v>181</v>
      </c>
      <c r="G119" s="1"/>
      <c r="H119" s="8"/>
      <c r="I119" s="1" t="s">
        <v>70</v>
      </c>
      <c r="J119" s="1" t="s">
        <v>125</v>
      </c>
      <c r="K119" s="1" t="s">
        <v>80</v>
      </c>
      <c r="L119" s="1" t="s">
        <v>81</v>
      </c>
      <c r="M119" s="11"/>
      <c r="N119" s="18">
        <f>IF(ISNUMBER(SEARCH("ANALOG",Table246[[#This Row],[Type]]))=TRUE,1,"")</f>
        <v>1</v>
      </c>
      <c r="O119" s="18" t="str">
        <f>IF(ISNUMBER(SEARCH("BINARY",Table246[[#This Row],[Type]]))=TRUE,1,"")</f>
        <v/>
      </c>
      <c r="P119" s="7" t="e">
        <f>IF(Table246[[#This Row],[Type]]="","",LEFT(Table246[[#This Row],[Type]],1)&amp;LEFT(#REF!,1))</f>
        <v>#REF!</v>
      </c>
      <c r="Q119" s="18" t="e">
        <f>IF(Table246[[#This Row],[Type]]="","",LEFT(Table246[[#This Row],[Type]],1)&amp;LEFT(#REF!,1))</f>
        <v>#REF!</v>
      </c>
      <c r="R119" s="18"/>
      <c r="S119" s="7" t="e">
        <f>IF(Table246[[#This Row],[A Counter]]=1,"AI"&amp;#REF!+SUM($N$43:N119),IF(Table246[[#This Row],[B Counter]]=1,"BI"&amp;#REF!+SUM($O$43:O119),""))</f>
        <v>#REF!</v>
      </c>
      <c r="T119" s="1"/>
      <c r="U119" s="68"/>
    </row>
    <row r="120" spans="1:21" x14ac:dyDescent="0.25">
      <c r="A120">
        <f t="shared" si="5"/>
        <v>111</v>
      </c>
      <c r="B120" s="130" t="str">
        <f>IFERROR(RIGHT(Table246[[#This Row],[Controller Input '#]],3)*1,"")</f>
        <v/>
      </c>
      <c r="C120" s="99"/>
      <c r="D120" s="1"/>
      <c r="E120" s="1" t="s">
        <v>182</v>
      </c>
      <c r="F120" s="1" t="s">
        <v>183</v>
      </c>
      <c r="G120" s="1"/>
      <c r="H120" s="8"/>
      <c r="I120" s="1" t="s">
        <v>103</v>
      </c>
      <c r="J120" s="1" t="s">
        <v>125</v>
      </c>
      <c r="K120" s="1" t="s">
        <v>112</v>
      </c>
      <c r="L120" s="1"/>
      <c r="M120" s="11"/>
      <c r="N120" s="18" t="str">
        <f>IF(ISNUMBER(SEARCH("ANALOG",Table246[[#This Row],[Type]]))=TRUE,1,"")</f>
        <v/>
      </c>
      <c r="O120" s="18">
        <f>IF(ISNUMBER(SEARCH("BINARY",Table246[[#This Row],[Type]]))=TRUE,1,"")</f>
        <v>1</v>
      </c>
      <c r="P120" s="7" t="e">
        <f>IF(Table246[[#This Row],[Type]]="","",LEFT(Table246[[#This Row],[Type]],1)&amp;LEFT(#REF!,1))</f>
        <v>#REF!</v>
      </c>
      <c r="Q120" s="18" t="e">
        <f>IF(Table246[[#This Row],[Type]]="","",LEFT(Table246[[#This Row],[Type]],1)&amp;LEFT(#REF!,1))</f>
        <v>#REF!</v>
      </c>
      <c r="R120" s="18"/>
      <c r="S120" s="7" t="e">
        <f>IF(Table246[[#This Row],[A Counter]]=1,"AI"&amp;#REF!+SUM($N$43:N120),IF(Table246[[#This Row],[B Counter]]=1,"BI"&amp;#REF!+SUM($O$43:O120),""))</f>
        <v>#REF!</v>
      </c>
      <c r="T120" s="1"/>
      <c r="U120" s="68"/>
    </row>
    <row r="121" spans="1:21" x14ac:dyDescent="0.25">
      <c r="A121">
        <f t="shared" si="5"/>
        <v>112</v>
      </c>
      <c r="B121" s="93" t="str">
        <f>IFERROR(RIGHT(Table246[[#This Row],[Controller Input '#]],3)*1,"")</f>
        <v/>
      </c>
      <c r="C121" s="98"/>
      <c r="D121" s="1"/>
      <c r="E121" s="1" t="s">
        <v>184</v>
      </c>
      <c r="F121" s="1" t="s">
        <v>185</v>
      </c>
      <c r="G121" s="1"/>
      <c r="H121" s="8"/>
      <c r="I121" s="1" t="s">
        <v>70</v>
      </c>
      <c r="J121" s="1" t="s">
        <v>125</v>
      </c>
      <c r="K121" s="1" t="s">
        <v>80</v>
      </c>
      <c r="L121" s="1" t="s">
        <v>81</v>
      </c>
      <c r="M121" s="11"/>
      <c r="N121" s="18">
        <f>IF(ISNUMBER(SEARCH("ANALOG",Table246[[#This Row],[Type]]))=TRUE,1,"")</f>
        <v>1</v>
      </c>
      <c r="O121" s="18" t="str">
        <f>IF(ISNUMBER(SEARCH("BINARY",Table246[[#This Row],[Type]]))=TRUE,1,"")</f>
        <v/>
      </c>
      <c r="P121" s="7" t="e">
        <f>IF(Table246[[#This Row],[Type]]="","",LEFT(Table246[[#This Row],[Type]],1)&amp;LEFT(#REF!,1))</f>
        <v>#REF!</v>
      </c>
      <c r="Q121" s="18" t="e">
        <f>IF(Table246[[#This Row],[Type]]="","",LEFT(Table246[[#This Row],[Type]],1)&amp;LEFT(#REF!,1))</f>
        <v>#REF!</v>
      </c>
      <c r="R121" s="18"/>
      <c r="S121" s="7" t="e">
        <f>IF(Table246[[#This Row],[A Counter]]=1,"AI"&amp;#REF!+SUM($N$43:N121),IF(Table246[[#This Row],[B Counter]]=1,"BI"&amp;#REF!+SUM($O$43:O121),""))</f>
        <v>#REF!</v>
      </c>
      <c r="T121" s="1"/>
      <c r="U121" s="69"/>
    </row>
    <row r="122" spans="1:21" x14ac:dyDescent="0.25">
      <c r="A122">
        <f t="shared" si="5"/>
        <v>113</v>
      </c>
      <c r="B122" s="130" t="str">
        <f>IFERROR(RIGHT(Table246[[#This Row],[Controller Input '#]],3)*1,"")</f>
        <v/>
      </c>
      <c r="C122" s="99"/>
      <c r="D122" s="1"/>
      <c r="E122" s="1" t="s">
        <v>186</v>
      </c>
      <c r="F122" s="1" t="s">
        <v>187</v>
      </c>
      <c r="G122" s="1"/>
      <c r="H122" s="8"/>
      <c r="I122" s="1" t="s">
        <v>103</v>
      </c>
      <c r="J122" s="1" t="s">
        <v>125</v>
      </c>
      <c r="K122" s="1" t="s">
        <v>112</v>
      </c>
      <c r="L122" s="1"/>
      <c r="M122" s="11"/>
      <c r="N122" s="18" t="str">
        <f>IF(ISNUMBER(SEARCH("ANALOG",Table246[[#This Row],[Type]]))=TRUE,1,"")</f>
        <v/>
      </c>
      <c r="O122" s="18">
        <f>IF(ISNUMBER(SEARCH("BINARY",Table246[[#This Row],[Type]]))=TRUE,1,"")</f>
        <v>1</v>
      </c>
      <c r="P122" s="7" t="e">
        <f>IF(Table246[[#This Row],[Type]]="","",LEFT(Table246[[#This Row],[Type]],1)&amp;LEFT(#REF!,1))</f>
        <v>#REF!</v>
      </c>
      <c r="Q122" s="18" t="e">
        <f>IF(Table246[[#This Row],[Type]]="","",LEFT(Table246[[#This Row],[Type]],1)&amp;LEFT(#REF!,1))</f>
        <v>#REF!</v>
      </c>
      <c r="R122" s="18"/>
      <c r="S122" s="7" t="e">
        <f>IF(Table246[[#This Row],[A Counter]]=1,"AI"&amp;#REF!+SUM($N$43:N122),IF(Table246[[#This Row],[B Counter]]=1,"BI"&amp;#REF!+SUM($O$43:O122),""))</f>
        <v>#REF!</v>
      </c>
      <c r="T122" s="1"/>
      <c r="U122" s="68"/>
    </row>
    <row r="123" spans="1:21" x14ac:dyDescent="0.25">
      <c r="A123">
        <f t="shared" si="5"/>
        <v>114</v>
      </c>
      <c r="B123" s="93" t="str">
        <f>IFERROR(RIGHT(Table246[[#This Row],[Controller Input '#]],3)*1,"")</f>
        <v/>
      </c>
      <c r="C123" s="99"/>
      <c r="D123" s="1"/>
      <c r="E123" s="1" t="s">
        <v>188</v>
      </c>
      <c r="F123" s="1" t="s">
        <v>189</v>
      </c>
      <c r="G123" s="1"/>
      <c r="H123" s="8"/>
      <c r="I123" s="1" t="s">
        <v>70</v>
      </c>
      <c r="J123" s="1" t="s">
        <v>125</v>
      </c>
      <c r="K123" s="1" t="s">
        <v>80</v>
      </c>
      <c r="L123" s="1" t="s">
        <v>81</v>
      </c>
      <c r="M123" s="1"/>
      <c r="N123" s="18">
        <f>IF(ISNUMBER(SEARCH("ANALOG",Table246[[#This Row],[Type]]))=TRUE,1,"")</f>
        <v>1</v>
      </c>
      <c r="O123" s="18" t="str">
        <f>IF(ISNUMBER(SEARCH("BINARY",Table246[[#This Row],[Type]]))=TRUE,1,"")</f>
        <v/>
      </c>
      <c r="P123" s="7" t="e">
        <f>IF(Table246[[#This Row],[Type]]="","",LEFT(Table246[[#This Row],[Type]],1)&amp;LEFT(#REF!,1))</f>
        <v>#REF!</v>
      </c>
      <c r="Q123" s="18" t="e">
        <f>IF(Table246[[#This Row],[Type]]="","",LEFT(Table246[[#This Row],[Type]],1)&amp;LEFT(#REF!,1))</f>
        <v>#REF!</v>
      </c>
      <c r="R123" s="18"/>
      <c r="S123" s="7" t="e">
        <f>IF(Table246[[#This Row],[A Counter]]=1,"AI"&amp;#REF!+SUM($N$43:N123),IF(Table246[[#This Row],[B Counter]]=1,"BI"&amp;#REF!+SUM($O$43:O123),""))</f>
        <v>#REF!</v>
      </c>
      <c r="T123" s="1"/>
      <c r="U123" s="68"/>
    </row>
    <row r="124" spans="1:21" x14ac:dyDescent="0.25">
      <c r="A124">
        <f t="shared" si="5"/>
        <v>115</v>
      </c>
      <c r="B124" s="130" t="str">
        <f>IFERROR(RIGHT(Table246[[#This Row],[Controller Input '#]],3)*1,"")</f>
        <v/>
      </c>
      <c r="C124" s="99"/>
      <c r="D124" s="1"/>
      <c r="E124" s="1" t="s">
        <v>190</v>
      </c>
      <c r="F124" s="1" t="s">
        <v>191</v>
      </c>
      <c r="G124" s="1"/>
      <c r="H124" s="8"/>
      <c r="I124" s="1" t="s">
        <v>103</v>
      </c>
      <c r="J124" s="1" t="s">
        <v>125</v>
      </c>
      <c r="K124" s="1" t="s">
        <v>112</v>
      </c>
      <c r="L124" s="1"/>
      <c r="M124" s="1"/>
      <c r="N124" s="18" t="str">
        <f>IF(ISNUMBER(SEARCH("ANALOG",Table246[[#This Row],[Type]]))=TRUE,1,"")</f>
        <v/>
      </c>
      <c r="O124" s="18">
        <f>IF(ISNUMBER(SEARCH("BINARY",Table246[[#This Row],[Type]]))=TRUE,1,"")</f>
        <v>1</v>
      </c>
      <c r="P124" s="7" t="e">
        <f>IF(Table246[[#This Row],[Type]]="","",LEFT(Table246[[#This Row],[Type]],1)&amp;LEFT(#REF!,1))</f>
        <v>#REF!</v>
      </c>
      <c r="Q124" s="18" t="e">
        <f>IF(Table246[[#This Row],[Type]]="","",LEFT(Table246[[#This Row],[Type]],1)&amp;LEFT(#REF!,1))</f>
        <v>#REF!</v>
      </c>
      <c r="R124" s="18"/>
      <c r="S124" s="7" t="e">
        <f>IF(Table246[[#This Row],[A Counter]]=1,"AI"&amp;#REF!+SUM($N$43:N124),IF(Table246[[#This Row],[B Counter]]=1,"BI"&amp;#REF!+SUM($O$43:O124),""))</f>
        <v>#REF!</v>
      </c>
      <c r="T124" s="1"/>
      <c r="U124" s="68"/>
    </row>
    <row r="125" spans="1:21" x14ac:dyDescent="0.25">
      <c r="A125">
        <f t="shared" si="5"/>
        <v>116</v>
      </c>
      <c r="B125" s="93" t="str">
        <f>IFERROR(RIGHT(Table246[[#This Row],[Controller Input '#]],3)*1,"")</f>
        <v/>
      </c>
      <c r="C125" s="99"/>
      <c r="D125" s="1"/>
      <c r="E125" s="1" t="s">
        <v>192</v>
      </c>
      <c r="F125" s="1" t="s">
        <v>193</v>
      </c>
      <c r="G125" s="1"/>
      <c r="H125" s="8"/>
      <c r="I125" s="1" t="s">
        <v>70</v>
      </c>
      <c r="J125" s="1" t="s">
        <v>125</v>
      </c>
      <c r="K125" s="1" t="s">
        <v>80</v>
      </c>
      <c r="L125" s="1" t="s">
        <v>81</v>
      </c>
      <c r="M125" s="1"/>
      <c r="N125" s="18">
        <f>IF(ISNUMBER(SEARCH("ANALOG",Table246[[#This Row],[Type]]))=TRUE,1,"")</f>
        <v>1</v>
      </c>
      <c r="O125" s="18" t="str">
        <f>IF(ISNUMBER(SEARCH("BINARY",Table246[[#This Row],[Type]]))=TRUE,1,"")</f>
        <v/>
      </c>
      <c r="P125" s="7" t="e">
        <f>IF(Table246[[#This Row],[Type]]="","",LEFT(Table246[[#This Row],[Type]],1)&amp;LEFT(#REF!,1))</f>
        <v>#REF!</v>
      </c>
      <c r="Q125" s="18" t="e">
        <f>IF(Table246[[#This Row],[Type]]="","",LEFT(Table246[[#This Row],[Type]],1)&amp;LEFT(#REF!,1))</f>
        <v>#REF!</v>
      </c>
      <c r="R125" s="18"/>
      <c r="S125" s="7" t="e">
        <f>IF(Table246[[#This Row],[A Counter]]=1,"AI"&amp;#REF!+SUM($N$43:N125),IF(Table246[[#This Row],[B Counter]]=1,"BI"&amp;#REF!+SUM($O$43:O125),""))</f>
        <v>#REF!</v>
      </c>
      <c r="T125" s="1"/>
      <c r="U125" s="68"/>
    </row>
    <row r="126" spans="1:21" x14ac:dyDescent="0.25">
      <c r="A126">
        <f t="shared" si="5"/>
        <v>117</v>
      </c>
      <c r="B126" s="130" t="str">
        <f>IFERROR(RIGHT(Table246[[#This Row],[Controller Input '#]],3)*1,"")</f>
        <v/>
      </c>
      <c r="C126" s="98"/>
      <c r="D126" s="1"/>
      <c r="E126" s="1" t="s">
        <v>194</v>
      </c>
      <c r="F126" s="1" t="s">
        <v>195</v>
      </c>
      <c r="G126" s="1"/>
      <c r="H126" s="8"/>
      <c r="I126" s="1" t="s">
        <v>103</v>
      </c>
      <c r="J126" s="1" t="s">
        <v>125</v>
      </c>
      <c r="K126" s="1" t="s">
        <v>112</v>
      </c>
      <c r="L126" s="1"/>
      <c r="M126" s="1"/>
      <c r="N126" s="18" t="str">
        <f>IF(ISNUMBER(SEARCH("ANALOG",Table246[[#This Row],[Type]]))=TRUE,1,"")</f>
        <v/>
      </c>
      <c r="O126" s="18">
        <f>IF(ISNUMBER(SEARCH("BINARY",Table246[[#This Row],[Type]]))=TRUE,1,"")</f>
        <v>1</v>
      </c>
      <c r="P126" s="7" t="e">
        <f>IF(Table246[[#This Row],[Type]]="","",LEFT(Table246[[#This Row],[Type]],1)&amp;LEFT(#REF!,1))</f>
        <v>#REF!</v>
      </c>
      <c r="Q126" s="18" t="e">
        <f>IF(Table246[[#This Row],[Type]]="","",LEFT(Table246[[#This Row],[Type]],1)&amp;LEFT(#REF!,1))</f>
        <v>#REF!</v>
      </c>
      <c r="R126" s="18"/>
      <c r="S126" s="7" t="e">
        <f>IF(Table246[[#This Row],[A Counter]]=1,"AI"&amp;#REF!+SUM($N$43:N126),IF(Table246[[#This Row],[B Counter]]=1,"BI"&amp;#REF!+SUM($O$43:O126),""))</f>
        <v>#REF!</v>
      </c>
      <c r="T126" s="1"/>
      <c r="U126" s="69"/>
    </row>
    <row r="127" spans="1:21" x14ac:dyDescent="0.25">
      <c r="A127">
        <f t="shared" si="5"/>
        <v>118</v>
      </c>
      <c r="B127" s="93" t="str">
        <f>IFERROR(RIGHT(Table246[[#This Row],[Controller Input '#]],3)*1,"")</f>
        <v/>
      </c>
      <c r="C127" s="99"/>
      <c r="D127" s="1"/>
      <c r="E127" s="1" t="s">
        <v>196</v>
      </c>
      <c r="F127" s="1" t="s">
        <v>197</v>
      </c>
      <c r="G127" s="1"/>
      <c r="H127" s="8"/>
      <c r="I127" s="1" t="s">
        <v>70</v>
      </c>
      <c r="J127" s="1" t="s">
        <v>125</v>
      </c>
      <c r="K127" s="1" t="s">
        <v>80</v>
      </c>
      <c r="L127" s="1" t="s">
        <v>81</v>
      </c>
      <c r="M127" s="1"/>
      <c r="N127" s="18">
        <f>IF(ISNUMBER(SEARCH("ANALOG",Table246[[#This Row],[Type]]))=TRUE,1,"")</f>
        <v>1</v>
      </c>
      <c r="O127" s="18" t="str">
        <f>IF(ISNUMBER(SEARCH("BINARY",Table246[[#This Row],[Type]]))=TRUE,1,"")</f>
        <v/>
      </c>
      <c r="P127" s="7" t="e">
        <f>IF(Table246[[#This Row],[Type]]="","",LEFT(Table246[[#This Row],[Type]],1)&amp;LEFT(#REF!,1))</f>
        <v>#REF!</v>
      </c>
      <c r="Q127" s="18" t="e">
        <f>IF(Table246[[#This Row],[Type]]="","",LEFT(Table246[[#This Row],[Type]],1)&amp;LEFT(#REF!,1))</f>
        <v>#REF!</v>
      </c>
      <c r="R127" s="18"/>
      <c r="S127" s="7" t="e">
        <f>IF(Table246[[#This Row],[A Counter]]=1,"AI"&amp;#REF!+SUM($N$43:N127),IF(Table246[[#This Row],[B Counter]]=1,"BI"&amp;#REF!+SUM($O$43:O127),""))</f>
        <v>#REF!</v>
      </c>
      <c r="T127" s="1"/>
      <c r="U127" s="68"/>
    </row>
    <row r="128" spans="1:21" x14ac:dyDescent="0.25">
      <c r="A128">
        <f t="shared" si="5"/>
        <v>119</v>
      </c>
      <c r="B128" s="130" t="str">
        <f>IFERROR(RIGHT(Table246[[#This Row],[Controller Input '#]],3)*1,"")</f>
        <v/>
      </c>
      <c r="C128" s="99"/>
      <c r="D128" s="1"/>
      <c r="E128" s="1" t="s">
        <v>198</v>
      </c>
      <c r="F128" s="1" t="s">
        <v>199</v>
      </c>
      <c r="G128" s="1"/>
      <c r="H128" s="8"/>
      <c r="I128" s="1" t="s">
        <v>103</v>
      </c>
      <c r="J128" s="1" t="s">
        <v>125</v>
      </c>
      <c r="K128" s="1" t="s">
        <v>112</v>
      </c>
      <c r="L128" s="1"/>
      <c r="M128" s="1"/>
      <c r="N128" s="18" t="str">
        <f>IF(ISNUMBER(SEARCH("ANALOG",Table246[[#This Row],[Type]]))=TRUE,1,"")</f>
        <v/>
      </c>
      <c r="O128" s="18">
        <f>IF(ISNUMBER(SEARCH("BINARY",Table246[[#This Row],[Type]]))=TRUE,1,"")</f>
        <v>1</v>
      </c>
      <c r="P128" s="7" t="e">
        <f>IF(Table246[[#This Row],[Type]]="","",LEFT(Table246[[#This Row],[Type]],1)&amp;LEFT(#REF!,1))</f>
        <v>#REF!</v>
      </c>
      <c r="Q128" s="18" t="e">
        <f>IF(Table246[[#This Row],[Type]]="","",LEFT(Table246[[#This Row],[Type]],1)&amp;LEFT(#REF!,1))</f>
        <v>#REF!</v>
      </c>
      <c r="R128" s="18"/>
      <c r="S128" s="7" t="e">
        <f>IF(Table246[[#This Row],[A Counter]]=1,"AI"&amp;#REF!+SUM($N$43:N128),IF(Table246[[#This Row],[B Counter]]=1,"BI"&amp;#REF!+SUM($O$43:O128),""))</f>
        <v>#REF!</v>
      </c>
      <c r="T128" s="1"/>
      <c r="U128" s="68"/>
    </row>
    <row r="129" spans="1:21" x14ac:dyDescent="0.25">
      <c r="A129">
        <f t="shared" si="5"/>
        <v>120</v>
      </c>
      <c r="B129" s="93" t="str">
        <f>IFERROR(RIGHT(Table246[[#This Row],[Controller Input '#]],3)*1,"")</f>
        <v/>
      </c>
      <c r="C129" s="99"/>
      <c r="D129" s="1"/>
      <c r="E129" s="1" t="s">
        <v>200</v>
      </c>
      <c r="F129" s="1" t="s">
        <v>201</v>
      </c>
      <c r="G129" s="1"/>
      <c r="H129" s="8"/>
      <c r="I129" s="1" t="s">
        <v>70</v>
      </c>
      <c r="J129" s="1" t="s">
        <v>125</v>
      </c>
      <c r="K129" s="1" t="s">
        <v>80</v>
      </c>
      <c r="L129" s="1" t="s">
        <v>81</v>
      </c>
      <c r="M129" s="1"/>
      <c r="N129" s="18">
        <f>IF(ISNUMBER(SEARCH("ANALOG",Table246[[#This Row],[Type]]))=TRUE,1,"")</f>
        <v>1</v>
      </c>
      <c r="O129" s="18" t="str">
        <f>IF(ISNUMBER(SEARCH("BINARY",Table246[[#This Row],[Type]]))=TRUE,1,"")</f>
        <v/>
      </c>
      <c r="P129" s="7" t="e">
        <f>IF(Table246[[#This Row],[Type]]="","",LEFT(Table246[[#This Row],[Type]],1)&amp;LEFT(#REF!,1))</f>
        <v>#REF!</v>
      </c>
      <c r="Q129" s="18" t="e">
        <f>IF(Table246[[#This Row],[Type]]="","",LEFT(Table246[[#This Row],[Type]],1)&amp;LEFT(#REF!,1))</f>
        <v>#REF!</v>
      </c>
      <c r="R129" s="18"/>
      <c r="S129" s="7" t="e">
        <f>IF(Table246[[#This Row],[A Counter]]=1,"AI"&amp;#REF!+SUM($N$43:N129),IF(Table246[[#This Row],[B Counter]]=1,"BI"&amp;#REF!+SUM($O$43:O129),""))</f>
        <v>#REF!</v>
      </c>
      <c r="T129" s="1"/>
      <c r="U129" s="68"/>
    </row>
    <row r="130" spans="1:21" x14ac:dyDescent="0.25">
      <c r="A130">
        <f t="shared" si="5"/>
        <v>121</v>
      </c>
      <c r="B130" s="130" t="str">
        <f>IFERROR(RIGHT(Table246[[#This Row],[Controller Input '#]],3)*1,"")</f>
        <v/>
      </c>
      <c r="C130" s="99"/>
      <c r="D130" s="1"/>
      <c r="E130" s="1" t="s">
        <v>202</v>
      </c>
      <c r="F130" s="1" t="s">
        <v>203</v>
      </c>
      <c r="G130" s="1"/>
      <c r="H130" s="8"/>
      <c r="I130" s="1" t="s">
        <v>103</v>
      </c>
      <c r="J130" s="1" t="s">
        <v>125</v>
      </c>
      <c r="K130" s="1" t="s">
        <v>112</v>
      </c>
      <c r="L130" s="1"/>
      <c r="M130" s="1"/>
      <c r="N130" s="18" t="str">
        <f>IF(ISNUMBER(SEARCH("ANALOG",Table246[[#This Row],[Type]]))=TRUE,1,"")</f>
        <v/>
      </c>
      <c r="O130" s="18">
        <f>IF(ISNUMBER(SEARCH("BINARY",Table246[[#This Row],[Type]]))=TRUE,1,"")</f>
        <v>1</v>
      </c>
      <c r="P130" s="7" t="e">
        <f>IF(Table246[[#This Row],[Type]]="","",LEFT(Table246[[#This Row],[Type]],1)&amp;LEFT(#REF!,1))</f>
        <v>#REF!</v>
      </c>
      <c r="Q130" s="18" t="e">
        <f>IF(Table246[[#This Row],[Type]]="","",LEFT(Table246[[#This Row],[Type]],1)&amp;LEFT(#REF!,1))</f>
        <v>#REF!</v>
      </c>
      <c r="R130" s="18"/>
      <c r="S130" s="7" t="e">
        <f>IF(Table246[[#This Row],[A Counter]]=1,"AI"&amp;#REF!+SUM($N$43:N130),IF(Table246[[#This Row],[B Counter]]=1,"BI"&amp;#REF!+SUM($O$43:O130),""))</f>
        <v>#REF!</v>
      </c>
      <c r="T130" s="1"/>
      <c r="U130" s="68"/>
    </row>
    <row r="131" spans="1:21" x14ac:dyDescent="0.25">
      <c r="A131">
        <f t="shared" si="5"/>
        <v>122</v>
      </c>
      <c r="B131" s="93" t="str">
        <f>IFERROR(RIGHT(Table246[[#This Row],[Controller Input '#]],3)*1,"")</f>
        <v/>
      </c>
      <c r="C131" s="98"/>
      <c r="D131" s="1"/>
      <c r="E131" s="1"/>
      <c r="F131" s="1"/>
      <c r="G131" s="1"/>
      <c r="H131" s="8"/>
      <c r="I131" s="1"/>
      <c r="J131" s="1"/>
      <c r="K131" s="3"/>
      <c r="L131" s="1"/>
      <c r="M131" s="18"/>
      <c r="N131" s="18"/>
      <c r="O131" s="18"/>
      <c r="P131" s="7"/>
      <c r="Q131" s="18"/>
      <c r="R131" s="18"/>
      <c r="S131" s="7"/>
      <c r="T131" s="18"/>
      <c r="U131" s="69"/>
    </row>
    <row r="132" spans="1:21" x14ac:dyDescent="0.25">
      <c r="A132">
        <f t="shared" si="5"/>
        <v>123</v>
      </c>
      <c r="B132" s="130" t="str">
        <f>IFERROR(RIGHT(Table246[[#This Row],[Controller Input '#]],3)*1,"")</f>
        <v/>
      </c>
      <c r="C132" s="99"/>
      <c r="D132" s="1"/>
      <c r="E132" s="1"/>
      <c r="F132" s="1"/>
      <c r="G132" s="1"/>
      <c r="H132" s="8"/>
      <c r="I132" s="1"/>
      <c r="J132" s="1"/>
      <c r="K132" s="3"/>
      <c r="L132" s="1"/>
      <c r="M132" s="1"/>
      <c r="N132" s="18"/>
      <c r="O132" s="18"/>
      <c r="P132" s="7"/>
      <c r="Q132" s="18"/>
      <c r="R132" s="18"/>
      <c r="S132" s="7"/>
      <c r="T132" s="18"/>
      <c r="U132" s="68"/>
    </row>
    <row r="133" spans="1:21" x14ac:dyDescent="0.25">
      <c r="A133">
        <f t="shared" si="5"/>
        <v>124</v>
      </c>
      <c r="B133" s="93" t="str">
        <f>IFERROR(RIGHT(Table246[[#This Row],[Controller Input '#]],3)*1,"")</f>
        <v/>
      </c>
      <c r="C133" s="99"/>
      <c r="D133" s="1"/>
      <c r="E133" s="1"/>
      <c r="F133" s="1"/>
      <c r="G133" s="1"/>
      <c r="H133" s="8"/>
      <c r="I133" s="1"/>
      <c r="J133" s="1"/>
      <c r="K133" s="3"/>
      <c r="L133" s="1"/>
      <c r="M133" s="1"/>
      <c r="N133" s="18"/>
      <c r="O133" s="18"/>
      <c r="P133" s="7"/>
      <c r="Q133" s="18"/>
      <c r="R133" s="18"/>
      <c r="S133" s="7"/>
      <c r="T133" s="18"/>
      <c r="U133" s="7"/>
    </row>
    <row r="134" spans="1:21" x14ac:dyDescent="0.25">
      <c r="A134">
        <f t="shared" si="5"/>
        <v>125</v>
      </c>
      <c r="B134" s="130" t="str">
        <f>IFERROR(RIGHT(Table246[[#This Row],[Controller Input '#]],3)*1,"")</f>
        <v/>
      </c>
      <c r="C134" s="99"/>
      <c r="D134" s="1"/>
      <c r="E134" s="1" t="s">
        <v>214</v>
      </c>
      <c r="F134" s="1" t="s">
        <v>214</v>
      </c>
      <c r="G134" s="1"/>
      <c r="H134" s="8"/>
      <c r="I134" s="1" t="s">
        <v>103</v>
      </c>
      <c r="J134" s="1" t="s">
        <v>125</v>
      </c>
      <c r="K134" s="3" t="s">
        <v>215</v>
      </c>
      <c r="L134" s="63"/>
      <c r="M134" s="1"/>
      <c r="N134" s="18" t="str">
        <f>IF(ISNUMBER(SEARCH("ANALOG",Table246[[#This Row],[Type]]))=TRUE,1,"")</f>
        <v/>
      </c>
      <c r="O134" s="18">
        <f>IF(ISNUMBER(SEARCH("BINARY",Table246[[#This Row],[Type]]))=TRUE,1,"")</f>
        <v>1</v>
      </c>
      <c r="P134" s="7" t="e">
        <f>IF(Table246[[#This Row],[Type]]="","",LEFT(Table246[[#This Row],[Type]],1)&amp;LEFT(#REF!,1))</f>
        <v>#REF!</v>
      </c>
      <c r="Q134" s="18" t="e">
        <f>IF(Table246[[#This Row],[Type]]="","",LEFT(Table246[[#This Row],[Type]],1)&amp;LEFT(#REF!,1))</f>
        <v>#REF!</v>
      </c>
      <c r="R134" s="18"/>
      <c r="S134" s="7" t="e">
        <f>IF(Table246[[#This Row],[A Counter]]=1,"AI"&amp;#REF!+SUM($N$43:N134),IF(Table246[[#This Row],[B Counter]]=1,"BI"&amp;#REF!+SUM($O$43:O134),""))</f>
        <v>#REF!</v>
      </c>
      <c r="T134" s="18"/>
      <c r="U134" s="7"/>
    </row>
    <row r="135" spans="1:21" x14ac:dyDescent="0.25">
      <c r="A135">
        <f t="shared" si="5"/>
        <v>126</v>
      </c>
      <c r="B135" s="93" t="str">
        <f>IFERROR(RIGHT(Table246[[#This Row],[Controller Input '#]],3)*1,"")</f>
        <v/>
      </c>
      <c r="C135" s="99"/>
      <c r="D135" s="1"/>
      <c r="E135" s="1"/>
      <c r="F135" s="1"/>
      <c r="G135" s="1"/>
      <c r="H135" s="8"/>
      <c r="I135" s="1"/>
      <c r="J135" s="1"/>
      <c r="K135" s="1"/>
      <c r="L135" s="18"/>
      <c r="M135" s="1"/>
      <c r="N135" s="18"/>
      <c r="O135" s="18"/>
      <c r="P135" s="7"/>
      <c r="Q135" s="18"/>
      <c r="R135" s="18"/>
      <c r="S135" s="7"/>
      <c r="T135" s="18"/>
      <c r="U135" s="7"/>
    </row>
    <row r="136" spans="1:21" x14ac:dyDescent="0.25">
      <c r="A136">
        <f t="shared" si="5"/>
        <v>127</v>
      </c>
      <c r="B136" s="130" t="str">
        <f>IFERROR(RIGHT(Table246[[#This Row],[Controller Input '#]],3)*1,"")</f>
        <v/>
      </c>
      <c r="C136" s="99"/>
      <c r="D136" s="1"/>
      <c r="E136" s="1"/>
      <c r="F136" s="1"/>
      <c r="G136" s="1"/>
      <c r="H136" s="8"/>
      <c r="I136" s="1"/>
      <c r="J136" s="1"/>
      <c r="K136" s="1"/>
      <c r="L136" s="18"/>
      <c r="M136" s="1"/>
      <c r="N136" s="18"/>
      <c r="O136" s="18"/>
      <c r="P136" s="7"/>
      <c r="Q136" s="18"/>
      <c r="R136" s="18"/>
      <c r="S136" s="7"/>
      <c r="T136" s="18"/>
      <c r="U136" s="7"/>
    </row>
    <row r="137" spans="1:21" x14ac:dyDescent="0.25">
      <c r="A137">
        <f t="shared" si="5"/>
        <v>128</v>
      </c>
      <c r="B137" s="93" t="str">
        <f>IFERROR(RIGHT(Table246[[#This Row],[Controller Input '#]],3)*1,"")</f>
        <v/>
      </c>
      <c r="C137" s="99"/>
      <c r="D137" s="1"/>
      <c r="E137" s="1"/>
      <c r="F137" s="1"/>
      <c r="G137" s="1"/>
      <c r="H137" s="8"/>
      <c r="I137" s="1"/>
      <c r="J137" s="1"/>
      <c r="K137" s="1"/>
      <c r="L137" s="18"/>
      <c r="M137" s="1"/>
      <c r="N137" s="18"/>
      <c r="O137" s="18"/>
      <c r="P137" s="7"/>
      <c r="Q137" s="18"/>
      <c r="R137" s="18"/>
      <c r="S137" s="7"/>
      <c r="T137" s="18"/>
      <c r="U137" s="7"/>
    </row>
    <row r="138" spans="1:21" x14ac:dyDescent="0.25">
      <c r="A138">
        <f t="shared" si="5"/>
        <v>129</v>
      </c>
      <c r="B138" s="130" t="str">
        <f>IFERROR(RIGHT(Table246[[#This Row],[Controller Input '#]],3)*1,"")</f>
        <v/>
      </c>
      <c r="C138" s="99"/>
      <c r="D138" s="1"/>
      <c r="E138" s="1" t="s">
        <v>214</v>
      </c>
      <c r="F138" s="1" t="s">
        <v>214</v>
      </c>
      <c r="G138" s="1"/>
      <c r="H138" s="8"/>
      <c r="I138" s="1"/>
      <c r="J138" s="1"/>
      <c r="K138" s="1"/>
      <c r="L138" s="18"/>
      <c r="M138" s="1"/>
      <c r="N138" s="18" t="str">
        <f>IF(ISNUMBER(SEARCH("ANALOG",Table246[[#This Row],[Type]]))=TRUE,1,"")</f>
        <v/>
      </c>
      <c r="O138" s="18" t="str">
        <f>IF(ISNUMBER(SEARCH("BINARY",Table246[[#This Row],[Type]]))=TRUE,1,"")</f>
        <v/>
      </c>
      <c r="P138" s="7" t="str">
        <f>IF(Table246[[#This Row],[Type]]="","",LEFT(Table246[[#This Row],[Type]],1)&amp;LEFT(#REF!,1))</f>
        <v/>
      </c>
      <c r="Q138" s="18" t="str">
        <f>IF(Table246[[#This Row],[Type]]="","",LEFT(Table246[[#This Row],[Type]],1)&amp;LEFT(#REF!,1))</f>
        <v/>
      </c>
      <c r="R138" s="18"/>
      <c r="S138" s="7" t="str">
        <f>IF(Table246[[#This Row],[A Counter]]=1,"AI"&amp;#REF!+SUM($N$43:N138),IF(Table246[[#This Row],[B Counter]]=1,"BI"&amp;#REF!+SUM($O$43:O138),""))</f>
        <v/>
      </c>
      <c r="T138" s="18"/>
      <c r="U138" s="7"/>
    </row>
    <row r="139" spans="1:21" x14ac:dyDescent="0.25">
      <c r="A139">
        <f t="shared" si="5"/>
        <v>130</v>
      </c>
      <c r="B139" s="93" t="str">
        <f>IFERROR(RIGHT(Table246[[#This Row],[Controller Input '#]],3)*1,"")</f>
        <v/>
      </c>
      <c r="C139" s="99"/>
      <c r="D139" s="1"/>
      <c r="E139" s="1"/>
      <c r="F139" s="1"/>
      <c r="G139" s="1"/>
      <c r="H139" s="8"/>
      <c r="I139" s="1"/>
      <c r="J139" s="1"/>
      <c r="K139" s="1"/>
      <c r="L139" s="1"/>
      <c r="M139" s="1"/>
      <c r="N139" s="18"/>
      <c r="O139" s="18"/>
      <c r="P139" s="7"/>
      <c r="Q139" s="18"/>
      <c r="R139" s="18"/>
      <c r="S139" s="7"/>
      <c r="T139" s="18"/>
      <c r="U139" s="7"/>
    </row>
    <row r="140" spans="1:21" x14ac:dyDescent="0.25">
      <c r="A140">
        <f t="shared" si="5"/>
        <v>131</v>
      </c>
      <c r="B140" s="130" t="str">
        <f>IFERROR(RIGHT(Table246[[#This Row],[Controller Input '#]],3)*1,"")</f>
        <v/>
      </c>
      <c r="C140" s="99"/>
      <c r="D140" s="1"/>
      <c r="E140" s="1"/>
      <c r="F140" s="1"/>
      <c r="G140" s="1"/>
      <c r="H140" s="8"/>
      <c r="I140" s="1"/>
      <c r="J140" s="1"/>
      <c r="K140" s="1"/>
      <c r="L140" s="1"/>
      <c r="M140" s="1"/>
      <c r="N140" s="1"/>
      <c r="O140" s="1"/>
      <c r="Q140" s="1"/>
      <c r="R140" s="1"/>
      <c r="S140" s="7"/>
      <c r="T140" s="1"/>
    </row>
    <row r="141" spans="1:21" x14ac:dyDescent="0.25">
      <c r="A141">
        <f t="shared" si="5"/>
        <v>132</v>
      </c>
      <c r="B141" s="93" t="str">
        <f>IFERROR(RIGHT(Table246[[#This Row],[Controller Input '#]],3)*1,"")</f>
        <v/>
      </c>
      <c r="C141" s="99"/>
      <c r="D141" s="1"/>
      <c r="E141" s="1"/>
      <c r="F141" s="1"/>
      <c r="G141" s="1"/>
      <c r="H141" s="8"/>
      <c r="I141" s="1"/>
      <c r="J141" s="1"/>
      <c r="K141" s="1"/>
      <c r="L141" s="1"/>
      <c r="M141" s="1"/>
      <c r="N141" s="1"/>
      <c r="O141" s="1"/>
      <c r="Q141" s="1"/>
      <c r="R141" s="1"/>
      <c r="S141" s="7"/>
      <c r="T141" s="1"/>
    </row>
    <row r="142" spans="1:21" x14ac:dyDescent="0.25">
      <c r="A142">
        <f t="shared" si="5"/>
        <v>133</v>
      </c>
      <c r="B142" s="130" t="str">
        <f>IFERROR(RIGHT(Table246[[#This Row],[Controller Input '#]],3)*1,"")</f>
        <v/>
      </c>
      <c r="C142" s="99"/>
      <c r="D142" s="1"/>
      <c r="E142" s="1" t="s">
        <v>229</v>
      </c>
      <c r="F142" s="1" t="s">
        <v>230</v>
      </c>
      <c r="G142" s="1"/>
      <c r="H142" s="8"/>
      <c r="I142" s="1" t="s">
        <v>70</v>
      </c>
      <c r="J142" s="1" t="s">
        <v>125</v>
      </c>
      <c r="K142" s="1" t="s">
        <v>80</v>
      </c>
      <c r="L142" s="11"/>
      <c r="M142" s="11"/>
      <c r="N142" s="18">
        <f>IF(ISNUMBER(SEARCH("ANALOG",Table246[[#This Row],[Type]]))=TRUE,1,"")</f>
        <v>1</v>
      </c>
      <c r="O142" s="18" t="str">
        <f>IF(ISNUMBER(SEARCH("BINARY",Table246[[#This Row],[Type]]))=TRUE,1,"")</f>
        <v/>
      </c>
      <c r="P142" s="7" t="e">
        <f>IF(Table246[[#This Row],[Type]]="","",LEFT(Table246[[#This Row],[Type]],1)&amp;LEFT(#REF!,1))</f>
        <v>#REF!</v>
      </c>
      <c r="Q142" s="18" t="e">
        <f>IF(Table246[[#This Row],[Type]]="","",LEFT(Table246[[#This Row],[Type]],1)&amp;LEFT(#REF!,1))</f>
        <v>#REF!</v>
      </c>
      <c r="R142" s="18"/>
      <c r="S142" s="7" t="e">
        <f>IF(Table246[[#This Row],[A Counter]]=1,"AI"&amp;#REF!+SUM($N$43:N142),IF(Table246[[#This Row],[B Counter]]=1,"BI"&amp;#REF!+SUM($O$43:O142),""))</f>
        <v>#REF!</v>
      </c>
      <c r="T142" s="18" t="s">
        <v>34</v>
      </c>
      <c r="U142" s="7"/>
    </row>
    <row r="143" spans="1:21" x14ac:dyDescent="0.25">
      <c r="A143">
        <f t="shared" si="5"/>
        <v>134</v>
      </c>
      <c r="B143" s="93" t="str">
        <f>IFERROR(RIGHT(Table246[[#This Row],[Controller Input '#]],3)*1,"")</f>
        <v/>
      </c>
      <c r="C143" s="99"/>
      <c r="D143" s="1"/>
      <c r="E143" s="1" t="s">
        <v>231</v>
      </c>
      <c r="F143" s="1" t="s">
        <v>232</v>
      </c>
      <c r="G143" s="11"/>
      <c r="H143" s="21"/>
      <c r="I143" s="1" t="s">
        <v>70</v>
      </c>
      <c r="J143" s="1" t="s">
        <v>125</v>
      </c>
      <c r="K143" s="1" t="s">
        <v>127</v>
      </c>
      <c r="L143" s="11"/>
      <c r="M143" s="11"/>
      <c r="N143" s="18">
        <f>IF(ISNUMBER(SEARCH("ANALOG",Table246[[#This Row],[Type]]))=TRUE,1,"")</f>
        <v>1</v>
      </c>
      <c r="O143" s="18" t="str">
        <f>IF(ISNUMBER(SEARCH("BINARY",Table246[[#This Row],[Type]]))=TRUE,1,"")</f>
        <v/>
      </c>
      <c r="P143" s="7" t="e">
        <f>IF(Table246[[#This Row],[Type]]="","",LEFT(Table246[[#This Row],[Type]],1)&amp;LEFT(#REF!,1))</f>
        <v>#REF!</v>
      </c>
      <c r="Q143" s="18" t="e">
        <f>IF(Table246[[#This Row],[Type]]="","",LEFT(Table246[[#This Row],[Type]],1)&amp;LEFT(#REF!,1))</f>
        <v>#REF!</v>
      </c>
      <c r="R143" s="18"/>
      <c r="S143" s="7" t="e">
        <f>IF(Table246[[#This Row],[A Counter]]=1,"AI"&amp;#REF!+SUM($N$43:N143),IF(Table246[[#This Row],[B Counter]]=1,"BI"&amp;#REF!+SUM($O$43:O143),""))</f>
        <v>#REF!</v>
      </c>
      <c r="T143" s="18" t="s">
        <v>34</v>
      </c>
      <c r="U143" s="7"/>
    </row>
    <row r="144" spans="1:21" x14ac:dyDescent="0.25">
      <c r="A144">
        <f t="shared" si="5"/>
        <v>135</v>
      </c>
      <c r="B144" s="130" t="str">
        <f>IFERROR(RIGHT(Table246[[#This Row],[Controller Input '#]],3)*1,"")</f>
        <v/>
      </c>
      <c r="C144" s="99"/>
      <c r="D144" s="1"/>
      <c r="E144" s="1" t="s">
        <v>233</v>
      </c>
      <c r="F144" s="1" t="s">
        <v>234</v>
      </c>
      <c r="G144" s="1"/>
      <c r="H144" s="8"/>
      <c r="I144" s="1" t="s">
        <v>70</v>
      </c>
      <c r="J144" s="1" t="s">
        <v>125</v>
      </c>
      <c r="K144" s="1" t="s">
        <v>119</v>
      </c>
      <c r="L144" s="1"/>
      <c r="M144" s="1"/>
      <c r="N144" s="18">
        <f>IF(ISNUMBER(SEARCH("ANALOG",Table246[[#This Row],[Type]]))=TRUE,1,"")</f>
        <v>1</v>
      </c>
      <c r="O144" s="18" t="str">
        <f>IF(ISNUMBER(SEARCH("BINARY",Table246[[#This Row],[Type]]))=TRUE,1,"")</f>
        <v/>
      </c>
      <c r="P144" s="7" t="e">
        <f>IF(Table246[[#This Row],[Type]]="","",LEFT(Table246[[#This Row],[Type]],1)&amp;LEFT(#REF!,1))</f>
        <v>#REF!</v>
      </c>
      <c r="Q144" s="18" t="e">
        <f>IF(Table246[[#This Row],[Type]]="","",LEFT(Table246[[#This Row],[Type]],1)&amp;LEFT(#REF!,1))</f>
        <v>#REF!</v>
      </c>
      <c r="R144" s="18"/>
      <c r="S144" s="7" t="e">
        <f>IF(Table246[[#This Row],[A Counter]]=1,"AI"&amp;#REF!+SUM($N$43:N144),IF(Table246[[#This Row],[B Counter]]=1,"BI"&amp;#REF!+SUM($O$43:O144),""))</f>
        <v>#REF!</v>
      </c>
      <c r="T144" s="18" t="s">
        <v>34</v>
      </c>
      <c r="U144" s="7"/>
    </row>
    <row r="145" spans="1:21" x14ac:dyDescent="0.25">
      <c r="A145">
        <f t="shared" si="5"/>
        <v>136</v>
      </c>
      <c r="B145" s="93" t="str">
        <f>IFERROR(RIGHT(Table246[[#This Row],[Controller Input '#]],3)*1,"")</f>
        <v/>
      </c>
      <c r="C145" s="99"/>
      <c r="D145" s="1"/>
      <c r="E145" s="1" t="s">
        <v>235</v>
      </c>
      <c r="F145" s="1" t="s">
        <v>236</v>
      </c>
      <c r="G145" s="1"/>
      <c r="H145" s="8"/>
      <c r="I145" s="1" t="s">
        <v>103</v>
      </c>
      <c r="J145" s="1" t="s">
        <v>125</v>
      </c>
      <c r="K145" s="1" t="s">
        <v>112</v>
      </c>
      <c r="L145" s="1"/>
      <c r="M145" s="1"/>
      <c r="N145" s="18" t="str">
        <f>IF(ISNUMBER(SEARCH("ANALOG",Table246[[#This Row],[Type]]))=TRUE,1,"")</f>
        <v/>
      </c>
      <c r="O145" s="18">
        <f>IF(ISNUMBER(SEARCH("BINARY",Table246[[#This Row],[Type]]))=TRUE,1,"")</f>
        <v>1</v>
      </c>
      <c r="P145" s="7" t="e">
        <f>IF(Table246[[#This Row],[Type]]="","",LEFT(Table246[[#This Row],[Type]],1)&amp;LEFT(#REF!,1))</f>
        <v>#REF!</v>
      </c>
      <c r="Q145" s="18" t="e">
        <f>IF(Table246[[#This Row],[Type]]="","",LEFT(Table246[[#This Row],[Type]],1)&amp;LEFT(#REF!,1))</f>
        <v>#REF!</v>
      </c>
      <c r="R145" s="18"/>
      <c r="S145" s="7" t="e">
        <f>IF(Table246[[#This Row],[A Counter]]=1,"AI"&amp;#REF!+SUM($N$43:N145),IF(Table246[[#This Row],[B Counter]]=1,"BI"&amp;#REF!+SUM($O$43:O145),""))</f>
        <v>#REF!</v>
      </c>
      <c r="T145" s="18" t="s">
        <v>34</v>
      </c>
      <c r="U145" s="7"/>
    </row>
    <row r="146" spans="1:21" x14ac:dyDescent="0.25">
      <c r="A146">
        <f t="shared" si="5"/>
        <v>137</v>
      </c>
      <c r="B146" s="130" t="str">
        <f>IFERROR(RIGHT(Table246[[#This Row],[Controller Input '#]],3)*1,"")</f>
        <v/>
      </c>
      <c r="C146" s="99"/>
      <c r="D146" s="1"/>
      <c r="E146" s="1"/>
      <c r="F146" s="1"/>
      <c r="G146" s="1"/>
      <c r="H146" s="8"/>
      <c r="I146" s="1"/>
      <c r="J146" s="1"/>
      <c r="K146" s="1"/>
      <c r="L146" s="1"/>
      <c r="M146" s="1"/>
      <c r="N146" s="1"/>
      <c r="O146" s="1"/>
      <c r="Q146" s="1"/>
      <c r="R146" s="1"/>
      <c r="S146" s="7"/>
      <c r="T146" s="1"/>
    </row>
    <row r="147" spans="1:21" x14ac:dyDescent="0.25">
      <c r="A147">
        <f t="shared" si="5"/>
        <v>138</v>
      </c>
      <c r="B147" s="93" t="str">
        <f>IFERROR(RIGHT(Table246[[#This Row],[Controller Input '#]],3)*1,"")</f>
        <v/>
      </c>
      <c r="C147" s="99"/>
      <c r="D147" s="1"/>
      <c r="E147" s="11" t="s">
        <v>239</v>
      </c>
      <c r="F147" s="11" t="s">
        <v>240</v>
      </c>
      <c r="G147" s="11"/>
      <c r="H147" s="21"/>
      <c r="I147" s="11" t="s">
        <v>70</v>
      </c>
      <c r="J147" s="11" t="s">
        <v>125</v>
      </c>
      <c r="K147" s="11" t="s">
        <v>80</v>
      </c>
      <c r="L147" s="11"/>
      <c r="M147" s="11"/>
      <c r="N147" s="18">
        <f>IF(ISNUMBER(SEARCH("ANALOG",Table246[[#This Row],[Type]]))=TRUE,1,"")</f>
        <v>1</v>
      </c>
      <c r="O147" s="18" t="str">
        <f>IF(ISNUMBER(SEARCH("BINARY",Table246[[#This Row],[Type]]))=TRUE,1,"")</f>
        <v/>
      </c>
      <c r="P147" s="7" t="e">
        <f>IF(Table246[[#This Row],[Type]]="","",LEFT(Table246[[#This Row],[Type]],1)&amp;LEFT(#REF!,1))</f>
        <v>#REF!</v>
      </c>
      <c r="Q147" s="18" t="e">
        <f>IF(Table246[[#This Row],[Type]]="","",LEFT(Table246[[#This Row],[Type]],1)&amp;LEFT(#REF!,1))</f>
        <v>#REF!</v>
      </c>
      <c r="R147" s="18"/>
      <c r="S147" s="7" t="e">
        <f>IF(Table246[[#This Row],[A Counter]]=1,"AI"&amp;#REF!+SUM($N$43:N147),IF(Table246[[#This Row],[B Counter]]=1,"BI"&amp;#REF!+SUM($O$43:O147),""))</f>
        <v>#REF!</v>
      </c>
      <c r="T147" s="26" t="s">
        <v>34</v>
      </c>
      <c r="U147" s="7"/>
    </row>
    <row r="148" spans="1:21" x14ac:dyDescent="0.25">
      <c r="A148">
        <f t="shared" si="5"/>
        <v>139</v>
      </c>
      <c r="B148" s="130" t="str">
        <f>IFERROR(RIGHT(Table246[[#This Row],[Controller Input '#]],3)*1,"")</f>
        <v/>
      </c>
      <c r="C148" s="99"/>
      <c r="D148" s="1"/>
      <c r="E148" s="11" t="s">
        <v>241</v>
      </c>
      <c r="F148" s="11" t="s">
        <v>242</v>
      </c>
      <c r="G148" s="11"/>
      <c r="H148" s="21"/>
      <c r="I148" s="11" t="s">
        <v>70</v>
      </c>
      <c r="J148" s="11" t="s">
        <v>125</v>
      </c>
      <c r="K148" s="11" t="s">
        <v>127</v>
      </c>
      <c r="L148" s="11"/>
      <c r="M148" s="11"/>
      <c r="N148" s="18">
        <f>IF(ISNUMBER(SEARCH("ANALOG",Table246[[#This Row],[Type]]))=TRUE,1,"")</f>
        <v>1</v>
      </c>
      <c r="O148" s="18" t="str">
        <f>IF(ISNUMBER(SEARCH("BINARY",Table246[[#This Row],[Type]]))=TRUE,1,"")</f>
        <v/>
      </c>
      <c r="P148" s="7" t="e">
        <f>IF(Table246[[#This Row],[Type]]="","",LEFT(Table246[[#This Row],[Type]],1)&amp;LEFT(#REF!,1))</f>
        <v>#REF!</v>
      </c>
      <c r="Q148" s="18" t="e">
        <f>IF(Table246[[#This Row],[Type]]="","",LEFT(Table246[[#This Row],[Type]],1)&amp;LEFT(#REF!,1))</f>
        <v>#REF!</v>
      </c>
      <c r="R148" s="18"/>
      <c r="S148" s="7" t="e">
        <f>IF(Table246[[#This Row],[A Counter]]=1,"AI"&amp;#REF!+SUM($N$43:N148),IF(Table246[[#This Row],[B Counter]]=1,"BI"&amp;#REF!+SUM($O$43:O148),""))</f>
        <v>#REF!</v>
      </c>
      <c r="T148" s="26" t="s">
        <v>34</v>
      </c>
      <c r="U148" s="7"/>
    </row>
    <row r="149" spans="1:21" x14ac:dyDescent="0.25">
      <c r="A149">
        <f t="shared" si="5"/>
        <v>140</v>
      </c>
      <c r="B149" s="93" t="str">
        <f>IFERROR(RIGHT(Table246[[#This Row],[Controller Input '#]],3)*1,"")</f>
        <v/>
      </c>
      <c r="C149" s="99"/>
      <c r="D149" s="1"/>
      <c r="E149" s="23" t="s">
        <v>243</v>
      </c>
      <c r="F149" s="23" t="s">
        <v>244</v>
      </c>
      <c r="G149" s="23"/>
      <c r="H149" s="27"/>
      <c r="I149" s="23" t="s">
        <v>70</v>
      </c>
      <c r="J149" s="23" t="s">
        <v>125</v>
      </c>
      <c r="K149" s="23" t="s">
        <v>119</v>
      </c>
      <c r="L149" s="23"/>
      <c r="M149" s="23"/>
      <c r="N149" s="18">
        <f>IF(ISNUMBER(SEARCH("ANALOG",Table246[[#This Row],[Type]]))=TRUE,1,"")</f>
        <v>1</v>
      </c>
      <c r="O149" s="18" t="str">
        <f>IF(ISNUMBER(SEARCH("BINARY",Table246[[#This Row],[Type]]))=TRUE,1,"")</f>
        <v/>
      </c>
      <c r="P149" s="7" t="e">
        <f>IF(Table246[[#This Row],[Type]]="","",LEFT(Table246[[#This Row],[Type]],1)&amp;LEFT(#REF!,1))</f>
        <v>#REF!</v>
      </c>
      <c r="Q149" s="18" t="e">
        <f>IF(Table246[[#This Row],[Type]]="","",LEFT(Table246[[#This Row],[Type]],1)&amp;LEFT(#REF!,1))</f>
        <v>#REF!</v>
      </c>
      <c r="R149" s="18"/>
      <c r="S149" s="7" t="e">
        <f>IF(Table246[[#This Row],[A Counter]]=1,"AI"&amp;#REF!+SUM($N$43:N149),IF(Table246[[#This Row],[B Counter]]=1,"BI"&amp;#REF!+SUM($O$43:O149),""))</f>
        <v>#REF!</v>
      </c>
      <c r="T149" s="28" t="s">
        <v>34</v>
      </c>
      <c r="U149" s="7"/>
    </row>
    <row r="150" spans="1:21" x14ac:dyDescent="0.25">
      <c r="A150">
        <f t="shared" si="5"/>
        <v>141</v>
      </c>
      <c r="B150" s="130" t="str">
        <f>IFERROR(RIGHT(Table246[[#This Row],[Controller Input '#]],3)*1,"")</f>
        <v/>
      </c>
      <c r="C150" s="99"/>
      <c r="D150" s="1"/>
      <c r="E150" s="11" t="s">
        <v>245</v>
      </c>
      <c r="F150" s="11" t="s">
        <v>246</v>
      </c>
      <c r="G150" s="11"/>
      <c r="H150" s="21"/>
      <c r="I150" s="11" t="s">
        <v>103</v>
      </c>
      <c r="J150" s="11" t="s">
        <v>125</v>
      </c>
      <c r="K150" s="11" t="s">
        <v>112</v>
      </c>
      <c r="L150" s="11"/>
      <c r="M150" s="11"/>
      <c r="N150" s="18" t="str">
        <f>IF(ISNUMBER(SEARCH("ANALOG",Table246[[#This Row],[Type]]))=TRUE,1,"")</f>
        <v/>
      </c>
      <c r="O150" s="18">
        <f>IF(ISNUMBER(SEARCH("BINARY",Table246[[#This Row],[Type]]))=TRUE,1,"")</f>
        <v>1</v>
      </c>
      <c r="P150" s="7" t="e">
        <f>IF(Table246[[#This Row],[Type]]="","",LEFT(Table246[[#This Row],[Type]],1)&amp;LEFT(#REF!,1))</f>
        <v>#REF!</v>
      </c>
      <c r="Q150" s="18" t="e">
        <f>IF(Table246[[#This Row],[Type]]="","",LEFT(Table246[[#This Row],[Type]],1)&amp;LEFT(#REF!,1))</f>
        <v>#REF!</v>
      </c>
      <c r="R150" s="18"/>
      <c r="S150" s="7" t="e">
        <f>IF(Table246[[#This Row],[A Counter]]=1,"AI"&amp;#REF!+SUM($N$43:N150),IF(Table246[[#This Row],[B Counter]]=1,"BI"&amp;#REF!+SUM($O$43:O150),""))</f>
        <v>#REF!</v>
      </c>
      <c r="T150" s="26" t="s">
        <v>34</v>
      </c>
      <c r="U150" s="7"/>
    </row>
    <row r="151" spans="1:21" x14ac:dyDescent="0.25">
      <c r="A151">
        <f t="shared" si="5"/>
        <v>142</v>
      </c>
      <c r="B151" s="93" t="str">
        <f>IFERROR(RIGHT(Table246[[#This Row],[Controller Input '#]],3)*1,"")</f>
        <v/>
      </c>
      <c r="C151" s="99"/>
      <c r="D151" s="1"/>
      <c r="E151" s="1"/>
      <c r="F151" s="1"/>
      <c r="G151" s="1"/>
      <c r="H151" s="8"/>
      <c r="I151" s="1"/>
      <c r="J151" s="1"/>
      <c r="K151" s="1"/>
      <c r="L151" s="1"/>
      <c r="M151" s="1"/>
      <c r="N151" s="1"/>
      <c r="O151" s="1"/>
      <c r="Q151" s="1"/>
      <c r="R151" s="1"/>
      <c r="S151" s="7"/>
      <c r="T151" s="1"/>
    </row>
    <row r="152" spans="1:21" x14ac:dyDescent="0.25">
      <c r="A152">
        <f t="shared" si="5"/>
        <v>143</v>
      </c>
      <c r="B152" s="130" t="str">
        <f>IFERROR(RIGHT(Table246[[#This Row],[Controller Input '#]],3)*1,"")</f>
        <v/>
      </c>
      <c r="C152" s="99"/>
      <c r="D152" s="1"/>
      <c r="E152" s="11" t="s">
        <v>249</v>
      </c>
      <c r="F152" s="11" t="s">
        <v>250</v>
      </c>
      <c r="G152" s="11"/>
      <c r="H152" s="21"/>
      <c r="I152" s="11" t="s">
        <v>70</v>
      </c>
      <c r="J152" s="11" t="s">
        <v>125</v>
      </c>
      <c r="K152" s="11" t="s">
        <v>80</v>
      </c>
      <c r="L152" s="11"/>
      <c r="M152" s="11"/>
      <c r="N152" s="18">
        <f>IF(ISNUMBER(SEARCH("ANALOG",Table246[[#This Row],[Type]]))=TRUE,1,"")</f>
        <v>1</v>
      </c>
      <c r="O152" s="18" t="str">
        <f>IF(ISNUMBER(SEARCH("BINARY",Table246[[#This Row],[Type]]))=TRUE,1,"")</f>
        <v/>
      </c>
      <c r="P152" s="7" t="e">
        <f>IF(Table246[[#This Row],[Type]]="","",LEFT(Table246[[#This Row],[Type]],1)&amp;LEFT(#REF!,1))</f>
        <v>#REF!</v>
      </c>
      <c r="Q152" s="18" t="e">
        <f>IF(Table246[[#This Row],[Type]]="","",LEFT(Table246[[#This Row],[Type]],1)&amp;LEFT(#REF!,1))</f>
        <v>#REF!</v>
      </c>
      <c r="R152" s="18"/>
      <c r="S152" s="7" t="e">
        <f>IF(Table246[[#This Row],[A Counter]]=1,"AI"&amp;#REF!+SUM($N$43:N152),IF(Table246[[#This Row],[B Counter]]=1,"BI"&amp;#REF!+SUM($O$43:O152),""))</f>
        <v>#REF!</v>
      </c>
      <c r="T152" s="26" t="s">
        <v>34</v>
      </c>
      <c r="U152" s="7"/>
    </row>
    <row r="153" spans="1:21" x14ac:dyDescent="0.25">
      <c r="A153">
        <f t="shared" si="5"/>
        <v>144</v>
      </c>
      <c r="B153" s="93" t="str">
        <f>IFERROR(RIGHT(Table246[[#This Row],[Controller Input '#]],3)*1,"")</f>
        <v/>
      </c>
      <c r="C153" s="99"/>
      <c r="D153" s="1"/>
      <c r="E153" s="11" t="s">
        <v>251</v>
      </c>
      <c r="F153" s="11" t="s">
        <v>252</v>
      </c>
      <c r="G153" s="11"/>
      <c r="H153" s="21"/>
      <c r="I153" s="11" t="s">
        <v>70</v>
      </c>
      <c r="J153" s="11" t="s">
        <v>125</v>
      </c>
      <c r="K153" s="11" t="s">
        <v>127</v>
      </c>
      <c r="L153" s="11"/>
      <c r="M153" s="11"/>
      <c r="N153" s="18">
        <f>IF(ISNUMBER(SEARCH("ANALOG",Table246[[#This Row],[Type]]))=TRUE,1,"")</f>
        <v>1</v>
      </c>
      <c r="O153" s="18" t="str">
        <f>IF(ISNUMBER(SEARCH("BINARY",Table246[[#This Row],[Type]]))=TRUE,1,"")</f>
        <v/>
      </c>
      <c r="P153" s="7" t="e">
        <f>IF(Table246[[#This Row],[Type]]="","",LEFT(Table246[[#This Row],[Type]],1)&amp;LEFT(#REF!,1))</f>
        <v>#REF!</v>
      </c>
      <c r="Q153" s="18" t="e">
        <f>IF(Table246[[#This Row],[Type]]="","",LEFT(Table246[[#This Row],[Type]],1)&amp;LEFT(#REF!,1))</f>
        <v>#REF!</v>
      </c>
      <c r="R153" s="18"/>
      <c r="S153" s="7" t="e">
        <f>IF(Table246[[#This Row],[A Counter]]=1,"AI"&amp;#REF!+SUM($N$43:N153),IF(Table246[[#This Row],[B Counter]]=1,"BI"&amp;#REF!+SUM($O$43:O153),""))</f>
        <v>#REF!</v>
      </c>
      <c r="T153" s="26" t="s">
        <v>34</v>
      </c>
      <c r="U153" s="7"/>
    </row>
    <row r="154" spans="1:21" x14ac:dyDescent="0.25">
      <c r="A154">
        <f t="shared" si="5"/>
        <v>145</v>
      </c>
      <c r="B154" s="130" t="str">
        <f>IFERROR(RIGHT(Table246[[#This Row],[Controller Input '#]],3)*1,"")</f>
        <v/>
      </c>
      <c r="C154" s="99"/>
      <c r="D154" s="1"/>
      <c r="E154" s="23" t="s">
        <v>253</v>
      </c>
      <c r="F154" s="23" t="s">
        <v>254</v>
      </c>
      <c r="G154" s="23"/>
      <c r="H154" s="27"/>
      <c r="I154" s="23" t="s">
        <v>70</v>
      </c>
      <c r="J154" s="23" t="s">
        <v>125</v>
      </c>
      <c r="K154" s="23" t="s">
        <v>119</v>
      </c>
      <c r="L154" s="23"/>
      <c r="M154" s="23"/>
      <c r="N154" s="18">
        <f>IF(ISNUMBER(SEARCH("ANALOG",Table246[[#This Row],[Type]]))=TRUE,1,"")</f>
        <v>1</v>
      </c>
      <c r="O154" s="18" t="str">
        <f>IF(ISNUMBER(SEARCH("BINARY",Table246[[#This Row],[Type]]))=TRUE,1,"")</f>
        <v/>
      </c>
      <c r="P154" s="7" t="e">
        <f>IF(Table246[[#This Row],[Type]]="","",LEFT(Table246[[#This Row],[Type]],1)&amp;LEFT(#REF!,1))</f>
        <v>#REF!</v>
      </c>
      <c r="Q154" s="18" t="e">
        <f>IF(Table246[[#This Row],[Type]]="","",LEFT(Table246[[#This Row],[Type]],1)&amp;LEFT(#REF!,1))</f>
        <v>#REF!</v>
      </c>
      <c r="R154" s="18"/>
      <c r="S154" s="7" t="e">
        <f>IF(Table246[[#This Row],[A Counter]]=1,"AI"&amp;#REF!+SUM($N$43:N154),IF(Table246[[#This Row],[B Counter]]=1,"BI"&amp;#REF!+SUM($O$43:O154),""))</f>
        <v>#REF!</v>
      </c>
      <c r="T154" s="28" t="s">
        <v>34</v>
      </c>
      <c r="U154" s="7"/>
    </row>
    <row r="155" spans="1:21" x14ac:dyDescent="0.25">
      <c r="A155">
        <f t="shared" si="5"/>
        <v>146</v>
      </c>
      <c r="B155" s="93" t="str">
        <f>IFERROR(RIGHT(Table246[[#This Row],[Controller Input '#]],3)*1,"")</f>
        <v/>
      </c>
      <c r="C155" s="99"/>
      <c r="D155" s="1"/>
      <c r="E155" s="11" t="s">
        <v>255</v>
      </c>
      <c r="F155" s="11" t="s">
        <v>256</v>
      </c>
      <c r="G155" s="11"/>
      <c r="H155" s="21"/>
      <c r="I155" s="11" t="s">
        <v>103</v>
      </c>
      <c r="J155" s="11" t="s">
        <v>125</v>
      </c>
      <c r="K155" s="11" t="s">
        <v>112</v>
      </c>
      <c r="L155" s="11"/>
      <c r="M155" s="11"/>
      <c r="N155" s="18" t="str">
        <f>IF(ISNUMBER(SEARCH("ANALOG",Table246[[#This Row],[Type]]))=TRUE,1,"")</f>
        <v/>
      </c>
      <c r="O155" s="18">
        <f>IF(ISNUMBER(SEARCH("BINARY",Table246[[#This Row],[Type]]))=TRUE,1,"")</f>
        <v>1</v>
      </c>
      <c r="P155" s="7" t="e">
        <f>IF(Table246[[#This Row],[Type]]="","",LEFT(Table246[[#This Row],[Type]],1)&amp;LEFT(#REF!,1))</f>
        <v>#REF!</v>
      </c>
      <c r="Q155" s="18" t="e">
        <f>IF(Table246[[#This Row],[Type]]="","",LEFT(Table246[[#This Row],[Type]],1)&amp;LEFT(#REF!,1))</f>
        <v>#REF!</v>
      </c>
      <c r="R155" s="18"/>
      <c r="S155" s="7" t="e">
        <f>IF(Table246[[#This Row],[A Counter]]=1,"AI"&amp;#REF!+SUM($N$43:N155),IF(Table246[[#This Row],[B Counter]]=1,"BI"&amp;#REF!+SUM($O$43:O155),""))</f>
        <v>#REF!</v>
      </c>
      <c r="T155" s="26" t="s">
        <v>34</v>
      </c>
      <c r="U155" s="7"/>
    </row>
    <row r="156" spans="1:21" x14ac:dyDescent="0.25">
      <c r="A156">
        <f t="shared" si="5"/>
        <v>147</v>
      </c>
      <c r="B156" s="130" t="str">
        <f>IFERROR(RIGHT(Table246[[#This Row],[Controller Input '#]],3)*1,"")</f>
        <v/>
      </c>
      <c r="C156" s="99"/>
      <c r="D156" s="1"/>
      <c r="E156" s="1"/>
      <c r="F156" s="1"/>
      <c r="G156" s="1"/>
      <c r="H156" s="8"/>
      <c r="I156" s="1"/>
      <c r="J156" s="1"/>
      <c r="K156" s="1"/>
      <c r="L156" s="1"/>
      <c r="M156" s="1"/>
      <c r="N156" s="1"/>
      <c r="O156" s="1"/>
      <c r="Q156" s="1"/>
      <c r="R156" s="1"/>
      <c r="S156" s="7"/>
      <c r="T156" s="1"/>
    </row>
    <row r="157" spans="1:21" x14ac:dyDescent="0.25">
      <c r="A157">
        <f t="shared" si="5"/>
        <v>148</v>
      </c>
      <c r="B157" s="93" t="str">
        <f>IFERROR(RIGHT(Table246[[#This Row],[Controller Input '#]],3)*1,"")</f>
        <v/>
      </c>
      <c r="C157" s="99"/>
      <c r="D157" s="1"/>
      <c r="E157" s="11" t="s">
        <v>259</v>
      </c>
      <c r="F157" s="11" t="s">
        <v>260</v>
      </c>
      <c r="G157" s="11"/>
      <c r="H157" s="21"/>
      <c r="I157" s="11" t="s">
        <v>103</v>
      </c>
      <c r="J157" s="11" t="s">
        <v>125</v>
      </c>
      <c r="K157" s="11" t="s">
        <v>112</v>
      </c>
      <c r="L157" s="11"/>
      <c r="M157" s="11"/>
      <c r="N157" s="18" t="str">
        <f>IF(ISNUMBER(SEARCH("ANALOG",Table246[[#This Row],[Type]]))=TRUE,1,"")</f>
        <v/>
      </c>
      <c r="O157" s="18">
        <f>IF(ISNUMBER(SEARCH("BINARY",Table246[[#This Row],[Type]]))=TRUE,1,"")</f>
        <v>1</v>
      </c>
      <c r="P157" s="7" t="e">
        <f>IF(Table246[[#This Row],[Type]]="","",LEFT(Table246[[#This Row],[Type]],1)&amp;LEFT(#REF!,1))</f>
        <v>#REF!</v>
      </c>
      <c r="Q157" s="18" t="e">
        <f>IF(Table246[[#This Row],[Type]]="","",LEFT(Table246[[#This Row],[Type]],1)&amp;LEFT(#REF!,1))</f>
        <v>#REF!</v>
      </c>
      <c r="R157" s="18"/>
      <c r="S157" s="7" t="e">
        <f>IF(Table246[[#This Row],[A Counter]]=1,"AI"&amp;#REF!+SUM($N$43:N157),IF(Table246[[#This Row],[B Counter]]=1,"BI"&amp;#REF!+SUM($O$43:O157),""))</f>
        <v>#REF!</v>
      </c>
      <c r="T157" s="26" t="s">
        <v>34</v>
      </c>
      <c r="U157" s="7"/>
    </row>
    <row r="158" spans="1:21" x14ac:dyDescent="0.25">
      <c r="A158">
        <f t="shared" si="5"/>
        <v>149</v>
      </c>
      <c r="B158" s="130" t="str">
        <f>IFERROR(RIGHT(Table246[[#This Row],[Controller Input '#]],3)*1,"")</f>
        <v/>
      </c>
      <c r="C158" s="99"/>
      <c r="D158" s="1"/>
      <c r="E158" s="11" t="s">
        <v>261</v>
      </c>
      <c r="F158" s="11" t="s">
        <v>262</v>
      </c>
      <c r="G158" s="11"/>
      <c r="H158" s="21"/>
      <c r="I158" s="11" t="s">
        <v>70</v>
      </c>
      <c r="J158" s="11" t="s">
        <v>125</v>
      </c>
      <c r="K158" s="11" t="s">
        <v>80</v>
      </c>
      <c r="L158" s="11"/>
      <c r="M158" s="11"/>
      <c r="N158" s="18">
        <f>IF(ISNUMBER(SEARCH("ANALOG",Table246[[#This Row],[Type]]))=TRUE,1,"")</f>
        <v>1</v>
      </c>
      <c r="O158" s="18" t="str">
        <f>IF(ISNUMBER(SEARCH("BINARY",Table246[[#This Row],[Type]]))=TRUE,1,"")</f>
        <v/>
      </c>
      <c r="P158" s="7" t="e">
        <f>IF(Table246[[#This Row],[Type]]="","",LEFT(Table246[[#This Row],[Type]],1)&amp;LEFT(#REF!,1))</f>
        <v>#REF!</v>
      </c>
      <c r="Q158" s="18" t="e">
        <f>IF(Table246[[#This Row],[Type]]="","",LEFT(Table246[[#This Row],[Type]],1)&amp;LEFT(#REF!,1))</f>
        <v>#REF!</v>
      </c>
      <c r="R158" s="18"/>
      <c r="S158" s="7" t="e">
        <f>IF(Table246[[#This Row],[A Counter]]=1,"AI"&amp;#REF!+SUM($N$43:N158),IF(Table246[[#This Row],[B Counter]]=1,"BI"&amp;#REF!+SUM($O$43:O158),""))</f>
        <v>#REF!</v>
      </c>
      <c r="T158" s="26" t="s">
        <v>34</v>
      </c>
      <c r="U158" s="7"/>
    </row>
    <row r="159" spans="1:21" x14ac:dyDescent="0.25">
      <c r="A159">
        <f t="shared" si="5"/>
        <v>150</v>
      </c>
      <c r="B159" s="93" t="str">
        <f>IFERROR(RIGHT(Table246[[#This Row],[Controller Input '#]],3)*1,"")</f>
        <v/>
      </c>
      <c r="C159" s="99"/>
      <c r="D159" s="1"/>
      <c r="E159" s="23" t="s">
        <v>263</v>
      </c>
      <c r="F159" s="23" t="s">
        <v>264</v>
      </c>
      <c r="G159" s="23"/>
      <c r="H159" s="27"/>
      <c r="I159" s="23" t="s">
        <v>70</v>
      </c>
      <c r="J159" s="23" t="s">
        <v>125</v>
      </c>
      <c r="K159" s="23" t="s">
        <v>127</v>
      </c>
      <c r="L159" s="23"/>
      <c r="M159" s="23"/>
      <c r="N159" s="18">
        <f>IF(ISNUMBER(SEARCH("ANALOG",Table246[[#This Row],[Type]]))=TRUE,1,"")</f>
        <v>1</v>
      </c>
      <c r="O159" s="18" t="str">
        <f>IF(ISNUMBER(SEARCH("BINARY",Table246[[#This Row],[Type]]))=TRUE,1,"")</f>
        <v/>
      </c>
      <c r="P159" s="7" t="e">
        <f>IF(Table246[[#This Row],[Type]]="","",LEFT(Table246[[#This Row],[Type]],1)&amp;LEFT(#REF!,1))</f>
        <v>#REF!</v>
      </c>
      <c r="Q159" s="18" t="e">
        <f>IF(Table246[[#This Row],[Type]]="","",LEFT(Table246[[#This Row],[Type]],1)&amp;LEFT(#REF!,1))</f>
        <v>#REF!</v>
      </c>
      <c r="R159" s="18"/>
      <c r="S159" s="7" t="e">
        <f>IF(Table246[[#This Row],[A Counter]]=1,"AI"&amp;#REF!+SUM($N$43:N159),IF(Table246[[#This Row],[B Counter]]=1,"BI"&amp;#REF!+SUM($O$43:O159),""))</f>
        <v>#REF!</v>
      </c>
      <c r="T159" s="28" t="s">
        <v>34</v>
      </c>
      <c r="U159" s="7"/>
    </row>
    <row r="160" spans="1:21" x14ac:dyDescent="0.25">
      <c r="A160">
        <f t="shared" si="5"/>
        <v>151</v>
      </c>
      <c r="B160" s="130" t="str">
        <f>IFERROR(RIGHT(Table246[[#This Row],[Controller Input '#]],3)*1,"")</f>
        <v/>
      </c>
      <c r="C160" s="99"/>
      <c r="D160" s="1"/>
      <c r="E160" s="11" t="s">
        <v>265</v>
      </c>
      <c r="F160" s="11" t="s">
        <v>266</v>
      </c>
      <c r="G160" s="11"/>
      <c r="H160" s="21"/>
      <c r="I160" s="11" t="s">
        <v>70</v>
      </c>
      <c r="J160" s="11" t="s">
        <v>125</v>
      </c>
      <c r="K160" s="11" t="s">
        <v>119</v>
      </c>
      <c r="L160" s="11"/>
      <c r="M160" s="11"/>
      <c r="N160" s="18">
        <f>IF(ISNUMBER(SEARCH("ANALOG",Table246[[#This Row],[Type]]))=TRUE,1,"")</f>
        <v>1</v>
      </c>
      <c r="O160" s="18" t="str">
        <f>IF(ISNUMBER(SEARCH("BINARY",Table246[[#This Row],[Type]]))=TRUE,1,"")</f>
        <v/>
      </c>
      <c r="P160" s="7" t="e">
        <f>IF(Table246[[#This Row],[Type]]="","",LEFT(Table246[[#This Row],[Type]],1)&amp;LEFT(#REF!,1))</f>
        <v>#REF!</v>
      </c>
      <c r="Q160" s="18" t="e">
        <f>IF(Table246[[#This Row],[Type]]="","",LEFT(Table246[[#This Row],[Type]],1)&amp;LEFT(#REF!,1))</f>
        <v>#REF!</v>
      </c>
      <c r="R160" s="18"/>
      <c r="S160" s="7" t="e">
        <f>IF(Table246[[#This Row],[A Counter]]=1,"AI"&amp;#REF!+SUM($N$43:N160),IF(Table246[[#This Row],[B Counter]]=1,"BI"&amp;#REF!+SUM($O$43:O160),""))</f>
        <v>#REF!</v>
      </c>
      <c r="T160" s="26" t="s">
        <v>34</v>
      </c>
      <c r="U160" s="7"/>
    </row>
    <row r="161" spans="1:21" x14ac:dyDescent="0.25">
      <c r="A161">
        <f t="shared" si="5"/>
        <v>152</v>
      </c>
      <c r="B161" s="93" t="str">
        <f>IFERROR(RIGHT(Table246[[#This Row],[Controller Input '#]],3)*1,"")</f>
        <v/>
      </c>
      <c r="C161" s="99"/>
      <c r="D161" s="1"/>
      <c r="E161" s="1"/>
      <c r="F161" s="1"/>
      <c r="G161" s="1"/>
      <c r="H161" s="8"/>
      <c r="I161" s="1"/>
      <c r="J161" s="1"/>
      <c r="K161" s="1"/>
      <c r="L161" s="1"/>
      <c r="M161" s="1"/>
      <c r="N161" s="1"/>
      <c r="O161" s="1"/>
      <c r="Q161" s="1"/>
      <c r="R161" s="1"/>
      <c r="S161" s="7"/>
      <c r="T161" s="1"/>
    </row>
    <row r="162" spans="1:21" x14ac:dyDescent="0.25">
      <c r="A162">
        <f t="shared" si="5"/>
        <v>153</v>
      </c>
      <c r="B162" s="130" t="str">
        <f>IFERROR(RIGHT(Table246[[#This Row],[Controller Input '#]],3)*1,"")</f>
        <v/>
      </c>
      <c r="C162" s="98"/>
      <c r="D162" s="1"/>
      <c r="E162" s="1" t="s">
        <v>269</v>
      </c>
      <c r="F162" s="1" t="s">
        <v>270</v>
      </c>
      <c r="G162" s="1"/>
      <c r="H162" s="8"/>
      <c r="I162" s="1" t="s">
        <v>103</v>
      </c>
      <c r="J162" s="1" t="s">
        <v>125</v>
      </c>
      <c r="K162" s="1" t="s">
        <v>112</v>
      </c>
      <c r="L162" s="1"/>
      <c r="M162" s="1"/>
      <c r="N162" s="18" t="str">
        <f>IF(ISNUMBER(SEARCH("ANALOG",Table246[[#This Row],[Type]]))=TRUE,1,"")</f>
        <v/>
      </c>
      <c r="O162" s="18">
        <f>IF(ISNUMBER(SEARCH("BINARY",Table246[[#This Row],[Type]]))=TRUE,1,"")</f>
        <v>1</v>
      </c>
      <c r="P162" s="7" t="e">
        <f>IF(Table246[[#This Row],[Type]]="","",LEFT(Table246[[#This Row],[Type]],1)&amp;LEFT(#REF!,1))</f>
        <v>#REF!</v>
      </c>
      <c r="Q162" s="18" t="e">
        <f>IF(Table246[[#This Row],[Type]]="","",LEFT(Table246[[#This Row],[Type]],1)&amp;LEFT(#REF!,1))</f>
        <v>#REF!</v>
      </c>
      <c r="R162" s="18"/>
      <c r="S162" s="7" t="e">
        <f>IF(Table246[[#This Row],[A Counter]]=1,"AI"&amp;#REF!+SUM($N$43:N162),IF(Table246[[#This Row],[B Counter]]=1,"BI"&amp;#REF!+SUM($O$43:O162),""))</f>
        <v>#REF!</v>
      </c>
      <c r="T162" s="18" t="s">
        <v>34</v>
      </c>
      <c r="U162" s="7"/>
    </row>
    <row r="163" spans="1:21" x14ac:dyDescent="0.25">
      <c r="A163">
        <f t="shared" ref="A163:A226" si="6">A162+1</f>
        <v>154</v>
      </c>
      <c r="B163" s="93" t="str">
        <f>IFERROR(RIGHT(Table246[[#This Row],[Controller Input '#]],3)*1,"")</f>
        <v/>
      </c>
      <c r="C163" s="98"/>
      <c r="D163" s="1"/>
      <c r="E163" s="1" t="s">
        <v>271</v>
      </c>
      <c r="F163" s="1" t="s">
        <v>272</v>
      </c>
      <c r="G163" s="1"/>
      <c r="H163" s="8"/>
      <c r="I163" s="1" t="s">
        <v>70</v>
      </c>
      <c r="J163" s="1" t="s">
        <v>125</v>
      </c>
      <c r="K163" s="1" t="s">
        <v>80</v>
      </c>
      <c r="L163" s="1"/>
      <c r="M163" s="1"/>
      <c r="N163" s="18">
        <f>IF(ISNUMBER(SEARCH("ANALOG",Table246[[#This Row],[Type]]))=TRUE,1,"")</f>
        <v>1</v>
      </c>
      <c r="O163" s="18" t="str">
        <f>IF(ISNUMBER(SEARCH("BINARY",Table246[[#This Row],[Type]]))=TRUE,1,"")</f>
        <v/>
      </c>
      <c r="P163" s="7" t="e">
        <f>IF(Table246[[#This Row],[Type]]="","",LEFT(Table246[[#This Row],[Type]],1)&amp;LEFT(#REF!,1))</f>
        <v>#REF!</v>
      </c>
      <c r="Q163" s="18" t="e">
        <f>IF(Table246[[#This Row],[Type]]="","",LEFT(Table246[[#This Row],[Type]],1)&amp;LEFT(#REF!,1))</f>
        <v>#REF!</v>
      </c>
      <c r="R163" s="18"/>
      <c r="S163" s="7" t="e">
        <f>IF(Table246[[#This Row],[A Counter]]=1,"AI"&amp;#REF!+SUM($N$43:N163),IF(Table246[[#This Row],[B Counter]]=1,"BI"&amp;#REF!+SUM($O$43:O163),""))</f>
        <v>#REF!</v>
      </c>
      <c r="T163" s="18" t="s">
        <v>34</v>
      </c>
      <c r="U163" s="7"/>
    </row>
    <row r="164" spans="1:21" x14ac:dyDescent="0.25">
      <c r="A164">
        <f t="shared" si="6"/>
        <v>155</v>
      </c>
      <c r="B164" s="130" t="str">
        <f>IFERROR(RIGHT(Table246[[#This Row],[Controller Input '#]],3)*1,"")</f>
        <v/>
      </c>
      <c r="C164" s="100"/>
      <c r="D164" s="1"/>
      <c r="E164" s="1" t="s">
        <v>273</v>
      </c>
      <c r="F164" s="1" t="s">
        <v>274</v>
      </c>
      <c r="G164" s="11"/>
      <c r="H164" s="21"/>
      <c r="I164" s="1" t="s">
        <v>70</v>
      </c>
      <c r="J164" s="1" t="s">
        <v>125</v>
      </c>
      <c r="K164" s="1" t="s">
        <v>127</v>
      </c>
      <c r="L164" s="1"/>
      <c r="M164" s="1"/>
      <c r="N164" s="18">
        <f>IF(ISNUMBER(SEARCH("ANALOG",Table246[[#This Row],[Type]]))=TRUE,1,"")</f>
        <v>1</v>
      </c>
      <c r="O164" s="18" t="str">
        <f>IF(ISNUMBER(SEARCH("BINARY",Table246[[#This Row],[Type]]))=TRUE,1,"")</f>
        <v/>
      </c>
      <c r="P164" s="7" t="e">
        <f>IF(Table246[[#This Row],[Type]]="","",LEFT(Table246[[#This Row],[Type]],1)&amp;LEFT(#REF!,1))</f>
        <v>#REF!</v>
      </c>
      <c r="Q164" s="18" t="e">
        <f>IF(Table246[[#This Row],[Type]]="","",LEFT(Table246[[#This Row],[Type]],1)&amp;LEFT(#REF!,1))</f>
        <v>#REF!</v>
      </c>
      <c r="R164" s="18"/>
      <c r="S164" s="7" t="e">
        <f>IF(Table246[[#This Row],[A Counter]]=1,"AI"&amp;#REF!+SUM($N$43:N164),IF(Table246[[#This Row],[B Counter]]=1,"BI"&amp;#REF!+SUM($O$43:O164),""))</f>
        <v>#REF!</v>
      </c>
      <c r="T164" s="18" t="s">
        <v>34</v>
      </c>
      <c r="U164" s="7"/>
    </row>
    <row r="165" spans="1:21" x14ac:dyDescent="0.25">
      <c r="A165">
        <f t="shared" si="6"/>
        <v>156</v>
      </c>
      <c r="B165" s="93" t="str">
        <f>IFERROR(RIGHT(Table246[[#This Row],[Controller Input '#]],3)*1,"")</f>
        <v/>
      </c>
      <c r="C165" s="98"/>
      <c r="D165" s="1"/>
      <c r="E165" s="1" t="s">
        <v>275</v>
      </c>
      <c r="F165" s="1" t="s">
        <v>276</v>
      </c>
      <c r="G165" s="11"/>
      <c r="H165" s="21"/>
      <c r="I165" s="1" t="s">
        <v>70</v>
      </c>
      <c r="J165" s="1" t="s">
        <v>125</v>
      </c>
      <c r="K165" s="1" t="s">
        <v>119</v>
      </c>
      <c r="L165" s="1"/>
      <c r="M165" s="1"/>
      <c r="N165" s="18">
        <f>IF(ISNUMBER(SEARCH("ANALOG",Table246[[#This Row],[Type]]))=TRUE,1,"")</f>
        <v>1</v>
      </c>
      <c r="O165" s="18" t="str">
        <f>IF(ISNUMBER(SEARCH("BINARY",Table246[[#This Row],[Type]]))=TRUE,1,"")</f>
        <v/>
      </c>
      <c r="P165" s="7" t="e">
        <f>IF(Table246[[#This Row],[Type]]="","",LEFT(Table246[[#This Row],[Type]],1)&amp;LEFT(#REF!,1))</f>
        <v>#REF!</v>
      </c>
      <c r="Q165" s="18" t="e">
        <f>IF(Table246[[#This Row],[Type]]="","",LEFT(Table246[[#This Row],[Type]],1)&amp;LEFT(#REF!,1))</f>
        <v>#REF!</v>
      </c>
      <c r="R165" s="18"/>
      <c r="S165" s="7" t="e">
        <f>IF(Table246[[#This Row],[A Counter]]=1,"AI"&amp;#REF!+SUM($N$43:N165),IF(Table246[[#This Row],[B Counter]]=1,"BI"&amp;#REF!+SUM($O$43:O165),""))</f>
        <v>#REF!</v>
      </c>
      <c r="T165" s="18" t="s">
        <v>34</v>
      </c>
      <c r="U165" s="7"/>
    </row>
    <row r="166" spans="1:21" x14ac:dyDescent="0.25">
      <c r="A166">
        <f t="shared" si="6"/>
        <v>157</v>
      </c>
      <c r="B166" s="130" t="str">
        <f>IFERROR(RIGHT(Table246[[#This Row],[Controller Input '#]],3)*1,"")</f>
        <v/>
      </c>
      <c r="C166" s="99"/>
      <c r="D166" s="1"/>
      <c r="E166" s="1"/>
      <c r="F166" s="1"/>
      <c r="G166" s="1"/>
      <c r="H166" s="8"/>
      <c r="I166" s="1"/>
      <c r="J166" s="1"/>
      <c r="K166" s="1"/>
      <c r="L166" s="1"/>
      <c r="M166" s="1"/>
      <c r="N166" s="1"/>
      <c r="O166" s="1"/>
      <c r="Q166" s="1"/>
      <c r="R166" s="1"/>
      <c r="S166" s="7"/>
      <c r="T166" s="1"/>
    </row>
    <row r="167" spans="1:21" x14ac:dyDescent="0.25">
      <c r="A167">
        <f t="shared" si="6"/>
        <v>158</v>
      </c>
      <c r="B167" s="93" t="str">
        <f>IFERROR(RIGHT(Table246[[#This Row],[Controller Input '#]],3)*1,"")</f>
        <v/>
      </c>
      <c r="C167" s="98"/>
      <c r="D167" s="1"/>
      <c r="E167" s="1" t="s">
        <v>279</v>
      </c>
      <c r="F167" s="1" t="s">
        <v>280</v>
      </c>
      <c r="G167" s="11"/>
      <c r="H167" s="21"/>
      <c r="I167" s="1" t="s">
        <v>103</v>
      </c>
      <c r="J167" s="1" t="s">
        <v>125</v>
      </c>
      <c r="K167" s="1" t="s">
        <v>112</v>
      </c>
      <c r="L167" s="1"/>
      <c r="M167" s="1"/>
      <c r="N167" s="18" t="str">
        <f>IF(ISNUMBER(SEARCH("ANALOG",Table246[[#This Row],[Type]]))=TRUE,1,"")</f>
        <v/>
      </c>
      <c r="O167" s="18">
        <f>IF(ISNUMBER(SEARCH("BINARY",Table246[[#This Row],[Type]]))=TRUE,1,"")</f>
        <v>1</v>
      </c>
      <c r="P167" s="7" t="e">
        <f>IF(Table246[[#This Row],[Type]]="","",LEFT(Table246[[#This Row],[Type]],1)&amp;LEFT(#REF!,1))</f>
        <v>#REF!</v>
      </c>
      <c r="Q167" s="18" t="e">
        <f>IF(Table246[[#This Row],[Type]]="","",LEFT(Table246[[#This Row],[Type]],1)&amp;LEFT(#REF!,1))</f>
        <v>#REF!</v>
      </c>
      <c r="R167" s="18"/>
      <c r="S167" s="7" t="e">
        <f>IF(Table246[[#This Row],[A Counter]]=1,"AI"&amp;#REF!+SUM($N$43:N167),IF(Table246[[#This Row],[B Counter]]=1,"BI"&amp;#REF!+SUM($O$43:O167),""))</f>
        <v>#REF!</v>
      </c>
      <c r="T167" s="18" t="s">
        <v>34</v>
      </c>
      <c r="U167" s="7"/>
    </row>
    <row r="168" spans="1:21" x14ac:dyDescent="0.25">
      <c r="A168">
        <f t="shared" si="6"/>
        <v>159</v>
      </c>
      <c r="B168" s="130" t="str">
        <f>IFERROR(RIGHT(Table246[[#This Row],[Controller Input '#]],3)*1,"")</f>
        <v/>
      </c>
      <c r="C168" s="100"/>
      <c r="D168" s="1"/>
      <c r="E168" s="1" t="s">
        <v>281</v>
      </c>
      <c r="F168" s="1" t="s">
        <v>282</v>
      </c>
      <c r="G168" s="1"/>
      <c r="H168" s="8"/>
      <c r="I168" s="1" t="s">
        <v>70</v>
      </c>
      <c r="J168" s="1" t="s">
        <v>125</v>
      </c>
      <c r="K168" s="1" t="s">
        <v>80</v>
      </c>
      <c r="L168" s="1"/>
      <c r="M168" s="1"/>
      <c r="N168" s="18">
        <f>IF(ISNUMBER(SEARCH("ANALOG",Table246[[#This Row],[Type]]))=TRUE,1,"")</f>
        <v>1</v>
      </c>
      <c r="O168" s="18" t="str">
        <f>IF(ISNUMBER(SEARCH("BINARY",Table246[[#This Row],[Type]]))=TRUE,1,"")</f>
        <v/>
      </c>
      <c r="P168" s="7" t="e">
        <f>IF(Table246[[#This Row],[Type]]="","",LEFT(Table246[[#This Row],[Type]],1)&amp;LEFT(#REF!,1))</f>
        <v>#REF!</v>
      </c>
      <c r="Q168" s="18" t="e">
        <f>IF(Table246[[#This Row],[Type]]="","",LEFT(Table246[[#This Row],[Type]],1)&amp;LEFT(#REF!,1))</f>
        <v>#REF!</v>
      </c>
      <c r="R168" s="18"/>
      <c r="S168" s="7" t="e">
        <f>IF(Table246[[#This Row],[A Counter]]=1,"AI"&amp;#REF!+SUM($N$43:N168),IF(Table246[[#This Row],[B Counter]]=1,"BI"&amp;#REF!+SUM($O$43:O168),""))</f>
        <v>#REF!</v>
      </c>
      <c r="T168" s="18" t="s">
        <v>34</v>
      </c>
      <c r="U168" s="7"/>
    </row>
    <row r="169" spans="1:21" x14ac:dyDescent="0.25">
      <c r="A169">
        <f t="shared" si="6"/>
        <v>160</v>
      </c>
      <c r="B169" s="93" t="str">
        <f>IFERROR(RIGHT(Table246[[#This Row],[Controller Input '#]],3)*1,"")</f>
        <v/>
      </c>
      <c r="C169" s="98"/>
      <c r="D169" s="1"/>
      <c r="E169" s="1" t="s">
        <v>283</v>
      </c>
      <c r="F169" s="1" t="s">
        <v>284</v>
      </c>
      <c r="G169" s="1"/>
      <c r="H169" s="8"/>
      <c r="I169" s="1" t="s">
        <v>70</v>
      </c>
      <c r="J169" s="1" t="s">
        <v>125</v>
      </c>
      <c r="K169" s="1" t="s">
        <v>127</v>
      </c>
      <c r="L169" s="1"/>
      <c r="M169" s="1"/>
      <c r="N169" s="18">
        <f>IF(ISNUMBER(SEARCH("ANALOG",Table246[[#This Row],[Type]]))=TRUE,1,"")</f>
        <v>1</v>
      </c>
      <c r="O169" s="18" t="str">
        <f>IF(ISNUMBER(SEARCH("BINARY",Table246[[#This Row],[Type]]))=TRUE,1,"")</f>
        <v/>
      </c>
      <c r="P169" s="7" t="e">
        <f>IF(Table246[[#This Row],[Type]]="","",LEFT(Table246[[#This Row],[Type]],1)&amp;LEFT(#REF!,1))</f>
        <v>#REF!</v>
      </c>
      <c r="Q169" s="18" t="e">
        <f>IF(Table246[[#This Row],[Type]]="","",LEFT(Table246[[#This Row],[Type]],1)&amp;LEFT(#REF!,1))</f>
        <v>#REF!</v>
      </c>
      <c r="R169" s="18"/>
      <c r="S169" s="7" t="e">
        <f>IF(Table246[[#This Row],[A Counter]]=1,"AI"&amp;#REF!+SUM($N$43:N169),IF(Table246[[#This Row],[B Counter]]=1,"BI"&amp;#REF!+SUM($O$43:O169),""))</f>
        <v>#REF!</v>
      </c>
      <c r="T169" s="18" t="s">
        <v>34</v>
      </c>
      <c r="U169" s="7"/>
    </row>
    <row r="170" spans="1:21" x14ac:dyDescent="0.25">
      <c r="A170">
        <f t="shared" si="6"/>
        <v>161</v>
      </c>
      <c r="B170" s="130" t="str">
        <f>IFERROR(RIGHT(Table246[[#This Row],[Controller Input '#]],3)*1,"")</f>
        <v/>
      </c>
      <c r="C170" s="98"/>
      <c r="D170" s="1"/>
      <c r="E170" s="1" t="s">
        <v>285</v>
      </c>
      <c r="F170" s="1" t="s">
        <v>286</v>
      </c>
      <c r="G170" s="1"/>
      <c r="H170" s="8"/>
      <c r="I170" s="1" t="s">
        <v>70</v>
      </c>
      <c r="J170" s="1" t="s">
        <v>125</v>
      </c>
      <c r="K170" s="1" t="s">
        <v>119</v>
      </c>
      <c r="L170" s="1"/>
      <c r="M170" s="1"/>
      <c r="N170" s="18">
        <f>IF(ISNUMBER(SEARCH("ANALOG",Table246[[#This Row],[Type]]))=TRUE,1,"")</f>
        <v>1</v>
      </c>
      <c r="O170" s="18" t="str">
        <f>IF(ISNUMBER(SEARCH("BINARY",Table246[[#This Row],[Type]]))=TRUE,1,"")</f>
        <v/>
      </c>
      <c r="P170" s="7" t="e">
        <f>IF(Table246[[#This Row],[Type]]="","",LEFT(Table246[[#This Row],[Type]],1)&amp;LEFT(#REF!,1))</f>
        <v>#REF!</v>
      </c>
      <c r="Q170" s="18" t="e">
        <f>IF(Table246[[#This Row],[Type]]="","",LEFT(Table246[[#This Row],[Type]],1)&amp;LEFT(#REF!,1))</f>
        <v>#REF!</v>
      </c>
      <c r="R170" s="18"/>
      <c r="S170" s="7" t="e">
        <f>IF(Table246[[#This Row],[A Counter]]=1,"AI"&amp;#REF!+SUM($N$43:N170),IF(Table246[[#This Row],[B Counter]]=1,"BI"&amp;#REF!+SUM($O$43:O170),""))</f>
        <v>#REF!</v>
      </c>
      <c r="T170" s="18" t="s">
        <v>34</v>
      </c>
      <c r="U170" s="7"/>
    </row>
    <row r="171" spans="1:21" x14ac:dyDescent="0.25">
      <c r="A171">
        <f t="shared" si="6"/>
        <v>162</v>
      </c>
      <c r="B171" s="93" t="str">
        <f>IFERROR(RIGHT(Table246[[#This Row],[Controller Input '#]],3)*1,"")</f>
        <v/>
      </c>
      <c r="C171" s="99"/>
      <c r="D171" s="1"/>
      <c r="E171" s="11" t="s">
        <v>287</v>
      </c>
      <c r="F171" s="11" t="s">
        <v>288</v>
      </c>
      <c r="G171" s="11"/>
      <c r="H171" s="21"/>
      <c r="I171" s="11" t="s">
        <v>70</v>
      </c>
      <c r="J171" s="11" t="s">
        <v>125</v>
      </c>
      <c r="K171" s="11" t="s">
        <v>80</v>
      </c>
      <c r="L171" s="11" t="s">
        <v>81</v>
      </c>
      <c r="M171" s="1"/>
      <c r="N171" s="18">
        <f>IF(ISNUMBER(SEARCH("ANALOG",Table246[[#This Row],[Type]]))=TRUE,1,"")</f>
        <v>1</v>
      </c>
      <c r="O171" s="18" t="str">
        <f>IF(ISNUMBER(SEARCH("BINARY",Table246[[#This Row],[Type]]))=TRUE,1,"")</f>
        <v/>
      </c>
      <c r="P171" s="7" t="e">
        <f>IF(Table246[[#This Row],[Type]]="","",LEFT(Table246[[#This Row],[Type]],1)&amp;LEFT(#REF!,1))</f>
        <v>#REF!</v>
      </c>
      <c r="Q171" s="18" t="e">
        <f>IF(Table246[[#This Row],[Type]]="","",LEFT(Table246[[#This Row],[Type]],1)&amp;LEFT(#REF!,1))</f>
        <v>#REF!</v>
      </c>
      <c r="R171" s="18"/>
      <c r="S171" s="7" t="e">
        <f>IF(Table246[[#This Row],[A Counter]]=1,"AI"&amp;#REF!+SUM($N$43:N171),IF(Table246[[#This Row],[B Counter]]=1,"BI"&amp;#REF!+SUM($O$43:O171),""))</f>
        <v>#REF!</v>
      </c>
      <c r="T171" s="18" t="s">
        <v>34</v>
      </c>
      <c r="U171" s="7"/>
    </row>
    <row r="172" spans="1:21" x14ac:dyDescent="0.25">
      <c r="A172">
        <f t="shared" si="6"/>
        <v>163</v>
      </c>
      <c r="B172" s="130" t="str">
        <f>IFERROR(RIGHT(Table246[[#This Row],[Controller Input '#]],3)*1,"")</f>
        <v/>
      </c>
      <c r="C172" s="99"/>
      <c r="D172" s="1"/>
      <c r="E172" s="11" t="s">
        <v>289</v>
      </c>
      <c r="F172" s="11" t="s">
        <v>290</v>
      </c>
      <c r="G172" s="11"/>
      <c r="H172" s="21"/>
      <c r="I172" s="11" t="s">
        <v>103</v>
      </c>
      <c r="J172" s="11" t="s">
        <v>125</v>
      </c>
      <c r="K172" s="11" t="s">
        <v>112</v>
      </c>
      <c r="L172" s="11"/>
      <c r="M172" s="1"/>
      <c r="N172" s="18" t="str">
        <f>IF(ISNUMBER(SEARCH("ANALOG",Table246[[#This Row],[Type]]))=TRUE,1,"")</f>
        <v/>
      </c>
      <c r="O172" s="18">
        <f>IF(ISNUMBER(SEARCH("BINARY",Table246[[#This Row],[Type]]))=TRUE,1,"")</f>
        <v>1</v>
      </c>
      <c r="P172" s="7" t="e">
        <f>IF(Table246[[#This Row],[Type]]="","",LEFT(Table246[[#This Row],[Type]],1)&amp;LEFT(#REF!,1))</f>
        <v>#REF!</v>
      </c>
      <c r="Q172" s="18" t="e">
        <f>IF(Table246[[#This Row],[Type]]="","",LEFT(Table246[[#This Row],[Type]],1)&amp;LEFT(#REF!,1))</f>
        <v>#REF!</v>
      </c>
      <c r="R172" s="18"/>
      <c r="S172" s="7" t="e">
        <f>IF(Table246[[#This Row],[A Counter]]=1,"AI"&amp;#REF!+SUM($N$43:N172),IF(Table246[[#This Row],[B Counter]]=1,"BI"&amp;#REF!+SUM($O$43:O172),""))</f>
        <v>#REF!</v>
      </c>
      <c r="T172" s="18" t="s">
        <v>34</v>
      </c>
      <c r="U172" s="7"/>
    </row>
    <row r="173" spans="1:21" x14ac:dyDescent="0.25">
      <c r="A173">
        <f t="shared" si="6"/>
        <v>164</v>
      </c>
      <c r="B173" s="93" t="str">
        <f>IFERROR(RIGHT(Table246[[#This Row],[Controller Input '#]],3)*1,"")</f>
        <v/>
      </c>
      <c r="C173" s="99"/>
      <c r="D173" s="1"/>
      <c r="E173" s="11" t="s">
        <v>291</v>
      </c>
      <c r="F173" s="11" t="s">
        <v>292</v>
      </c>
      <c r="G173" s="11"/>
      <c r="H173" s="21"/>
      <c r="I173" s="11" t="s">
        <v>70</v>
      </c>
      <c r="J173" s="11" t="s">
        <v>125</v>
      </c>
      <c r="K173" s="11" t="s">
        <v>80</v>
      </c>
      <c r="L173" s="11" t="s">
        <v>81</v>
      </c>
      <c r="M173" s="1"/>
      <c r="N173" s="18">
        <f>IF(ISNUMBER(SEARCH("ANALOG",Table246[[#This Row],[Type]]))=TRUE,1,"")</f>
        <v>1</v>
      </c>
      <c r="O173" s="18" t="str">
        <f>IF(ISNUMBER(SEARCH("BINARY",Table246[[#This Row],[Type]]))=TRUE,1,"")</f>
        <v/>
      </c>
      <c r="P173" s="7" t="e">
        <f>IF(Table246[[#This Row],[Type]]="","",LEFT(Table246[[#This Row],[Type]],1)&amp;LEFT(#REF!,1))</f>
        <v>#REF!</v>
      </c>
      <c r="Q173" s="18" t="e">
        <f>IF(Table246[[#This Row],[Type]]="","",LEFT(Table246[[#This Row],[Type]],1)&amp;LEFT(#REF!,1))</f>
        <v>#REF!</v>
      </c>
      <c r="R173" s="18"/>
      <c r="S173" s="7" t="e">
        <f>IF(Table246[[#This Row],[A Counter]]=1,"AI"&amp;#REF!+SUM($N$43:N173),IF(Table246[[#This Row],[B Counter]]=1,"BI"&amp;#REF!+SUM($O$43:O173),""))</f>
        <v>#REF!</v>
      </c>
      <c r="T173" s="18" t="s">
        <v>34</v>
      </c>
      <c r="U173" s="7"/>
    </row>
    <row r="174" spans="1:21" x14ac:dyDescent="0.25">
      <c r="A174">
        <f t="shared" si="6"/>
        <v>165</v>
      </c>
      <c r="B174" s="130" t="str">
        <f>IFERROR(RIGHT(Table246[[#This Row],[Controller Input '#]],3)*1,"")</f>
        <v/>
      </c>
      <c r="C174" s="99"/>
      <c r="D174" s="1"/>
      <c r="E174" s="11" t="s">
        <v>293</v>
      </c>
      <c r="F174" s="11" t="s">
        <v>294</v>
      </c>
      <c r="G174" s="11"/>
      <c r="H174" s="21"/>
      <c r="I174" s="11" t="s">
        <v>103</v>
      </c>
      <c r="J174" s="11" t="s">
        <v>125</v>
      </c>
      <c r="K174" s="11" t="s">
        <v>112</v>
      </c>
      <c r="L174" s="11"/>
      <c r="M174" s="1"/>
      <c r="N174" s="18" t="str">
        <f>IF(ISNUMBER(SEARCH("ANALOG",Table246[[#This Row],[Type]]))=TRUE,1,"")</f>
        <v/>
      </c>
      <c r="O174" s="18">
        <f>IF(ISNUMBER(SEARCH("BINARY",Table246[[#This Row],[Type]]))=TRUE,1,"")</f>
        <v>1</v>
      </c>
      <c r="P174" s="7" t="e">
        <f>IF(Table246[[#This Row],[Type]]="","",LEFT(Table246[[#This Row],[Type]],1)&amp;LEFT(#REF!,1))</f>
        <v>#REF!</v>
      </c>
      <c r="Q174" s="18" t="e">
        <f>IF(Table246[[#This Row],[Type]]="","",LEFT(Table246[[#This Row],[Type]],1)&amp;LEFT(#REF!,1))</f>
        <v>#REF!</v>
      </c>
      <c r="R174" s="18"/>
      <c r="S174" s="7" t="e">
        <f>IF(Table246[[#This Row],[A Counter]]=1,"AI"&amp;#REF!+SUM($N$43:N174),IF(Table246[[#This Row],[B Counter]]=1,"BI"&amp;#REF!+SUM($O$43:O174),""))</f>
        <v>#REF!</v>
      </c>
      <c r="T174" s="18" t="s">
        <v>34</v>
      </c>
      <c r="U174" s="7"/>
    </row>
    <row r="175" spans="1:21" x14ac:dyDescent="0.25">
      <c r="A175">
        <f t="shared" si="6"/>
        <v>166</v>
      </c>
      <c r="B175" s="93" t="str">
        <f>IFERROR(RIGHT(Table246[[#This Row],[Controller Input '#]],3)*1,"")</f>
        <v/>
      </c>
      <c r="C175" s="99"/>
      <c r="D175" s="1"/>
      <c r="E175" s="11" t="s">
        <v>295</v>
      </c>
      <c r="F175" s="11" t="s">
        <v>296</v>
      </c>
      <c r="G175" s="11"/>
      <c r="H175" s="21"/>
      <c r="I175" s="11" t="s">
        <v>70</v>
      </c>
      <c r="J175" s="11" t="s">
        <v>125</v>
      </c>
      <c r="K175" s="11" t="s">
        <v>80</v>
      </c>
      <c r="L175" s="11" t="s">
        <v>81</v>
      </c>
      <c r="M175" s="1"/>
      <c r="N175" s="18">
        <f>IF(ISNUMBER(SEARCH("ANALOG",Table246[[#This Row],[Type]]))=TRUE,1,"")</f>
        <v>1</v>
      </c>
      <c r="O175" s="18" t="str">
        <f>IF(ISNUMBER(SEARCH("BINARY",Table246[[#This Row],[Type]]))=TRUE,1,"")</f>
        <v/>
      </c>
      <c r="P175" s="7" t="e">
        <f>IF(Table246[[#This Row],[Type]]="","",LEFT(Table246[[#This Row],[Type]],1)&amp;LEFT(#REF!,1))</f>
        <v>#REF!</v>
      </c>
      <c r="Q175" s="18" t="e">
        <f>IF(Table246[[#This Row],[Type]]="","",LEFT(Table246[[#This Row],[Type]],1)&amp;LEFT(#REF!,1))</f>
        <v>#REF!</v>
      </c>
      <c r="R175" s="18"/>
      <c r="S175" s="7" t="e">
        <f>IF(Table246[[#This Row],[A Counter]]=1,"AI"&amp;#REF!+SUM($N$43:N175),IF(Table246[[#This Row],[B Counter]]=1,"BI"&amp;#REF!+SUM($O$43:O175),""))</f>
        <v>#REF!</v>
      </c>
      <c r="T175" s="18" t="s">
        <v>34</v>
      </c>
      <c r="U175" s="7"/>
    </row>
    <row r="176" spans="1:21" x14ac:dyDescent="0.25">
      <c r="A176">
        <f t="shared" si="6"/>
        <v>167</v>
      </c>
      <c r="B176" s="130" t="str">
        <f>IFERROR(RIGHT(Table246[[#This Row],[Controller Input '#]],3)*1,"")</f>
        <v/>
      </c>
      <c r="C176" s="99"/>
      <c r="D176" s="1"/>
      <c r="E176" s="11" t="s">
        <v>297</v>
      </c>
      <c r="F176" s="11" t="s">
        <v>298</v>
      </c>
      <c r="G176" s="11"/>
      <c r="H176" s="21"/>
      <c r="I176" s="11" t="s">
        <v>103</v>
      </c>
      <c r="J176" s="11" t="s">
        <v>125</v>
      </c>
      <c r="K176" s="11" t="s">
        <v>112</v>
      </c>
      <c r="L176" s="11"/>
      <c r="M176" s="1"/>
      <c r="N176" s="18" t="str">
        <f>IF(ISNUMBER(SEARCH("ANALOG",Table246[[#This Row],[Type]]))=TRUE,1,"")</f>
        <v/>
      </c>
      <c r="O176" s="18">
        <f>IF(ISNUMBER(SEARCH("BINARY",Table246[[#This Row],[Type]]))=TRUE,1,"")</f>
        <v>1</v>
      </c>
      <c r="P176" s="7" t="e">
        <f>IF(Table246[[#This Row],[Type]]="","",LEFT(Table246[[#This Row],[Type]],1)&amp;LEFT(#REF!,1))</f>
        <v>#REF!</v>
      </c>
      <c r="Q176" s="18" t="e">
        <f>IF(Table246[[#This Row],[Type]]="","",LEFT(Table246[[#This Row],[Type]],1)&amp;LEFT(#REF!,1))</f>
        <v>#REF!</v>
      </c>
      <c r="R176" s="18"/>
      <c r="S176" s="7" t="e">
        <f>IF(Table246[[#This Row],[A Counter]]=1,"AI"&amp;#REF!+SUM($N$43:N176),IF(Table246[[#This Row],[B Counter]]=1,"BI"&amp;#REF!+SUM($O$43:O176),""))</f>
        <v>#REF!</v>
      </c>
      <c r="T176" s="18"/>
      <c r="U176" s="7"/>
    </row>
    <row r="177" spans="1:21" x14ac:dyDescent="0.25">
      <c r="A177">
        <f t="shared" si="6"/>
        <v>168</v>
      </c>
      <c r="B177" s="93" t="str">
        <f>IFERROR(RIGHT(Table246[[#This Row],[Controller Input '#]],3)*1,"")</f>
        <v/>
      </c>
      <c r="C177" s="99"/>
      <c r="D177" s="1"/>
      <c r="E177" s="11" t="s">
        <v>299</v>
      </c>
      <c r="F177" s="11" t="s">
        <v>300</v>
      </c>
      <c r="G177" s="11"/>
      <c r="H177" s="21"/>
      <c r="I177" s="11" t="s">
        <v>70</v>
      </c>
      <c r="J177" s="11" t="s">
        <v>125</v>
      </c>
      <c r="K177" s="11" t="s">
        <v>80</v>
      </c>
      <c r="L177" s="11" t="s">
        <v>81</v>
      </c>
      <c r="M177" s="1"/>
      <c r="N177" s="18">
        <f>IF(ISNUMBER(SEARCH("ANALOG",Table246[[#This Row],[Type]]))=TRUE,1,"")</f>
        <v>1</v>
      </c>
      <c r="O177" s="18" t="str">
        <f>IF(ISNUMBER(SEARCH("BINARY",Table246[[#This Row],[Type]]))=TRUE,1,"")</f>
        <v/>
      </c>
      <c r="P177" s="7" t="e">
        <f>IF(Table246[[#This Row],[Type]]="","",LEFT(Table246[[#This Row],[Type]],1)&amp;LEFT(#REF!,1))</f>
        <v>#REF!</v>
      </c>
      <c r="Q177" s="18" t="e">
        <f>IF(Table246[[#This Row],[Type]]="","",LEFT(Table246[[#This Row],[Type]],1)&amp;LEFT(#REF!,1))</f>
        <v>#REF!</v>
      </c>
      <c r="R177" s="18"/>
      <c r="S177" s="7" t="e">
        <f>IF(Table246[[#This Row],[A Counter]]=1,"AI"&amp;#REF!+SUM($N$43:N177),IF(Table246[[#This Row],[B Counter]]=1,"BI"&amp;#REF!+SUM($O$43:O177),""))</f>
        <v>#REF!</v>
      </c>
      <c r="T177" s="18"/>
      <c r="U177" s="7"/>
    </row>
    <row r="178" spans="1:21" x14ac:dyDescent="0.25">
      <c r="A178">
        <f t="shared" si="6"/>
        <v>169</v>
      </c>
      <c r="B178" s="130" t="str">
        <f>IFERROR(RIGHT(Table246[[#This Row],[Controller Input '#]],3)*1,"")</f>
        <v/>
      </c>
      <c r="C178" s="99"/>
      <c r="D178" s="1"/>
      <c r="E178" s="11" t="s">
        <v>301</v>
      </c>
      <c r="F178" s="11" t="s">
        <v>302</v>
      </c>
      <c r="G178" s="11"/>
      <c r="H178" s="21"/>
      <c r="I178" s="11" t="s">
        <v>103</v>
      </c>
      <c r="J178" s="11" t="s">
        <v>125</v>
      </c>
      <c r="K178" s="11" t="s">
        <v>112</v>
      </c>
      <c r="L178" s="11"/>
      <c r="M178" s="1"/>
      <c r="N178" s="18" t="str">
        <f>IF(ISNUMBER(SEARCH("ANALOG",Table246[[#This Row],[Type]]))=TRUE,1,"")</f>
        <v/>
      </c>
      <c r="O178" s="18">
        <f>IF(ISNUMBER(SEARCH("BINARY",Table246[[#This Row],[Type]]))=TRUE,1,"")</f>
        <v>1</v>
      </c>
      <c r="P178" s="7" t="e">
        <f>IF(Table246[[#This Row],[Type]]="","",LEFT(Table246[[#This Row],[Type]],1)&amp;LEFT(#REF!,1))</f>
        <v>#REF!</v>
      </c>
      <c r="Q178" s="18" t="e">
        <f>IF(Table246[[#This Row],[Type]]="","",LEFT(Table246[[#This Row],[Type]],1)&amp;LEFT(#REF!,1))</f>
        <v>#REF!</v>
      </c>
      <c r="R178" s="18"/>
      <c r="S178" s="7" t="e">
        <f>IF(Table246[[#This Row],[A Counter]]=1,"AI"&amp;#REF!+SUM($N$43:N178),IF(Table246[[#This Row],[B Counter]]=1,"BI"&amp;#REF!+SUM($O$43:O178),""))</f>
        <v>#REF!</v>
      </c>
      <c r="T178" s="18"/>
      <c r="U178" s="7"/>
    </row>
    <row r="179" spans="1:21" x14ac:dyDescent="0.25">
      <c r="A179">
        <f t="shared" si="6"/>
        <v>170</v>
      </c>
      <c r="B179" s="93" t="str">
        <f>IFERROR(RIGHT(Table246[[#This Row],[Controller Input '#]],3)*1,"")</f>
        <v/>
      </c>
      <c r="C179" s="98"/>
      <c r="D179" s="1"/>
      <c r="E179" s="11" t="s">
        <v>303</v>
      </c>
      <c r="F179" s="11" t="s">
        <v>304</v>
      </c>
      <c r="G179" s="11"/>
      <c r="H179" s="21"/>
      <c r="I179" s="11" t="s">
        <v>70</v>
      </c>
      <c r="J179" s="11" t="s">
        <v>125</v>
      </c>
      <c r="K179" s="11" t="s">
        <v>80</v>
      </c>
      <c r="L179" s="11" t="s">
        <v>81</v>
      </c>
      <c r="M179" s="1"/>
      <c r="N179" s="18">
        <f>IF(ISNUMBER(SEARCH("ANALOG",Table246[[#This Row],[Type]]))=TRUE,1,"")</f>
        <v>1</v>
      </c>
      <c r="O179" s="18" t="str">
        <f>IF(ISNUMBER(SEARCH("BINARY",Table246[[#This Row],[Type]]))=TRUE,1,"")</f>
        <v/>
      </c>
      <c r="P179" s="7" t="e">
        <f>IF(Table246[[#This Row],[Type]]="","",LEFT(Table246[[#This Row],[Type]],1)&amp;LEFT(#REF!,1))</f>
        <v>#REF!</v>
      </c>
      <c r="Q179" s="18" t="e">
        <f>IF(Table246[[#This Row],[Type]]="","",LEFT(Table246[[#This Row],[Type]],1)&amp;LEFT(#REF!,1))</f>
        <v>#REF!</v>
      </c>
      <c r="R179" s="18"/>
      <c r="S179" s="7" t="e">
        <f>IF(Table246[[#This Row],[A Counter]]=1,"AI"&amp;#REF!+SUM($N$43:N179),IF(Table246[[#This Row],[B Counter]]=1,"BI"&amp;#REF!+SUM($O$43:O179),""))</f>
        <v>#REF!</v>
      </c>
      <c r="T179" s="18"/>
      <c r="U179" s="7"/>
    </row>
    <row r="180" spans="1:21" x14ac:dyDescent="0.25">
      <c r="A180">
        <f t="shared" si="6"/>
        <v>171</v>
      </c>
      <c r="B180" s="130" t="str">
        <f>IFERROR(RIGHT(Table246[[#This Row],[Controller Input '#]],3)*1,"")</f>
        <v/>
      </c>
      <c r="C180" s="99"/>
      <c r="D180" s="1"/>
      <c r="E180" s="11" t="s">
        <v>305</v>
      </c>
      <c r="F180" s="11" t="s">
        <v>306</v>
      </c>
      <c r="G180" s="11"/>
      <c r="H180" s="21"/>
      <c r="I180" s="11" t="s">
        <v>103</v>
      </c>
      <c r="J180" s="11" t="s">
        <v>125</v>
      </c>
      <c r="K180" s="11" t="s">
        <v>112</v>
      </c>
      <c r="L180" s="11"/>
      <c r="M180" s="1"/>
      <c r="N180" s="18" t="str">
        <f>IF(ISNUMBER(SEARCH("ANALOG",Table246[[#This Row],[Type]]))=TRUE,1,"")</f>
        <v/>
      </c>
      <c r="O180" s="18">
        <f>IF(ISNUMBER(SEARCH("BINARY",Table246[[#This Row],[Type]]))=TRUE,1,"")</f>
        <v>1</v>
      </c>
      <c r="P180" s="7" t="e">
        <f>IF(Table246[[#This Row],[Type]]="","",LEFT(Table246[[#This Row],[Type]],1)&amp;LEFT(#REF!,1))</f>
        <v>#REF!</v>
      </c>
      <c r="Q180" s="18" t="e">
        <f>IF(Table246[[#This Row],[Type]]="","",LEFT(Table246[[#This Row],[Type]],1)&amp;LEFT(#REF!,1))</f>
        <v>#REF!</v>
      </c>
      <c r="R180" s="18"/>
      <c r="S180" s="7" t="e">
        <f>IF(Table246[[#This Row],[A Counter]]=1,"AI"&amp;#REF!+SUM($N$43:N180),IF(Table246[[#This Row],[B Counter]]=1,"BI"&amp;#REF!+SUM($O$43:O180),""))</f>
        <v>#REF!</v>
      </c>
      <c r="T180" s="18"/>
      <c r="U180" s="68"/>
    </row>
    <row r="181" spans="1:21" x14ac:dyDescent="0.25">
      <c r="A181">
        <f t="shared" si="6"/>
        <v>172</v>
      </c>
      <c r="B181" s="93" t="str">
        <f>IFERROR(RIGHT(Table246[[#This Row],[Controller Input '#]],3)*1,"")</f>
        <v/>
      </c>
      <c r="C181" s="99"/>
      <c r="D181" s="1"/>
      <c r="E181" s="11" t="s">
        <v>307</v>
      </c>
      <c r="F181" s="11" t="s">
        <v>308</v>
      </c>
      <c r="G181" s="11"/>
      <c r="H181" s="21"/>
      <c r="I181" s="11" t="s">
        <v>70</v>
      </c>
      <c r="J181" s="11" t="s">
        <v>125</v>
      </c>
      <c r="K181" s="11" t="s">
        <v>80</v>
      </c>
      <c r="L181" s="11" t="s">
        <v>81</v>
      </c>
      <c r="M181" s="1"/>
      <c r="N181" s="18">
        <f>IF(ISNUMBER(SEARCH("ANALOG",Table246[[#This Row],[Type]]))=TRUE,1,"")</f>
        <v>1</v>
      </c>
      <c r="O181" s="18" t="str">
        <f>IF(ISNUMBER(SEARCH("BINARY",Table246[[#This Row],[Type]]))=TRUE,1,"")</f>
        <v/>
      </c>
      <c r="P181" s="7" t="e">
        <f>IF(Table246[[#This Row],[Type]]="","",LEFT(Table246[[#This Row],[Type]],1)&amp;LEFT(#REF!,1))</f>
        <v>#REF!</v>
      </c>
      <c r="Q181" s="18" t="e">
        <f>IF(Table246[[#This Row],[Type]]="","",LEFT(Table246[[#This Row],[Type]],1)&amp;LEFT(#REF!,1))</f>
        <v>#REF!</v>
      </c>
      <c r="R181" s="18"/>
      <c r="S181" s="7" t="e">
        <f>IF(Table246[[#This Row],[A Counter]]=1,"AI"&amp;#REF!+SUM($N$43:N181),IF(Table246[[#This Row],[B Counter]]=1,"BI"&amp;#REF!+SUM($O$43:O181),""))</f>
        <v>#REF!</v>
      </c>
      <c r="T181" s="18"/>
      <c r="U181" s="68"/>
    </row>
    <row r="182" spans="1:21" x14ac:dyDescent="0.25">
      <c r="A182">
        <f t="shared" si="6"/>
        <v>173</v>
      </c>
      <c r="B182" s="130" t="str">
        <f>IFERROR(RIGHT(Table246[[#This Row],[Controller Input '#]],3)*1,"")</f>
        <v/>
      </c>
      <c r="C182" s="99"/>
      <c r="D182" s="1"/>
      <c r="E182" s="11" t="s">
        <v>309</v>
      </c>
      <c r="F182" s="11" t="s">
        <v>310</v>
      </c>
      <c r="G182" s="11"/>
      <c r="H182" s="21"/>
      <c r="I182" s="11" t="s">
        <v>103</v>
      </c>
      <c r="J182" s="11" t="s">
        <v>125</v>
      </c>
      <c r="K182" s="11" t="s">
        <v>112</v>
      </c>
      <c r="L182" s="11"/>
      <c r="M182" s="1"/>
      <c r="N182" s="18" t="str">
        <f>IF(ISNUMBER(SEARCH("ANALOG",Table246[[#This Row],[Type]]))=TRUE,1,"")</f>
        <v/>
      </c>
      <c r="O182" s="18">
        <f>IF(ISNUMBER(SEARCH("BINARY",Table246[[#This Row],[Type]]))=TRUE,1,"")</f>
        <v>1</v>
      </c>
      <c r="P182" s="7" t="e">
        <f>IF(Table246[[#This Row],[Type]]="","",LEFT(Table246[[#This Row],[Type]],1)&amp;LEFT(#REF!,1))</f>
        <v>#REF!</v>
      </c>
      <c r="Q182" s="18" t="e">
        <f>IF(Table246[[#This Row],[Type]]="","",LEFT(Table246[[#This Row],[Type]],1)&amp;LEFT(#REF!,1))</f>
        <v>#REF!</v>
      </c>
      <c r="R182" s="18"/>
      <c r="S182" s="7" t="e">
        <f>IF(Table246[[#This Row],[A Counter]]=1,"AI"&amp;#REF!+SUM($N$43:N182),IF(Table246[[#This Row],[B Counter]]=1,"BI"&amp;#REF!+SUM($O$43:O182),""))</f>
        <v>#REF!</v>
      </c>
      <c r="T182" s="18"/>
      <c r="U182" s="68"/>
    </row>
    <row r="183" spans="1:21" x14ac:dyDescent="0.25">
      <c r="A183">
        <f t="shared" si="6"/>
        <v>174</v>
      </c>
      <c r="B183" s="93" t="str">
        <f>IFERROR(RIGHT(Table246[[#This Row],[Controller Input '#]],3)*1,"")</f>
        <v/>
      </c>
      <c r="C183" s="99"/>
      <c r="D183" s="1"/>
      <c r="E183" s="11" t="s">
        <v>311</v>
      </c>
      <c r="F183" s="11" t="s">
        <v>312</v>
      </c>
      <c r="G183" s="11"/>
      <c r="H183" s="21"/>
      <c r="I183" s="11" t="s">
        <v>70</v>
      </c>
      <c r="J183" s="11" t="s">
        <v>125</v>
      </c>
      <c r="K183" s="11" t="s">
        <v>80</v>
      </c>
      <c r="L183" s="11" t="s">
        <v>81</v>
      </c>
      <c r="M183" s="1"/>
      <c r="N183" s="18">
        <f>IF(ISNUMBER(SEARCH("ANALOG",Table246[[#This Row],[Type]]))=TRUE,1,"")</f>
        <v>1</v>
      </c>
      <c r="O183" s="18" t="str">
        <f>IF(ISNUMBER(SEARCH("BINARY",Table246[[#This Row],[Type]]))=TRUE,1,"")</f>
        <v/>
      </c>
      <c r="P183" s="7" t="e">
        <f>IF(Table246[[#This Row],[Type]]="","",LEFT(Table246[[#This Row],[Type]],1)&amp;LEFT(#REF!,1))</f>
        <v>#REF!</v>
      </c>
      <c r="Q183" s="18" t="e">
        <f>IF(Table246[[#This Row],[Type]]="","",LEFT(Table246[[#This Row],[Type]],1)&amp;LEFT(#REF!,1))</f>
        <v>#REF!</v>
      </c>
      <c r="R183" s="18"/>
      <c r="S183" s="7" t="e">
        <f>IF(Table246[[#This Row],[A Counter]]=1,"AI"&amp;#REF!+SUM($N$43:N183),IF(Table246[[#This Row],[B Counter]]=1,"BI"&amp;#REF!+SUM($O$43:O183),""))</f>
        <v>#REF!</v>
      </c>
      <c r="T183" s="18"/>
      <c r="U183" s="69"/>
    </row>
    <row r="184" spans="1:21" x14ac:dyDescent="0.25">
      <c r="A184">
        <f t="shared" si="6"/>
        <v>175</v>
      </c>
      <c r="B184" s="130" t="str">
        <f>IFERROR(RIGHT(Table246[[#This Row],[Controller Input '#]],3)*1,"")</f>
        <v/>
      </c>
      <c r="C184" s="98"/>
      <c r="D184" s="1"/>
      <c r="E184" s="11" t="s">
        <v>313</v>
      </c>
      <c r="F184" s="11" t="s">
        <v>314</v>
      </c>
      <c r="G184" s="11"/>
      <c r="H184" s="21"/>
      <c r="I184" s="11" t="s">
        <v>103</v>
      </c>
      <c r="J184" s="11" t="s">
        <v>125</v>
      </c>
      <c r="K184" s="11" t="s">
        <v>112</v>
      </c>
      <c r="L184" s="11"/>
      <c r="M184" s="1"/>
      <c r="N184" s="18" t="str">
        <f>IF(ISNUMBER(SEARCH("ANALOG",Table246[[#This Row],[Type]]))=TRUE,1,"")</f>
        <v/>
      </c>
      <c r="O184" s="18">
        <f>IF(ISNUMBER(SEARCH("BINARY",Table246[[#This Row],[Type]]))=TRUE,1,"")</f>
        <v>1</v>
      </c>
      <c r="P184" s="7" t="e">
        <f>IF(Table246[[#This Row],[Type]]="","",LEFT(Table246[[#This Row],[Type]],1)&amp;LEFT(#REF!,1))</f>
        <v>#REF!</v>
      </c>
      <c r="Q184" s="18" t="e">
        <f>IF(Table246[[#This Row],[Type]]="","",LEFT(Table246[[#This Row],[Type]],1)&amp;LEFT(#REF!,1))</f>
        <v>#REF!</v>
      </c>
      <c r="R184" s="18"/>
      <c r="S184" s="7" t="e">
        <f>IF(Table246[[#This Row],[A Counter]]=1,"AI"&amp;#REF!+SUM($N$43:N184),IF(Table246[[#This Row],[B Counter]]=1,"BI"&amp;#REF!+SUM($O$43:O184),""))</f>
        <v>#REF!</v>
      </c>
      <c r="T184" s="18"/>
      <c r="U184" s="68"/>
    </row>
    <row r="185" spans="1:21" x14ac:dyDescent="0.25">
      <c r="A185">
        <f t="shared" si="6"/>
        <v>176</v>
      </c>
      <c r="B185" s="93" t="str">
        <f>IFERROR(RIGHT(Table246[[#This Row],[Controller Input '#]],3)*1,"")</f>
        <v/>
      </c>
      <c r="C185" s="99"/>
      <c r="D185" s="1"/>
      <c r="E185" s="11" t="s">
        <v>315</v>
      </c>
      <c r="F185" s="11" t="s">
        <v>316</v>
      </c>
      <c r="G185" s="11"/>
      <c r="H185" s="21"/>
      <c r="I185" s="11" t="s">
        <v>70</v>
      </c>
      <c r="J185" s="11" t="s">
        <v>125</v>
      </c>
      <c r="K185" s="11" t="s">
        <v>80</v>
      </c>
      <c r="L185" s="11" t="s">
        <v>81</v>
      </c>
      <c r="M185" s="1"/>
      <c r="N185" s="18">
        <f>IF(ISNUMBER(SEARCH("ANALOG",Table246[[#This Row],[Type]]))=TRUE,1,"")</f>
        <v>1</v>
      </c>
      <c r="O185" s="18" t="str">
        <f>IF(ISNUMBER(SEARCH("BINARY",Table246[[#This Row],[Type]]))=TRUE,1,"")</f>
        <v/>
      </c>
      <c r="P185" s="7" t="e">
        <f>IF(Table246[[#This Row],[Type]]="","",LEFT(Table246[[#This Row],[Type]],1)&amp;LEFT(#REF!,1))</f>
        <v>#REF!</v>
      </c>
      <c r="Q185" s="18" t="e">
        <f>IF(Table246[[#This Row],[Type]]="","",LEFT(Table246[[#This Row],[Type]],1)&amp;LEFT(#REF!,1))</f>
        <v>#REF!</v>
      </c>
      <c r="R185" s="18"/>
      <c r="S185" s="7" t="e">
        <f>IF(Table246[[#This Row],[A Counter]]=1,"AI"&amp;#REF!+SUM($N$43:N185),IF(Table246[[#This Row],[B Counter]]=1,"BI"&amp;#REF!+SUM($O$43:O185),""))</f>
        <v>#REF!</v>
      </c>
      <c r="T185" s="18"/>
      <c r="U185" s="68"/>
    </row>
    <row r="186" spans="1:21" x14ac:dyDescent="0.25">
      <c r="A186">
        <f t="shared" si="6"/>
        <v>177</v>
      </c>
      <c r="B186" s="130" t="str">
        <f>IFERROR(RIGHT(Table246[[#This Row],[Controller Input '#]],3)*1,"")</f>
        <v/>
      </c>
      <c r="C186" s="99"/>
      <c r="D186" s="1"/>
      <c r="E186" s="11" t="s">
        <v>317</v>
      </c>
      <c r="F186" s="11" t="s">
        <v>318</v>
      </c>
      <c r="G186" s="11"/>
      <c r="H186" s="21"/>
      <c r="I186" s="11" t="s">
        <v>103</v>
      </c>
      <c r="J186" s="11" t="s">
        <v>125</v>
      </c>
      <c r="K186" s="11" t="s">
        <v>112</v>
      </c>
      <c r="L186" s="11"/>
      <c r="M186" s="1"/>
      <c r="N186" s="18" t="str">
        <f>IF(ISNUMBER(SEARCH("ANALOG",Table246[[#This Row],[Type]]))=TRUE,1,"")</f>
        <v/>
      </c>
      <c r="O186" s="18">
        <f>IF(ISNUMBER(SEARCH("BINARY",Table246[[#This Row],[Type]]))=TRUE,1,"")</f>
        <v>1</v>
      </c>
      <c r="P186" s="7" t="e">
        <f>IF(Table246[[#This Row],[Type]]="","",LEFT(Table246[[#This Row],[Type]],1)&amp;LEFT(#REF!,1))</f>
        <v>#REF!</v>
      </c>
      <c r="Q186" s="18" t="e">
        <f>IF(Table246[[#This Row],[Type]]="","",LEFT(Table246[[#This Row],[Type]],1)&amp;LEFT(#REF!,1))</f>
        <v>#REF!</v>
      </c>
      <c r="R186" s="18"/>
      <c r="S186" s="7" t="e">
        <f>IF(Table246[[#This Row],[A Counter]]=1,"AI"&amp;#REF!+SUM($N$43:N186),IF(Table246[[#This Row],[B Counter]]=1,"BI"&amp;#REF!+SUM($O$43:O186),""))</f>
        <v>#REF!</v>
      </c>
      <c r="T186" s="18"/>
      <c r="U186" s="68"/>
    </row>
    <row r="187" spans="1:21" x14ac:dyDescent="0.25">
      <c r="A187">
        <f t="shared" si="6"/>
        <v>178</v>
      </c>
      <c r="B187" s="93" t="str">
        <f>IFERROR(RIGHT(Table246[[#This Row],[Controller Input '#]],3)*1,"")</f>
        <v/>
      </c>
      <c r="C187" s="99"/>
      <c r="D187" s="1"/>
      <c r="E187" s="11" t="s">
        <v>319</v>
      </c>
      <c r="F187" s="11" t="s">
        <v>320</v>
      </c>
      <c r="G187" s="11"/>
      <c r="H187" s="21"/>
      <c r="I187" s="11" t="s">
        <v>70</v>
      </c>
      <c r="J187" s="11" t="s">
        <v>125</v>
      </c>
      <c r="K187" s="11" t="s">
        <v>80</v>
      </c>
      <c r="L187" s="11" t="s">
        <v>81</v>
      </c>
      <c r="M187" s="1"/>
      <c r="N187" s="18">
        <f>IF(ISNUMBER(SEARCH("ANALOG",Table246[[#This Row],[Type]]))=TRUE,1,"")</f>
        <v>1</v>
      </c>
      <c r="O187" s="18" t="str">
        <f>IF(ISNUMBER(SEARCH("BINARY",Table246[[#This Row],[Type]]))=TRUE,1,"")</f>
        <v/>
      </c>
      <c r="P187" s="7" t="e">
        <f>IF(Table246[[#This Row],[Type]]="","",LEFT(Table246[[#This Row],[Type]],1)&amp;LEFT(#REF!,1))</f>
        <v>#REF!</v>
      </c>
      <c r="Q187" s="18" t="e">
        <f>IF(Table246[[#This Row],[Type]]="","",LEFT(Table246[[#This Row],[Type]],1)&amp;LEFT(#REF!,1))</f>
        <v>#REF!</v>
      </c>
      <c r="R187" s="18"/>
      <c r="S187" s="7" t="e">
        <f>IF(Table246[[#This Row],[A Counter]]=1,"AI"&amp;#REF!+SUM($N$43:N187),IF(Table246[[#This Row],[B Counter]]=1,"BI"&amp;#REF!+SUM($O$43:O187),""))</f>
        <v>#REF!</v>
      </c>
      <c r="T187" s="18"/>
      <c r="U187" s="68"/>
    </row>
    <row r="188" spans="1:21" x14ac:dyDescent="0.25">
      <c r="A188">
        <f t="shared" si="6"/>
        <v>179</v>
      </c>
      <c r="B188" s="130" t="str">
        <f>IFERROR(RIGHT(Table246[[#This Row],[Controller Input '#]],3)*1,"")</f>
        <v/>
      </c>
      <c r="C188" s="99"/>
      <c r="D188" s="1"/>
      <c r="E188" s="11" t="s">
        <v>321</v>
      </c>
      <c r="F188" s="11" t="s">
        <v>322</v>
      </c>
      <c r="G188" s="11"/>
      <c r="H188" s="21"/>
      <c r="I188" s="11" t="s">
        <v>103</v>
      </c>
      <c r="J188" s="11" t="s">
        <v>125</v>
      </c>
      <c r="K188" s="11" t="s">
        <v>112</v>
      </c>
      <c r="L188" s="11"/>
      <c r="M188" s="1"/>
      <c r="N188" s="18" t="str">
        <f>IF(ISNUMBER(SEARCH("ANALOG",Table246[[#This Row],[Type]]))=TRUE,1,"")</f>
        <v/>
      </c>
      <c r="O188" s="18">
        <f>IF(ISNUMBER(SEARCH("BINARY",Table246[[#This Row],[Type]]))=TRUE,1,"")</f>
        <v>1</v>
      </c>
      <c r="P188" s="7" t="e">
        <f>IF(Table246[[#This Row],[Type]]="","",LEFT(Table246[[#This Row],[Type]],1)&amp;LEFT(#REF!,1))</f>
        <v>#REF!</v>
      </c>
      <c r="Q188" s="18" t="e">
        <f>IF(Table246[[#This Row],[Type]]="","",LEFT(Table246[[#This Row],[Type]],1)&amp;LEFT(#REF!,1))</f>
        <v>#REF!</v>
      </c>
      <c r="R188" s="18"/>
      <c r="S188" s="7" t="e">
        <f>IF(Table246[[#This Row],[A Counter]]=1,"AI"&amp;#REF!+SUM($N$43:N188),IF(Table246[[#This Row],[B Counter]]=1,"BI"&amp;#REF!+SUM($O$43:O188),""))</f>
        <v>#REF!</v>
      </c>
      <c r="T188" s="18"/>
      <c r="U188" s="69"/>
    </row>
    <row r="189" spans="1:21" x14ac:dyDescent="0.25">
      <c r="A189">
        <f t="shared" si="6"/>
        <v>180</v>
      </c>
      <c r="B189" s="93" t="str">
        <f>IFERROR(RIGHT(Table246[[#This Row],[Controller Input '#]],3)*1,"")</f>
        <v/>
      </c>
      <c r="C189" s="99"/>
      <c r="D189" s="1"/>
      <c r="E189" s="1"/>
      <c r="F189" s="1"/>
      <c r="G189" s="1"/>
      <c r="H189" s="8"/>
      <c r="I189" s="1"/>
      <c r="J189" s="1"/>
      <c r="K189" s="1"/>
      <c r="L189" s="1"/>
      <c r="M189" s="1"/>
      <c r="N189" s="1"/>
      <c r="O189" s="1"/>
      <c r="Q189" s="1"/>
      <c r="R189" s="1"/>
      <c r="S189" s="7"/>
      <c r="T189" s="1"/>
    </row>
    <row r="190" spans="1:21" x14ac:dyDescent="0.25">
      <c r="A190">
        <f t="shared" si="6"/>
        <v>181</v>
      </c>
      <c r="B190" s="130" t="str">
        <f>IFERROR(RIGHT(Table246[[#This Row],[Controller Input '#]],3)*1,"")</f>
        <v/>
      </c>
      <c r="C190" s="99"/>
      <c r="D190" s="1"/>
      <c r="E190" s="1"/>
      <c r="F190" s="1"/>
      <c r="G190" s="1"/>
      <c r="H190" s="8"/>
      <c r="I190" s="1"/>
      <c r="J190" s="1"/>
      <c r="K190" s="1"/>
      <c r="L190" s="1"/>
      <c r="M190" s="1"/>
      <c r="N190" s="1"/>
      <c r="O190" s="1"/>
      <c r="Q190" s="1"/>
      <c r="R190" s="1"/>
      <c r="S190" s="7"/>
      <c r="T190" s="1"/>
    </row>
    <row r="191" spans="1:21" x14ac:dyDescent="0.25">
      <c r="A191">
        <f t="shared" si="6"/>
        <v>182</v>
      </c>
      <c r="B191" s="93" t="str">
        <f>IFERROR(RIGHT(Table246[[#This Row],[Controller Input '#]],3)*1,"")</f>
        <v/>
      </c>
      <c r="C191" s="99"/>
      <c r="D191" s="1"/>
      <c r="E191" s="1"/>
      <c r="F191" s="1"/>
      <c r="G191" s="1"/>
      <c r="H191" s="8"/>
      <c r="I191" s="1"/>
      <c r="J191" s="1"/>
      <c r="K191" s="1"/>
      <c r="L191" s="1"/>
      <c r="M191" s="1"/>
      <c r="N191" s="1"/>
      <c r="O191" s="1"/>
      <c r="Q191" s="1"/>
      <c r="R191" s="1"/>
      <c r="S191" s="7"/>
      <c r="T191" s="1"/>
    </row>
    <row r="192" spans="1:21" x14ac:dyDescent="0.25">
      <c r="A192">
        <f t="shared" si="6"/>
        <v>183</v>
      </c>
      <c r="B192" s="130" t="str">
        <f>IFERROR(RIGHT(Table246[[#This Row],[Controller Input '#]],3)*1,"")</f>
        <v/>
      </c>
      <c r="C192" s="99"/>
      <c r="D192" s="1"/>
      <c r="E192" s="1"/>
      <c r="F192" s="1"/>
      <c r="G192" s="1"/>
      <c r="H192" s="8"/>
      <c r="I192" s="1"/>
      <c r="J192" s="1"/>
      <c r="K192" s="1"/>
      <c r="L192" s="1"/>
      <c r="M192" s="1"/>
      <c r="N192" s="1"/>
      <c r="O192" s="1"/>
      <c r="Q192" s="1"/>
      <c r="R192" s="1"/>
      <c r="S192" s="7"/>
      <c r="T192" s="1"/>
    </row>
    <row r="193" spans="1:21" x14ac:dyDescent="0.25">
      <c r="A193">
        <f t="shared" si="6"/>
        <v>184</v>
      </c>
      <c r="B193" s="93" t="str">
        <f>IFERROR(RIGHT(Table246[[#This Row],[Controller Input '#]],3)*1,"")</f>
        <v/>
      </c>
      <c r="C193" s="99"/>
      <c r="D193" s="1"/>
      <c r="E193" s="1"/>
      <c r="F193" s="1"/>
      <c r="G193" s="1"/>
      <c r="H193" s="8"/>
      <c r="I193" s="1"/>
      <c r="J193" s="1"/>
      <c r="K193" s="1"/>
      <c r="L193" s="1"/>
      <c r="M193" s="1"/>
      <c r="N193" s="1"/>
      <c r="O193" s="1"/>
      <c r="Q193" s="1"/>
      <c r="R193" s="1"/>
      <c r="S193" s="7"/>
      <c r="T193" s="1"/>
    </row>
    <row r="194" spans="1:21" x14ac:dyDescent="0.25">
      <c r="A194">
        <f t="shared" si="6"/>
        <v>185</v>
      </c>
      <c r="B194" s="130" t="str">
        <f>IFERROR(RIGHT(Table246[[#This Row],[Controller Input '#]],3)*1,"")</f>
        <v/>
      </c>
      <c r="C194" s="99"/>
      <c r="D194" s="1"/>
      <c r="E194" s="1"/>
      <c r="F194" s="1"/>
      <c r="G194" s="1"/>
      <c r="H194" s="8"/>
      <c r="I194" s="1"/>
      <c r="J194" s="1"/>
      <c r="K194" s="1"/>
      <c r="L194" s="1"/>
      <c r="M194" s="1"/>
      <c r="N194" s="1"/>
      <c r="O194" s="1"/>
      <c r="Q194" s="1"/>
      <c r="R194" s="1"/>
      <c r="S194" s="7"/>
      <c r="T194" s="1"/>
    </row>
    <row r="195" spans="1:21" x14ac:dyDescent="0.25">
      <c r="A195">
        <f t="shared" si="6"/>
        <v>186</v>
      </c>
      <c r="B195" s="93" t="str">
        <f>IFERROR(RIGHT(Table246[[#This Row],[Controller Input '#]],3)*1,"")</f>
        <v/>
      </c>
      <c r="C195" s="99"/>
      <c r="D195" s="1"/>
      <c r="E195" s="1"/>
      <c r="F195" s="1"/>
      <c r="G195" s="1"/>
      <c r="H195" s="8"/>
      <c r="I195" s="1"/>
      <c r="J195" s="1"/>
      <c r="K195" s="1"/>
      <c r="L195" s="1"/>
      <c r="M195" s="1"/>
      <c r="N195" s="1"/>
      <c r="O195" s="1"/>
      <c r="Q195" s="1"/>
      <c r="R195" s="1"/>
      <c r="S195" s="7"/>
      <c r="T195" s="1"/>
    </row>
    <row r="196" spans="1:21" x14ac:dyDescent="0.25">
      <c r="A196">
        <f t="shared" si="6"/>
        <v>187</v>
      </c>
      <c r="B196" s="130" t="str">
        <f>IFERROR(RIGHT(Table246[[#This Row],[Controller Input '#]],3)*1,"")</f>
        <v/>
      </c>
      <c r="C196" s="99"/>
      <c r="D196" s="1"/>
      <c r="E196" s="1"/>
      <c r="F196" s="1"/>
      <c r="G196" s="1"/>
      <c r="H196" s="8"/>
      <c r="I196" s="1"/>
      <c r="J196" s="1"/>
      <c r="K196" s="1"/>
      <c r="L196" s="18"/>
      <c r="M196" s="1"/>
      <c r="N196" s="18" t="str">
        <f>IF(ISNUMBER(SEARCH("ANALOG",Table246[[#This Row],[Type]]))=TRUE,1,"")</f>
        <v/>
      </c>
      <c r="O196" s="18" t="str">
        <f>IF(ISNUMBER(SEARCH("BINARY",Table246[[#This Row],[Type]]))=TRUE,1,"")</f>
        <v/>
      </c>
      <c r="P196" s="7" t="str">
        <f>IF(Table246[[#This Row],[Type]]="","",LEFT(Table246[[#This Row],[Type]],1)&amp;LEFT(#REF!,1))</f>
        <v/>
      </c>
      <c r="Q196" s="18" t="str">
        <f>IF(Table246[[#This Row],[Type]]="","",LEFT(Table246[[#This Row],[Type]],1)&amp;LEFT(#REF!,1))</f>
        <v/>
      </c>
      <c r="R196" s="18"/>
      <c r="S196" s="7" t="str">
        <f>IF(Table246[[#This Row],[A Counter]]=1,"AI"&amp;#REF!+SUM($N$43:N196),IF(Table246[[#This Row],[B Counter]]=1,"BI"&amp;#REF!+SUM($O$43:O196),""))</f>
        <v/>
      </c>
      <c r="T196" s="18"/>
      <c r="U196" s="7"/>
    </row>
    <row r="197" spans="1:21" x14ac:dyDescent="0.25">
      <c r="A197">
        <f t="shared" si="6"/>
        <v>188</v>
      </c>
      <c r="B197" s="93" t="str">
        <f>IFERROR(RIGHT(Table246[[#This Row],[Controller Input '#]],3)*1,"")</f>
        <v/>
      </c>
      <c r="C197" s="99"/>
      <c r="D197" s="1"/>
      <c r="E197" s="1"/>
      <c r="F197" s="1"/>
      <c r="G197" s="1"/>
      <c r="H197" s="8"/>
      <c r="I197" s="1"/>
      <c r="J197" s="1"/>
      <c r="K197" s="1"/>
      <c r="L197" s="1"/>
      <c r="M197" s="1"/>
      <c r="N197" s="1"/>
      <c r="O197" s="1"/>
      <c r="Q197" s="1"/>
      <c r="R197" s="1"/>
      <c r="S197" s="7"/>
      <c r="T197" s="1"/>
    </row>
    <row r="198" spans="1:21" x14ac:dyDescent="0.25">
      <c r="A198">
        <f t="shared" si="6"/>
        <v>189</v>
      </c>
      <c r="B198" s="130" t="str">
        <f>IFERROR(RIGHT(Table246[[#This Row],[Controller Input '#]],3)*1,"")</f>
        <v/>
      </c>
      <c r="C198" s="99"/>
      <c r="D198" s="1"/>
      <c r="E198" s="1"/>
      <c r="F198" s="1"/>
      <c r="G198" s="1"/>
      <c r="H198" s="8"/>
      <c r="I198" s="1"/>
      <c r="J198" s="1"/>
      <c r="K198" s="1"/>
      <c r="L198" s="1"/>
      <c r="M198" s="1"/>
      <c r="N198" s="1"/>
      <c r="O198" s="1"/>
      <c r="Q198" s="1"/>
      <c r="R198" s="1"/>
      <c r="S198" s="7"/>
      <c r="T198" s="1"/>
    </row>
    <row r="199" spans="1:21" x14ac:dyDescent="0.25">
      <c r="A199">
        <f t="shared" si="6"/>
        <v>190</v>
      </c>
      <c r="B199" s="93" t="str">
        <f>IFERROR(RIGHT(Table246[[#This Row],[Controller Input '#]],3)*1,"")</f>
        <v/>
      </c>
      <c r="C199" s="99"/>
      <c r="D199" s="1"/>
      <c r="E199" s="1"/>
      <c r="F199" s="1"/>
      <c r="G199" s="1"/>
      <c r="H199" s="8"/>
      <c r="I199" s="1"/>
      <c r="J199" s="1"/>
      <c r="K199" s="1"/>
      <c r="L199" s="1"/>
      <c r="M199" s="1"/>
      <c r="N199" s="1"/>
      <c r="O199" s="1"/>
      <c r="Q199" s="1"/>
      <c r="R199" s="1"/>
      <c r="S199" s="7"/>
      <c r="T199" s="1"/>
    </row>
    <row r="200" spans="1:21" x14ac:dyDescent="0.25">
      <c r="A200">
        <f t="shared" si="6"/>
        <v>191</v>
      </c>
      <c r="B200" s="130" t="str">
        <f>IFERROR(RIGHT(Table246[[#This Row],[Controller Input '#]],3)*1,"")</f>
        <v/>
      </c>
      <c r="C200" s="99"/>
      <c r="D200" s="1"/>
      <c r="E200" s="1" t="s">
        <v>343</v>
      </c>
      <c r="F200" s="1" t="s">
        <v>344</v>
      </c>
      <c r="G200" s="1"/>
      <c r="H200" s="8"/>
      <c r="I200" s="1" t="s">
        <v>70</v>
      </c>
      <c r="J200" s="1" t="s">
        <v>125</v>
      </c>
      <c r="K200" s="1" t="s">
        <v>80</v>
      </c>
      <c r="L200" s="11"/>
      <c r="M200" s="1"/>
      <c r="N200" s="18">
        <f>IF(ISNUMBER(SEARCH("ANALOG",Table246[[#This Row],[Type]]))=TRUE,1,"")</f>
        <v>1</v>
      </c>
      <c r="O200" s="18" t="str">
        <f>IF(ISNUMBER(SEARCH("BINARY",Table246[[#This Row],[Type]]))=TRUE,1,"")</f>
        <v/>
      </c>
      <c r="P200" s="7" t="e">
        <f>IF(Table246[[#This Row],[Type]]="","",LEFT(Table246[[#This Row],[Type]],1)&amp;LEFT(#REF!,1))</f>
        <v>#REF!</v>
      </c>
      <c r="Q200" s="18" t="e">
        <f>IF(Table246[[#This Row],[Type]]="","",LEFT(Table246[[#This Row],[Type]],1)&amp;LEFT(#REF!,1))</f>
        <v>#REF!</v>
      </c>
      <c r="R200" s="18"/>
      <c r="S200" s="7" t="e">
        <f>IF(Table246[[#This Row],[A Counter]]=1,"AI"&amp;#REF!+SUM($N$43:N200),IF(Table246[[#This Row],[B Counter]]=1,"BI"&amp;#REF!+SUM($O$43:O200),""))</f>
        <v>#REF!</v>
      </c>
      <c r="T200" s="18" t="s">
        <v>34</v>
      </c>
      <c r="U200" s="7"/>
    </row>
    <row r="201" spans="1:21" x14ac:dyDescent="0.25">
      <c r="A201">
        <f t="shared" si="6"/>
        <v>192</v>
      </c>
      <c r="B201" s="93" t="str">
        <f>IFERROR(RIGHT(Table246[[#This Row],[Controller Input '#]],3)*1,"")</f>
        <v/>
      </c>
      <c r="C201" s="99"/>
      <c r="D201" s="1"/>
      <c r="E201" s="1" t="s">
        <v>345</v>
      </c>
      <c r="F201" s="1" t="s">
        <v>346</v>
      </c>
      <c r="G201" s="11"/>
      <c r="H201" s="21"/>
      <c r="I201" s="1" t="s">
        <v>70</v>
      </c>
      <c r="J201" s="1" t="s">
        <v>125</v>
      </c>
      <c r="K201" s="1" t="s">
        <v>127</v>
      </c>
      <c r="L201" s="11"/>
      <c r="M201" s="1"/>
      <c r="N201" s="18">
        <f>IF(ISNUMBER(SEARCH("ANALOG",Table246[[#This Row],[Type]]))=TRUE,1,"")</f>
        <v>1</v>
      </c>
      <c r="O201" s="18" t="str">
        <f>IF(ISNUMBER(SEARCH("BINARY",Table246[[#This Row],[Type]]))=TRUE,1,"")</f>
        <v/>
      </c>
      <c r="P201" s="7" t="e">
        <f>IF(Table246[[#This Row],[Type]]="","",LEFT(Table246[[#This Row],[Type]],1)&amp;LEFT(#REF!,1))</f>
        <v>#REF!</v>
      </c>
      <c r="Q201" s="18" t="e">
        <f>IF(Table246[[#This Row],[Type]]="","",LEFT(Table246[[#This Row],[Type]],1)&amp;LEFT(#REF!,1))</f>
        <v>#REF!</v>
      </c>
      <c r="R201" s="18"/>
      <c r="S201" s="7" t="e">
        <f>IF(Table246[[#This Row],[A Counter]]=1,"AI"&amp;#REF!+SUM($N$43:N201),IF(Table246[[#This Row],[B Counter]]=1,"BI"&amp;#REF!+SUM($O$43:O201),""))</f>
        <v>#REF!</v>
      </c>
      <c r="T201" s="18" t="s">
        <v>34</v>
      </c>
      <c r="U201" s="7"/>
    </row>
    <row r="202" spans="1:21" x14ac:dyDescent="0.25">
      <c r="A202">
        <f t="shared" si="6"/>
        <v>193</v>
      </c>
      <c r="B202" s="130" t="str">
        <f>IFERROR(RIGHT(Table246[[#This Row],[Controller Input '#]],3)*1,"")</f>
        <v/>
      </c>
      <c r="C202" s="99"/>
      <c r="D202" s="1"/>
      <c r="E202" s="1" t="s">
        <v>347</v>
      </c>
      <c r="F202" s="1" t="s">
        <v>348</v>
      </c>
      <c r="G202" s="1"/>
      <c r="H202" s="8"/>
      <c r="I202" s="1" t="s">
        <v>70</v>
      </c>
      <c r="J202" s="1" t="s">
        <v>125</v>
      </c>
      <c r="K202" s="1" t="s">
        <v>119</v>
      </c>
      <c r="L202" s="1"/>
      <c r="M202" s="1"/>
      <c r="N202" s="18">
        <f>IF(ISNUMBER(SEARCH("ANALOG",Table246[[#This Row],[Type]]))=TRUE,1,"")</f>
        <v>1</v>
      </c>
      <c r="O202" s="18" t="str">
        <f>IF(ISNUMBER(SEARCH("BINARY",Table246[[#This Row],[Type]]))=TRUE,1,"")</f>
        <v/>
      </c>
      <c r="P202" s="7" t="e">
        <f>IF(Table246[[#This Row],[Type]]="","",LEFT(Table246[[#This Row],[Type]],1)&amp;LEFT(#REF!,1))</f>
        <v>#REF!</v>
      </c>
      <c r="Q202" s="18" t="e">
        <f>IF(Table246[[#This Row],[Type]]="","",LEFT(Table246[[#This Row],[Type]],1)&amp;LEFT(#REF!,1))</f>
        <v>#REF!</v>
      </c>
      <c r="R202" s="18"/>
      <c r="S202" s="7" t="e">
        <f>IF(Table246[[#This Row],[A Counter]]=1,"AI"&amp;#REF!+SUM($N$43:N202),IF(Table246[[#This Row],[B Counter]]=1,"BI"&amp;#REF!+SUM($O$43:O202),""))</f>
        <v>#REF!</v>
      </c>
      <c r="T202" s="18" t="s">
        <v>34</v>
      </c>
      <c r="U202" s="7"/>
    </row>
    <row r="203" spans="1:21" x14ac:dyDescent="0.25">
      <c r="A203">
        <f t="shared" si="6"/>
        <v>194</v>
      </c>
      <c r="B203" s="93" t="str">
        <f>IFERROR(RIGHT(Table246[[#This Row],[Controller Input '#]],3)*1,"")</f>
        <v/>
      </c>
      <c r="C203" s="99"/>
      <c r="D203" s="1"/>
      <c r="E203" s="1" t="s">
        <v>349</v>
      </c>
      <c r="F203" s="1" t="s">
        <v>350</v>
      </c>
      <c r="G203" s="1"/>
      <c r="H203" s="8"/>
      <c r="I203" s="1" t="s">
        <v>103</v>
      </c>
      <c r="J203" s="1" t="s">
        <v>125</v>
      </c>
      <c r="K203" s="1" t="s">
        <v>112</v>
      </c>
      <c r="L203" s="1"/>
      <c r="M203" s="11"/>
      <c r="N203" s="18" t="str">
        <f>IF(ISNUMBER(SEARCH("ANALOG",Table246[[#This Row],[Type]]))=TRUE,1,"")</f>
        <v/>
      </c>
      <c r="O203" s="18">
        <f>IF(ISNUMBER(SEARCH("BINARY",Table246[[#This Row],[Type]]))=TRUE,1,"")</f>
        <v>1</v>
      </c>
      <c r="P203" s="7" t="e">
        <f>IF(Table246[[#This Row],[Type]]="","",LEFT(Table246[[#This Row],[Type]],1)&amp;LEFT(#REF!,1))</f>
        <v>#REF!</v>
      </c>
      <c r="Q203" s="18" t="e">
        <f>IF(Table246[[#This Row],[Type]]="","",LEFT(Table246[[#This Row],[Type]],1)&amp;LEFT(#REF!,1))</f>
        <v>#REF!</v>
      </c>
      <c r="R203" s="18"/>
      <c r="S203" s="7" t="e">
        <f>IF(Table246[[#This Row],[A Counter]]=1,"AI"&amp;#REF!+SUM($N$43:N203),IF(Table246[[#This Row],[B Counter]]=1,"BI"&amp;#REF!+SUM($O$43:O203),""))</f>
        <v>#REF!</v>
      </c>
      <c r="T203" s="18" t="s">
        <v>34</v>
      </c>
      <c r="U203" s="7"/>
    </row>
    <row r="204" spans="1:21" x14ac:dyDescent="0.25">
      <c r="A204">
        <f t="shared" si="6"/>
        <v>195</v>
      </c>
      <c r="B204" s="130" t="str">
        <f>IFERROR(RIGHT(Table246[[#This Row],[Controller Input '#]],3)*1,"")</f>
        <v/>
      </c>
      <c r="C204" s="99"/>
      <c r="D204" s="1"/>
      <c r="E204" s="11"/>
      <c r="F204" s="11"/>
      <c r="G204" s="1"/>
      <c r="H204" s="21"/>
      <c r="I204" s="11"/>
      <c r="J204" s="11"/>
      <c r="K204" s="11"/>
      <c r="L204" s="11"/>
      <c r="M204" s="11"/>
      <c r="N204" s="18" t="str">
        <f>IF(ISNUMBER(SEARCH("ANALOG",Table246[[#This Row],[Type]]))=TRUE,1,"")</f>
        <v/>
      </c>
      <c r="O204" s="18" t="str">
        <f>IF(ISNUMBER(SEARCH("BINARY",Table246[[#This Row],[Type]]))=TRUE,1,"")</f>
        <v/>
      </c>
      <c r="P204" s="7" t="str">
        <f>IF(Table246[[#This Row],[Type]]="","",LEFT(Table246[[#This Row],[Type]],1)&amp;LEFT(#REF!,1))</f>
        <v/>
      </c>
      <c r="Q204" s="18" t="str">
        <f>IF(Table246[[#This Row],[Type]]="","",LEFT(Table246[[#This Row],[Type]],1)&amp;LEFT(#REF!,1))</f>
        <v/>
      </c>
      <c r="R204" s="18"/>
      <c r="S204" s="7" t="str">
        <f>IF(Table246[[#This Row],[A Counter]]=1,"AI"&amp;#REF!+SUM($N$43:N204),IF(Table246[[#This Row],[B Counter]]=1,"BI"&amp;#REF!+SUM($O$43:O204),""))</f>
        <v/>
      </c>
      <c r="T204" s="18" t="s">
        <v>34</v>
      </c>
      <c r="U204" s="7"/>
    </row>
    <row r="205" spans="1:21" x14ac:dyDescent="0.25">
      <c r="A205">
        <f t="shared" si="6"/>
        <v>196</v>
      </c>
      <c r="B205" s="93" t="str">
        <f>IFERROR(RIGHT(Table246[[#This Row],[Controller Input '#]],3)*1,"")</f>
        <v/>
      </c>
      <c r="C205" s="99"/>
      <c r="D205" s="1"/>
      <c r="E205" s="11" t="s">
        <v>353</v>
      </c>
      <c r="F205" s="11" t="s">
        <v>354</v>
      </c>
      <c r="G205" s="11"/>
      <c r="H205" s="21"/>
      <c r="I205" s="11" t="s">
        <v>70</v>
      </c>
      <c r="J205" s="11" t="s">
        <v>125</v>
      </c>
      <c r="K205" s="11" t="s">
        <v>80</v>
      </c>
      <c r="L205" s="11"/>
      <c r="M205" s="11"/>
      <c r="N205" s="18">
        <f>IF(ISNUMBER(SEARCH("ANALOG",Table246[[#This Row],[Type]]))=TRUE,1,"")</f>
        <v>1</v>
      </c>
      <c r="O205" s="18" t="str">
        <f>IF(ISNUMBER(SEARCH("BINARY",Table246[[#This Row],[Type]]))=TRUE,1,"")</f>
        <v/>
      </c>
      <c r="P205" s="7" t="e">
        <f>IF(Table246[[#This Row],[Type]]="","",LEFT(Table246[[#This Row],[Type]],1)&amp;LEFT(#REF!,1))</f>
        <v>#REF!</v>
      </c>
      <c r="Q205" s="18" t="e">
        <f>IF(Table246[[#This Row],[Type]]="","",LEFT(Table246[[#This Row],[Type]],1)&amp;LEFT(#REF!,1))</f>
        <v>#REF!</v>
      </c>
      <c r="R205" s="18"/>
      <c r="S205" s="7" t="e">
        <f>IF(Table246[[#This Row],[A Counter]]=1,"AI"&amp;#REF!+SUM($N$43:N205),IF(Table246[[#This Row],[B Counter]]=1,"BI"&amp;#REF!+SUM($O$43:O205),""))</f>
        <v>#REF!</v>
      </c>
      <c r="T205" s="18" t="s">
        <v>34</v>
      </c>
      <c r="U205" s="7"/>
    </row>
    <row r="206" spans="1:21" x14ac:dyDescent="0.25">
      <c r="A206">
        <f t="shared" si="6"/>
        <v>197</v>
      </c>
      <c r="B206" s="130" t="str">
        <f>IFERROR(RIGHT(Table246[[#This Row],[Controller Input '#]],3)*1,"")</f>
        <v/>
      </c>
      <c r="C206" s="99"/>
      <c r="D206" s="1"/>
      <c r="E206" s="11" t="s">
        <v>355</v>
      </c>
      <c r="F206" s="11" t="s">
        <v>356</v>
      </c>
      <c r="G206" s="11"/>
      <c r="H206" s="21"/>
      <c r="I206" s="11" t="s">
        <v>70</v>
      </c>
      <c r="J206" s="11" t="s">
        <v>125</v>
      </c>
      <c r="K206" s="11" t="s">
        <v>127</v>
      </c>
      <c r="L206" s="11"/>
      <c r="M206" s="1"/>
      <c r="N206" s="18">
        <f>IF(ISNUMBER(SEARCH("ANALOG",Table246[[#This Row],[Type]]))=TRUE,1,"")</f>
        <v>1</v>
      </c>
      <c r="O206" s="18" t="str">
        <f>IF(ISNUMBER(SEARCH("BINARY",Table246[[#This Row],[Type]]))=TRUE,1,"")</f>
        <v/>
      </c>
      <c r="P206" s="7" t="e">
        <f>IF(Table246[[#This Row],[Type]]="","",LEFT(Table246[[#This Row],[Type]],1)&amp;LEFT(#REF!,1))</f>
        <v>#REF!</v>
      </c>
      <c r="Q206" s="18" t="e">
        <f>IF(Table246[[#This Row],[Type]]="","",LEFT(Table246[[#This Row],[Type]],1)&amp;LEFT(#REF!,1))</f>
        <v>#REF!</v>
      </c>
      <c r="R206" s="18"/>
      <c r="S206" s="7" t="e">
        <f>IF(Table246[[#This Row],[A Counter]]=1,"AI"&amp;#REF!+SUM($N$43:N206),IF(Table246[[#This Row],[B Counter]]=1,"BI"&amp;#REF!+SUM($O$43:O206),""))</f>
        <v>#REF!</v>
      </c>
      <c r="T206" s="18" t="s">
        <v>34</v>
      </c>
      <c r="U206" s="7"/>
    </row>
    <row r="207" spans="1:21" x14ac:dyDescent="0.25">
      <c r="A207">
        <f t="shared" si="6"/>
        <v>198</v>
      </c>
      <c r="B207" s="93" t="str">
        <f>IFERROR(RIGHT(Table246[[#This Row],[Controller Input '#]],3)*1,"")</f>
        <v/>
      </c>
      <c r="C207" s="99"/>
      <c r="D207" s="1"/>
      <c r="E207" s="23" t="s">
        <v>357</v>
      </c>
      <c r="F207" s="23" t="s">
        <v>358</v>
      </c>
      <c r="G207" s="23"/>
      <c r="H207" s="27"/>
      <c r="I207" s="23" t="s">
        <v>70</v>
      </c>
      <c r="J207" s="23" t="s">
        <v>125</v>
      </c>
      <c r="K207" s="23" t="s">
        <v>119</v>
      </c>
      <c r="L207" s="23"/>
      <c r="M207" s="1"/>
      <c r="N207" s="18">
        <f>IF(ISNUMBER(SEARCH("ANALOG",Table246[[#This Row],[Type]]))=TRUE,1,"")</f>
        <v>1</v>
      </c>
      <c r="O207" s="18" t="str">
        <f>IF(ISNUMBER(SEARCH("BINARY",Table246[[#This Row],[Type]]))=TRUE,1,"")</f>
        <v/>
      </c>
      <c r="P207" s="7" t="e">
        <f>IF(Table246[[#This Row],[Type]]="","",LEFT(Table246[[#This Row],[Type]],1)&amp;LEFT(#REF!,1))</f>
        <v>#REF!</v>
      </c>
      <c r="Q207" s="18" t="e">
        <f>IF(Table246[[#This Row],[Type]]="","",LEFT(Table246[[#This Row],[Type]],1)&amp;LEFT(#REF!,1))</f>
        <v>#REF!</v>
      </c>
      <c r="R207" s="18"/>
      <c r="S207" s="7" t="e">
        <f>IF(Table246[[#This Row],[A Counter]]=1,"AI"&amp;#REF!+SUM($N$43:N207),IF(Table246[[#This Row],[B Counter]]=1,"BI"&amp;#REF!+SUM($O$43:O207),""))</f>
        <v>#REF!</v>
      </c>
      <c r="T207" s="18" t="s">
        <v>34</v>
      </c>
      <c r="U207" s="7"/>
    </row>
    <row r="208" spans="1:21" x14ac:dyDescent="0.25">
      <c r="A208">
        <f t="shared" si="6"/>
        <v>199</v>
      </c>
      <c r="B208" s="130" t="str">
        <f>IFERROR(RIGHT(Table246[[#This Row],[Controller Input '#]],3)*1,"")</f>
        <v/>
      </c>
      <c r="C208" s="99"/>
      <c r="D208" s="1"/>
      <c r="E208" s="11" t="s">
        <v>359</v>
      </c>
      <c r="F208" s="11" t="s">
        <v>360</v>
      </c>
      <c r="G208" s="11"/>
      <c r="H208" s="21"/>
      <c r="I208" s="11" t="s">
        <v>103</v>
      </c>
      <c r="J208" s="11" t="s">
        <v>125</v>
      </c>
      <c r="K208" s="11" t="s">
        <v>112</v>
      </c>
      <c r="L208" s="11"/>
      <c r="M208" s="11"/>
      <c r="N208" s="18" t="str">
        <f>IF(ISNUMBER(SEARCH("ANALOG",Table246[[#This Row],[Type]]))=TRUE,1,"")</f>
        <v/>
      </c>
      <c r="O208" s="18">
        <f>IF(ISNUMBER(SEARCH("BINARY",Table246[[#This Row],[Type]]))=TRUE,1,"")</f>
        <v>1</v>
      </c>
      <c r="P208" s="7" t="e">
        <f>IF(Table246[[#This Row],[Type]]="","",LEFT(Table246[[#This Row],[Type]],1)&amp;LEFT(#REF!,1))</f>
        <v>#REF!</v>
      </c>
      <c r="Q208" s="18" t="e">
        <f>IF(Table246[[#This Row],[Type]]="","",LEFT(Table246[[#This Row],[Type]],1)&amp;LEFT(#REF!,1))</f>
        <v>#REF!</v>
      </c>
      <c r="R208" s="18"/>
      <c r="S208" s="7" t="e">
        <f>IF(Table246[[#This Row],[A Counter]]=1,"AI"&amp;#REF!+SUM($N$43:N208),IF(Table246[[#This Row],[B Counter]]=1,"BI"&amp;#REF!+SUM($O$43:O208),""))</f>
        <v>#REF!</v>
      </c>
      <c r="T208" s="26" t="s">
        <v>34</v>
      </c>
      <c r="U208" s="7"/>
    </row>
    <row r="209" spans="1:21" x14ac:dyDescent="0.25">
      <c r="A209">
        <f t="shared" si="6"/>
        <v>200</v>
      </c>
      <c r="B209" s="93" t="str">
        <f>IFERROR(RIGHT(Table246[[#This Row],[Controller Input '#]],3)*1,"")</f>
        <v/>
      </c>
      <c r="C209" s="99"/>
      <c r="D209" s="1"/>
      <c r="E209" s="11"/>
      <c r="F209" s="11"/>
      <c r="G209" s="1"/>
      <c r="H209" s="21"/>
      <c r="I209" s="11"/>
      <c r="J209" s="11"/>
      <c r="K209" s="11"/>
      <c r="L209" s="11"/>
      <c r="M209" s="11"/>
      <c r="N209" s="18" t="str">
        <f>IF(ISNUMBER(SEARCH("ANALOG",Table246[[#This Row],[Type]]))=TRUE,1,"")</f>
        <v/>
      </c>
      <c r="O209" s="18" t="str">
        <f>IF(ISNUMBER(SEARCH("BINARY",Table246[[#This Row],[Type]]))=TRUE,1,"")</f>
        <v/>
      </c>
      <c r="P209" s="7" t="str">
        <f>IF(Table246[[#This Row],[Type]]="","",LEFT(Table246[[#This Row],[Type]],1)&amp;LEFT(#REF!,1))</f>
        <v/>
      </c>
      <c r="Q209" s="18" t="str">
        <f>IF(Table246[[#This Row],[Type]]="","",LEFT(Table246[[#This Row],[Type]],1)&amp;LEFT(#REF!,1))</f>
        <v/>
      </c>
      <c r="R209" s="18"/>
      <c r="S209" s="7" t="str">
        <f>IF(Table246[[#This Row],[A Counter]]=1,"AI"&amp;#REF!+SUM($N$43:N209),IF(Table246[[#This Row],[B Counter]]=1,"BI"&amp;#REF!+SUM($O$43:O209),""))</f>
        <v/>
      </c>
      <c r="T209" s="26" t="s">
        <v>34</v>
      </c>
      <c r="U209" s="7"/>
    </row>
    <row r="210" spans="1:21" x14ac:dyDescent="0.25">
      <c r="A210">
        <f t="shared" si="6"/>
        <v>201</v>
      </c>
      <c r="B210" s="130" t="str">
        <f>IFERROR(RIGHT(Table246[[#This Row],[Controller Input '#]],3)*1,"")</f>
        <v/>
      </c>
      <c r="C210" s="99"/>
      <c r="D210" s="1"/>
      <c r="E210" s="11" t="s">
        <v>363</v>
      </c>
      <c r="F210" s="11" t="s">
        <v>364</v>
      </c>
      <c r="G210" s="11"/>
      <c r="H210" s="21"/>
      <c r="I210" s="11" t="s">
        <v>70</v>
      </c>
      <c r="J210" s="11" t="s">
        <v>125</v>
      </c>
      <c r="K210" s="11" t="s">
        <v>80</v>
      </c>
      <c r="L210" s="11"/>
      <c r="M210" s="11"/>
      <c r="N210" s="18">
        <f>IF(ISNUMBER(SEARCH("ANALOG",Table246[[#This Row],[Type]]))=TRUE,1,"")</f>
        <v>1</v>
      </c>
      <c r="O210" s="18" t="str">
        <f>IF(ISNUMBER(SEARCH("BINARY",Table246[[#This Row],[Type]]))=TRUE,1,"")</f>
        <v/>
      </c>
      <c r="P210" s="7" t="e">
        <f>IF(Table246[[#This Row],[Type]]="","",LEFT(Table246[[#This Row],[Type]],1)&amp;LEFT(#REF!,1))</f>
        <v>#REF!</v>
      </c>
      <c r="Q210" s="18" t="e">
        <f>IF(Table246[[#This Row],[Type]]="","",LEFT(Table246[[#This Row],[Type]],1)&amp;LEFT(#REF!,1))</f>
        <v>#REF!</v>
      </c>
      <c r="R210" s="18"/>
      <c r="S210" s="7" t="e">
        <f>IF(Table246[[#This Row],[A Counter]]=1,"AI"&amp;#REF!+SUM($N$43:N210),IF(Table246[[#This Row],[B Counter]]=1,"BI"&amp;#REF!+SUM($O$43:O210),""))</f>
        <v>#REF!</v>
      </c>
      <c r="T210" s="26" t="s">
        <v>34</v>
      </c>
      <c r="U210" s="7"/>
    </row>
    <row r="211" spans="1:21" x14ac:dyDescent="0.25">
      <c r="A211">
        <f t="shared" si="6"/>
        <v>202</v>
      </c>
      <c r="B211" s="93" t="str">
        <f>IFERROR(RIGHT(Table246[[#This Row],[Controller Input '#]],3)*1,"")</f>
        <v/>
      </c>
      <c r="C211" s="99"/>
      <c r="D211" s="1"/>
      <c r="E211" s="11" t="s">
        <v>365</v>
      </c>
      <c r="F211" s="11" t="s">
        <v>366</v>
      </c>
      <c r="G211" s="11"/>
      <c r="H211" s="21"/>
      <c r="I211" s="11" t="s">
        <v>70</v>
      </c>
      <c r="J211" s="11" t="s">
        <v>125</v>
      </c>
      <c r="K211" s="11" t="s">
        <v>127</v>
      </c>
      <c r="L211" s="11"/>
      <c r="M211" s="23"/>
      <c r="N211" s="18">
        <f>IF(ISNUMBER(SEARCH("ANALOG",Table246[[#This Row],[Type]]))=TRUE,1,"")</f>
        <v>1</v>
      </c>
      <c r="O211" s="18" t="str">
        <f>IF(ISNUMBER(SEARCH("BINARY",Table246[[#This Row],[Type]]))=TRUE,1,"")</f>
        <v/>
      </c>
      <c r="P211" s="7" t="e">
        <f>IF(Table246[[#This Row],[Type]]="","",LEFT(Table246[[#This Row],[Type]],1)&amp;LEFT(#REF!,1))</f>
        <v>#REF!</v>
      </c>
      <c r="Q211" s="18" t="e">
        <f>IF(Table246[[#This Row],[Type]]="","",LEFT(Table246[[#This Row],[Type]],1)&amp;LEFT(#REF!,1))</f>
        <v>#REF!</v>
      </c>
      <c r="R211" s="18"/>
      <c r="S211" s="7" t="e">
        <f>IF(Table246[[#This Row],[A Counter]]=1,"AI"&amp;#REF!+SUM($N$43:N211),IF(Table246[[#This Row],[B Counter]]=1,"BI"&amp;#REF!+SUM($O$43:O211),""))</f>
        <v>#REF!</v>
      </c>
      <c r="T211" s="28" t="s">
        <v>34</v>
      </c>
      <c r="U211" s="7"/>
    </row>
    <row r="212" spans="1:21" x14ac:dyDescent="0.25">
      <c r="A212">
        <f t="shared" si="6"/>
        <v>203</v>
      </c>
      <c r="B212" s="130" t="str">
        <f>IFERROR(RIGHT(Table246[[#This Row],[Controller Input '#]],3)*1,"")</f>
        <v/>
      </c>
      <c r="C212" s="99"/>
      <c r="D212" s="1"/>
      <c r="E212" s="23" t="s">
        <v>367</v>
      </c>
      <c r="F212" s="23" t="s">
        <v>368</v>
      </c>
      <c r="G212" s="23"/>
      <c r="H212" s="27"/>
      <c r="I212" s="23" t="s">
        <v>70</v>
      </c>
      <c r="J212" s="23" t="s">
        <v>125</v>
      </c>
      <c r="K212" s="23" t="s">
        <v>119</v>
      </c>
      <c r="L212" s="23"/>
      <c r="M212" s="11"/>
      <c r="N212" s="18">
        <f>IF(ISNUMBER(SEARCH("ANALOG",Table246[[#This Row],[Type]]))=TRUE,1,"")</f>
        <v>1</v>
      </c>
      <c r="O212" s="18" t="str">
        <f>IF(ISNUMBER(SEARCH("BINARY",Table246[[#This Row],[Type]]))=TRUE,1,"")</f>
        <v/>
      </c>
      <c r="P212" s="7" t="e">
        <f>IF(Table246[[#This Row],[Type]]="","",LEFT(Table246[[#This Row],[Type]],1)&amp;LEFT(#REF!,1))</f>
        <v>#REF!</v>
      </c>
      <c r="Q212" s="18" t="e">
        <f>IF(Table246[[#This Row],[Type]]="","",LEFT(Table246[[#This Row],[Type]],1)&amp;LEFT(#REF!,1))</f>
        <v>#REF!</v>
      </c>
      <c r="R212" s="18"/>
      <c r="S212" s="7" t="e">
        <f>IF(Table246[[#This Row],[A Counter]]=1,"AI"&amp;#REF!+SUM($N$43:N212),IF(Table246[[#This Row],[B Counter]]=1,"BI"&amp;#REF!+SUM($O$43:O212),""))</f>
        <v>#REF!</v>
      </c>
      <c r="T212" s="26" t="s">
        <v>34</v>
      </c>
      <c r="U212" s="7"/>
    </row>
    <row r="213" spans="1:21" x14ac:dyDescent="0.25">
      <c r="A213">
        <f t="shared" si="6"/>
        <v>204</v>
      </c>
      <c r="B213" s="93" t="str">
        <f>IFERROR(RIGHT(Table246[[#This Row],[Controller Input '#]],3)*1,"")</f>
        <v/>
      </c>
      <c r="C213" s="99"/>
      <c r="D213" s="1"/>
      <c r="E213" s="11" t="s">
        <v>369</v>
      </c>
      <c r="F213" s="11" t="s">
        <v>370</v>
      </c>
      <c r="G213" s="11"/>
      <c r="H213" s="21"/>
      <c r="I213" s="11" t="s">
        <v>103</v>
      </c>
      <c r="J213" s="11" t="s">
        <v>125</v>
      </c>
      <c r="K213" s="11" t="s">
        <v>112</v>
      </c>
      <c r="L213" s="11"/>
      <c r="M213" s="11"/>
      <c r="N213" s="18" t="str">
        <f>IF(ISNUMBER(SEARCH("ANALOG",Table246[[#This Row],[Type]]))=TRUE,1,"")</f>
        <v/>
      </c>
      <c r="O213" s="18">
        <f>IF(ISNUMBER(SEARCH("BINARY",Table246[[#This Row],[Type]]))=TRUE,1,"")</f>
        <v>1</v>
      </c>
      <c r="P213" s="7" t="e">
        <f>IF(Table246[[#This Row],[Type]]="","",LEFT(Table246[[#This Row],[Type]],1)&amp;LEFT(#REF!,1))</f>
        <v>#REF!</v>
      </c>
      <c r="Q213" s="18" t="e">
        <f>IF(Table246[[#This Row],[Type]]="","",LEFT(Table246[[#This Row],[Type]],1)&amp;LEFT(#REF!,1))</f>
        <v>#REF!</v>
      </c>
      <c r="R213" s="18"/>
      <c r="S213" s="7" t="e">
        <f>IF(Table246[[#This Row],[A Counter]]=1,"AI"&amp;#REF!+SUM($N$43:N213),IF(Table246[[#This Row],[B Counter]]=1,"BI"&amp;#REF!+SUM($O$43:O213),""))</f>
        <v>#REF!</v>
      </c>
      <c r="T213" s="26" t="s">
        <v>34</v>
      </c>
      <c r="U213" s="7"/>
    </row>
    <row r="214" spans="1:21" x14ac:dyDescent="0.25">
      <c r="A214">
        <f t="shared" si="6"/>
        <v>205</v>
      </c>
      <c r="B214" s="130" t="str">
        <f>IFERROR(RIGHT(Table246[[#This Row],[Controller Input '#]],3)*1,"")</f>
        <v/>
      </c>
      <c r="C214" s="99"/>
      <c r="D214" s="1"/>
      <c r="E214" s="11"/>
      <c r="F214" s="11"/>
      <c r="G214" s="1"/>
      <c r="H214" s="21"/>
      <c r="I214" s="11"/>
      <c r="J214" s="11"/>
      <c r="K214" s="11"/>
      <c r="L214" s="11"/>
      <c r="M214" s="11"/>
      <c r="N214" s="18" t="str">
        <f>IF(ISNUMBER(SEARCH("ANALOG",Table246[[#This Row],[Type]]))=TRUE,1,"")</f>
        <v/>
      </c>
      <c r="O214" s="18" t="str">
        <f>IF(ISNUMBER(SEARCH("BINARY",Table246[[#This Row],[Type]]))=TRUE,1,"")</f>
        <v/>
      </c>
      <c r="P214" s="7" t="str">
        <f>IF(Table246[[#This Row],[Type]]="","",LEFT(Table246[[#This Row],[Type]],1)&amp;LEFT(#REF!,1))</f>
        <v/>
      </c>
      <c r="Q214" s="18" t="str">
        <f>IF(Table246[[#This Row],[Type]]="","",LEFT(Table246[[#This Row],[Type]],1)&amp;LEFT(#REF!,1))</f>
        <v/>
      </c>
      <c r="R214" s="18"/>
      <c r="S214" s="7" t="str">
        <f>IF(Table246[[#This Row],[A Counter]]=1,"AI"&amp;#REF!+SUM($N$43:N214),IF(Table246[[#This Row],[B Counter]]=1,"BI"&amp;#REF!+SUM($O$43:O214),""))</f>
        <v/>
      </c>
      <c r="T214" s="26" t="s">
        <v>34</v>
      </c>
      <c r="U214" s="7"/>
    </row>
    <row r="215" spans="1:21" x14ac:dyDescent="0.25">
      <c r="A215">
        <f t="shared" si="6"/>
        <v>206</v>
      </c>
      <c r="B215" s="93" t="str">
        <f>IFERROR(RIGHT(Table246[[#This Row],[Controller Input '#]],3)*1,"")</f>
        <v/>
      </c>
      <c r="C215" s="99"/>
      <c r="D215" s="1"/>
      <c r="E215" s="11" t="s">
        <v>373</v>
      </c>
      <c r="F215" s="11" t="s">
        <v>374</v>
      </c>
      <c r="G215" s="11"/>
      <c r="H215" s="21"/>
      <c r="I215" s="11" t="s">
        <v>103</v>
      </c>
      <c r="J215" s="11" t="s">
        <v>125</v>
      </c>
      <c r="K215" s="11" t="s">
        <v>112</v>
      </c>
      <c r="L215" s="11"/>
      <c r="M215" s="11"/>
      <c r="N215" s="18" t="str">
        <f>IF(ISNUMBER(SEARCH("ANALOG",Table246[[#This Row],[Type]]))=TRUE,1,"")</f>
        <v/>
      </c>
      <c r="O215" s="18">
        <f>IF(ISNUMBER(SEARCH("BINARY",Table246[[#This Row],[Type]]))=TRUE,1,"")</f>
        <v>1</v>
      </c>
      <c r="P215" s="7" t="e">
        <f>IF(Table246[[#This Row],[Type]]="","",LEFT(Table246[[#This Row],[Type]],1)&amp;LEFT(#REF!,1))</f>
        <v>#REF!</v>
      </c>
      <c r="Q215" s="18" t="e">
        <f>IF(Table246[[#This Row],[Type]]="","",LEFT(Table246[[#This Row],[Type]],1)&amp;LEFT(#REF!,1))</f>
        <v>#REF!</v>
      </c>
      <c r="R215" s="18"/>
      <c r="S215" s="7" t="e">
        <f>IF(Table246[[#This Row],[A Counter]]=1,"AI"&amp;#REF!+SUM($N$43:N215),IF(Table246[[#This Row],[B Counter]]=1,"BI"&amp;#REF!+SUM($O$43:O215),""))</f>
        <v>#REF!</v>
      </c>
      <c r="T215" s="26" t="s">
        <v>34</v>
      </c>
      <c r="U215" s="7"/>
    </row>
    <row r="216" spans="1:21" x14ac:dyDescent="0.25">
      <c r="A216">
        <f t="shared" si="6"/>
        <v>207</v>
      </c>
      <c r="B216" s="130" t="str">
        <f>IFERROR(RIGHT(Table246[[#This Row],[Controller Input '#]],3)*1,"")</f>
        <v/>
      </c>
      <c r="C216" s="99"/>
      <c r="D216" s="1"/>
      <c r="E216" s="11" t="s">
        <v>375</v>
      </c>
      <c r="F216" s="11" t="s">
        <v>376</v>
      </c>
      <c r="G216" s="11"/>
      <c r="H216" s="21"/>
      <c r="I216" s="11" t="s">
        <v>70</v>
      </c>
      <c r="J216" s="11" t="s">
        <v>125</v>
      </c>
      <c r="K216" s="11" t="s">
        <v>80</v>
      </c>
      <c r="L216" s="11"/>
      <c r="M216" s="23"/>
      <c r="N216" s="18">
        <f>IF(ISNUMBER(SEARCH("ANALOG",Table246[[#This Row],[Type]]))=TRUE,1,"")</f>
        <v>1</v>
      </c>
      <c r="O216" s="18" t="str">
        <f>IF(ISNUMBER(SEARCH("BINARY",Table246[[#This Row],[Type]]))=TRUE,1,"")</f>
        <v/>
      </c>
      <c r="P216" s="7" t="e">
        <f>IF(Table246[[#This Row],[Type]]="","",LEFT(Table246[[#This Row],[Type]],1)&amp;LEFT(#REF!,1))</f>
        <v>#REF!</v>
      </c>
      <c r="Q216" s="18" t="e">
        <f>IF(Table246[[#This Row],[Type]]="","",LEFT(Table246[[#This Row],[Type]],1)&amp;LEFT(#REF!,1))</f>
        <v>#REF!</v>
      </c>
      <c r="R216" s="18"/>
      <c r="S216" s="7" t="e">
        <f>IF(Table246[[#This Row],[A Counter]]=1,"AI"&amp;#REF!+SUM($N$43:N216),IF(Table246[[#This Row],[B Counter]]=1,"BI"&amp;#REF!+SUM($O$43:O216),""))</f>
        <v>#REF!</v>
      </c>
      <c r="T216" s="28" t="s">
        <v>34</v>
      </c>
      <c r="U216" s="7"/>
    </row>
    <row r="217" spans="1:21" x14ac:dyDescent="0.25">
      <c r="A217">
        <f t="shared" si="6"/>
        <v>208</v>
      </c>
      <c r="B217" s="93" t="str">
        <f>IFERROR(RIGHT(Table246[[#This Row],[Controller Input '#]],3)*1,"")</f>
        <v/>
      </c>
      <c r="C217" s="99"/>
      <c r="D217" s="1"/>
      <c r="E217" s="23" t="s">
        <v>377</v>
      </c>
      <c r="F217" s="23" t="s">
        <v>378</v>
      </c>
      <c r="G217" s="23"/>
      <c r="H217" s="27"/>
      <c r="I217" s="23" t="s">
        <v>70</v>
      </c>
      <c r="J217" s="23" t="s">
        <v>125</v>
      </c>
      <c r="K217" s="23" t="s">
        <v>127</v>
      </c>
      <c r="L217" s="23"/>
      <c r="M217" s="11"/>
      <c r="N217" s="18">
        <f>IF(ISNUMBER(SEARCH("ANALOG",Table246[[#This Row],[Type]]))=TRUE,1,"")</f>
        <v>1</v>
      </c>
      <c r="O217" s="18" t="str">
        <f>IF(ISNUMBER(SEARCH("BINARY",Table246[[#This Row],[Type]]))=TRUE,1,"")</f>
        <v/>
      </c>
      <c r="P217" s="7" t="e">
        <f>IF(Table246[[#This Row],[Type]]="","",LEFT(Table246[[#This Row],[Type]],1)&amp;LEFT(#REF!,1))</f>
        <v>#REF!</v>
      </c>
      <c r="Q217" s="18" t="e">
        <f>IF(Table246[[#This Row],[Type]]="","",LEFT(Table246[[#This Row],[Type]],1)&amp;LEFT(#REF!,1))</f>
        <v>#REF!</v>
      </c>
      <c r="R217" s="18"/>
      <c r="S217" s="7" t="e">
        <f>IF(Table246[[#This Row],[A Counter]]=1,"AI"&amp;#REF!+SUM($N$43:N217),IF(Table246[[#This Row],[B Counter]]=1,"BI"&amp;#REF!+SUM($O$43:O217),""))</f>
        <v>#REF!</v>
      </c>
      <c r="T217" s="26" t="s">
        <v>34</v>
      </c>
      <c r="U217" s="7"/>
    </row>
    <row r="218" spans="1:21" x14ac:dyDescent="0.25">
      <c r="A218">
        <f t="shared" si="6"/>
        <v>209</v>
      </c>
      <c r="B218" s="130" t="str">
        <f>IFERROR(RIGHT(Table246[[#This Row],[Controller Input '#]],3)*1,"")</f>
        <v/>
      </c>
      <c r="C218" s="99"/>
      <c r="D218" s="1"/>
      <c r="E218" s="11" t="s">
        <v>379</v>
      </c>
      <c r="F218" s="11" t="s">
        <v>380</v>
      </c>
      <c r="G218" s="11"/>
      <c r="H218" s="21"/>
      <c r="I218" s="11" t="s">
        <v>70</v>
      </c>
      <c r="J218" s="11" t="s">
        <v>125</v>
      </c>
      <c r="K218" s="11" t="s">
        <v>119</v>
      </c>
      <c r="L218" s="11"/>
      <c r="M218" s="11"/>
      <c r="N218" s="18">
        <f>IF(ISNUMBER(SEARCH("ANALOG",Table246[[#This Row],[Type]]))=TRUE,1,"")</f>
        <v>1</v>
      </c>
      <c r="O218" s="18" t="str">
        <f>IF(ISNUMBER(SEARCH("BINARY",Table246[[#This Row],[Type]]))=TRUE,1,"")</f>
        <v/>
      </c>
      <c r="P218" s="7" t="e">
        <f>IF(Table246[[#This Row],[Type]]="","",LEFT(Table246[[#This Row],[Type]],1)&amp;LEFT(#REF!,1))</f>
        <v>#REF!</v>
      </c>
      <c r="Q218" s="18" t="e">
        <f>IF(Table246[[#This Row],[Type]]="","",LEFT(Table246[[#This Row],[Type]],1)&amp;LEFT(#REF!,1))</f>
        <v>#REF!</v>
      </c>
      <c r="R218" s="18"/>
      <c r="S218" s="7" t="e">
        <f>IF(Table246[[#This Row],[A Counter]]=1,"AI"&amp;#REF!+SUM($N$43:N218),IF(Table246[[#This Row],[B Counter]]=1,"BI"&amp;#REF!+SUM($O$43:O218),""))</f>
        <v>#REF!</v>
      </c>
      <c r="T218" s="26" t="s">
        <v>34</v>
      </c>
      <c r="U218" s="7"/>
    </row>
    <row r="219" spans="1:21" x14ac:dyDescent="0.25">
      <c r="A219">
        <f t="shared" si="6"/>
        <v>210</v>
      </c>
      <c r="B219" s="93" t="str">
        <f>IFERROR(RIGHT(Table246[[#This Row],[Controller Input '#]],3)*1,"")</f>
        <v/>
      </c>
      <c r="C219" s="99"/>
      <c r="D219" s="1"/>
      <c r="E219" s="1"/>
      <c r="F219" s="1"/>
      <c r="G219" s="1"/>
      <c r="H219" s="8"/>
      <c r="I219" s="11"/>
      <c r="J219" s="1"/>
      <c r="K219" s="11"/>
      <c r="L219" s="1"/>
      <c r="M219" s="11"/>
      <c r="N219" s="18" t="str">
        <f>IF(ISNUMBER(SEARCH("ANALOG",Table246[[#This Row],[Type]]))=TRUE,1,"")</f>
        <v/>
      </c>
      <c r="O219" s="18" t="str">
        <f>IF(ISNUMBER(SEARCH("BINARY",Table246[[#This Row],[Type]]))=TRUE,1,"")</f>
        <v/>
      </c>
      <c r="P219" s="7" t="str">
        <f>IF(Table246[[#This Row],[Type]]="","",LEFT(Table246[[#This Row],[Type]],1)&amp;LEFT(#REF!,1))</f>
        <v/>
      </c>
      <c r="Q219" s="18" t="str">
        <f>IF(Table246[[#This Row],[Type]]="","",LEFT(Table246[[#This Row],[Type]],1)&amp;LEFT(#REF!,1))</f>
        <v/>
      </c>
      <c r="R219" s="18"/>
      <c r="S219" s="7" t="str">
        <f>IF(Table246[[#This Row],[A Counter]]=1,"AI"&amp;#REF!+SUM($N$43:N219),IF(Table246[[#This Row],[B Counter]]=1,"BI"&amp;#REF!+SUM($O$43:O219),""))</f>
        <v/>
      </c>
      <c r="T219" s="26" t="s">
        <v>34</v>
      </c>
      <c r="U219" s="7"/>
    </row>
    <row r="220" spans="1:21" x14ac:dyDescent="0.25">
      <c r="A220">
        <f t="shared" si="6"/>
        <v>211</v>
      </c>
      <c r="B220" s="130" t="str">
        <f>IFERROR(RIGHT(Table246[[#This Row],[Controller Input '#]],3)*1,"")</f>
        <v/>
      </c>
      <c r="C220" s="99"/>
      <c r="D220" s="1"/>
      <c r="E220" s="1" t="s">
        <v>383</v>
      </c>
      <c r="F220" s="1" t="s">
        <v>384</v>
      </c>
      <c r="G220" s="1"/>
      <c r="H220" s="8"/>
      <c r="I220" s="1" t="s">
        <v>103</v>
      </c>
      <c r="J220" s="1" t="s">
        <v>125</v>
      </c>
      <c r="K220" s="1" t="s">
        <v>112</v>
      </c>
      <c r="L220" s="1"/>
      <c r="M220" s="11"/>
      <c r="N220" s="18" t="str">
        <f>IF(ISNUMBER(SEARCH("ANALOG",Table246[[#This Row],[Type]]))=TRUE,1,"")</f>
        <v/>
      </c>
      <c r="O220" s="18">
        <f>IF(ISNUMBER(SEARCH("BINARY",Table246[[#This Row],[Type]]))=TRUE,1,"")</f>
        <v>1</v>
      </c>
      <c r="P220" s="7" t="e">
        <f>IF(Table246[[#This Row],[Type]]="","",LEFT(Table246[[#This Row],[Type]],1)&amp;LEFT(#REF!,1))</f>
        <v>#REF!</v>
      </c>
      <c r="Q220" s="18" t="e">
        <f>IF(Table246[[#This Row],[Type]]="","",LEFT(Table246[[#This Row],[Type]],1)&amp;LEFT(#REF!,1))</f>
        <v>#REF!</v>
      </c>
      <c r="R220" s="18"/>
      <c r="S220" s="7" t="e">
        <f>IF(Table246[[#This Row],[A Counter]]=1,"AI"&amp;#REF!+SUM($N$43:N220),IF(Table246[[#This Row],[B Counter]]=1,"BI"&amp;#REF!+SUM($O$43:O220),""))</f>
        <v>#REF!</v>
      </c>
      <c r="T220" s="26" t="s">
        <v>34</v>
      </c>
      <c r="U220" s="7"/>
    </row>
    <row r="221" spans="1:21" x14ac:dyDescent="0.25">
      <c r="A221">
        <f t="shared" si="6"/>
        <v>212</v>
      </c>
      <c r="B221" s="93" t="str">
        <f>IFERROR(RIGHT(Table246[[#This Row],[Controller Input '#]],3)*1,"")</f>
        <v/>
      </c>
      <c r="C221" s="99"/>
      <c r="D221" s="1"/>
      <c r="E221" s="1" t="s">
        <v>385</v>
      </c>
      <c r="F221" s="1" t="s">
        <v>386</v>
      </c>
      <c r="G221" s="1"/>
      <c r="H221" s="8"/>
      <c r="I221" s="1" t="s">
        <v>70</v>
      </c>
      <c r="J221" s="1" t="s">
        <v>125</v>
      </c>
      <c r="K221" s="1" t="s">
        <v>80</v>
      </c>
      <c r="L221" s="1"/>
      <c r="M221" s="23"/>
      <c r="N221" s="18">
        <f>IF(ISNUMBER(SEARCH("ANALOG",Table246[[#This Row],[Type]]))=TRUE,1,"")</f>
        <v>1</v>
      </c>
      <c r="O221" s="18" t="str">
        <f>IF(ISNUMBER(SEARCH("BINARY",Table246[[#This Row],[Type]]))=TRUE,1,"")</f>
        <v/>
      </c>
      <c r="P221" s="7" t="e">
        <f>IF(Table246[[#This Row],[Type]]="","",LEFT(Table246[[#This Row],[Type]],1)&amp;LEFT(#REF!,1))</f>
        <v>#REF!</v>
      </c>
      <c r="Q221" s="18" t="e">
        <f>IF(Table246[[#This Row],[Type]]="","",LEFT(Table246[[#This Row],[Type]],1)&amp;LEFT(#REF!,1))</f>
        <v>#REF!</v>
      </c>
      <c r="R221" s="18"/>
      <c r="S221" s="7" t="e">
        <f>IF(Table246[[#This Row],[A Counter]]=1,"AI"&amp;#REF!+SUM($N$43:N221),IF(Table246[[#This Row],[B Counter]]=1,"BI"&amp;#REF!+SUM($O$43:O221),""))</f>
        <v>#REF!</v>
      </c>
      <c r="T221" s="28" t="s">
        <v>34</v>
      </c>
      <c r="U221" s="7"/>
    </row>
    <row r="222" spans="1:21" x14ac:dyDescent="0.25">
      <c r="A222">
        <f t="shared" si="6"/>
        <v>213</v>
      </c>
      <c r="B222" s="130" t="str">
        <f>IFERROR(RIGHT(Table246[[#This Row],[Controller Input '#]],3)*1,"")</f>
        <v/>
      </c>
      <c r="C222" s="99"/>
      <c r="D222" s="1"/>
      <c r="E222" s="1" t="s">
        <v>387</v>
      </c>
      <c r="F222" s="1" t="s">
        <v>388</v>
      </c>
      <c r="G222" s="11"/>
      <c r="H222" s="21"/>
      <c r="I222" s="1" t="s">
        <v>70</v>
      </c>
      <c r="J222" s="1" t="s">
        <v>125</v>
      </c>
      <c r="K222" s="1" t="s">
        <v>127</v>
      </c>
      <c r="L222" s="1"/>
      <c r="M222" s="11"/>
      <c r="N222" s="18">
        <f>IF(ISNUMBER(SEARCH("ANALOG",Table246[[#This Row],[Type]]))=TRUE,1,"")</f>
        <v>1</v>
      </c>
      <c r="O222" s="18" t="str">
        <f>IF(ISNUMBER(SEARCH("BINARY",Table246[[#This Row],[Type]]))=TRUE,1,"")</f>
        <v/>
      </c>
      <c r="P222" s="7" t="e">
        <f>IF(Table246[[#This Row],[Type]]="","",LEFT(Table246[[#This Row],[Type]],1)&amp;LEFT(#REF!,1))</f>
        <v>#REF!</v>
      </c>
      <c r="Q222" s="18" t="e">
        <f>IF(Table246[[#This Row],[Type]]="","",LEFT(Table246[[#This Row],[Type]],1)&amp;LEFT(#REF!,1))</f>
        <v>#REF!</v>
      </c>
      <c r="R222" s="18"/>
      <c r="S222" s="7" t="e">
        <f>IF(Table246[[#This Row],[A Counter]]=1,"AI"&amp;#REF!+SUM($N$43:N222),IF(Table246[[#This Row],[B Counter]]=1,"BI"&amp;#REF!+SUM($O$43:O222),""))</f>
        <v>#REF!</v>
      </c>
      <c r="T222" s="26" t="s">
        <v>34</v>
      </c>
      <c r="U222" s="7"/>
    </row>
    <row r="223" spans="1:21" x14ac:dyDescent="0.25">
      <c r="A223">
        <f t="shared" si="6"/>
        <v>214</v>
      </c>
      <c r="B223" s="93" t="str">
        <f>IFERROR(RIGHT(Table246[[#This Row],[Controller Input '#]],3)*1,"")</f>
        <v/>
      </c>
      <c r="C223" s="98"/>
      <c r="D223" s="1"/>
      <c r="E223" s="1" t="s">
        <v>389</v>
      </c>
      <c r="F223" s="1" t="s">
        <v>390</v>
      </c>
      <c r="G223" s="11"/>
      <c r="H223" s="21"/>
      <c r="I223" s="1" t="s">
        <v>70</v>
      </c>
      <c r="J223" s="1" t="s">
        <v>125</v>
      </c>
      <c r="K223" s="1" t="s">
        <v>119</v>
      </c>
      <c r="L223" s="1"/>
      <c r="M223" s="1"/>
      <c r="N223" s="18">
        <f>IF(ISNUMBER(SEARCH("ANALOG",Table246[[#This Row],[Type]]))=TRUE,1,"")</f>
        <v>1</v>
      </c>
      <c r="O223" s="18" t="str">
        <f>IF(ISNUMBER(SEARCH("BINARY",Table246[[#This Row],[Type]]))=TRUE,1,"")</f>
        <v/>
      </c>
      <c r="P223" s="7" t="e">
        <f>IF(Table246[[#This Row],[Type]]="","",LEFT(Table246[[#This Row],[Type]],1)&amp;LEFT(#REF!,1))</f>
        <v>#REF!</v>
      </c>
      <c r="Q223" s="18" t="e">
        <f>IF(Table246[[#This Row],[Type]]="","",LEFT(Table246[[#This Row],[Type]],1)&amp;LEFT(#REF!,1))</f>
        <v>#REF!</v>
      </c>
      <c r="R223" s="18"/>
      <c r="S223" s="7" t="e">
        <f>IF(Table246[[#This Row],[A Counter]]=1,"AI"&amp;#REF!+SUM($N$43:N223),IF(Table246[[#This Row],[B Counter]]=1,"BI"&amp;#REF!+SUM($O$43:O223),""))</f>
        <v>#REF!</v>
      </c>
      <c r="T223" s="18" t="s">
        <v>34</v>
      </c>
      <c r="U223" s="7"/>
    </row>
    <row r="224" spans="1:21" x14ac:dyDescent="0.25">
      <c r="A224">
        <f t="shared" si="6"/>
        <v>215</v>
      </c>
      <c r="B224" s="130" t="str">
        <f>IFERROR(RIGHT(Table246[[#This Row],[Controller Input '#]],3)*1,"")</f>
        <v/>
      </c>
      <c r="C224" s="98"/>
      <c r="D224" s="1"/>
      <c r="E224" s="1"/>
      <c r="F224" s="1"/>
      <c r="G224" s="1"/>
      <c r="H224" s="21"/>
      <c r="I224" s="11"/>
      <c r="J224" s="1"/>
      <c r="K224" s="11"/>
      <c r="L224" s="1"/>
      <c r="M224" s="1"/>
      <c r="N224" s="18" t="str">
        <f>IF(ISNUMBER(SEARCH("ANALOG",Table246[[#This Row],[Type]]))=TRUE,1,"")</f>
        <v/>
      </c>
      <c r="O224" s="18" t="str">
        <f>IF(ISNUMBER(SEARCH("BINARY",Table246[[#This Row],[Type]]))=TRUE,1,"")</f>
        <v/>
      </c>
      <c r="P224" s="7" t="str">
        <f>IF(Table246[[#This Row],[Type]]="","",LEFT(Table246[[#This Row],[Type]],1)&amp;LEFT(#REF!,1))</f>
        <v/>
      </c>
      <c r="Q224" s="18" t="str">
        <f>IF(Table246[[#This Row],[Type]]="","",LEFT(Table246[[#This Row],[Type]],1)&amp;LEFT(#REF!,1))</f>
        <v/>
      </c>
      <c r="R224" s="18"/>
      <c r="S224" s="7" t="str">
        <f>IF(Table246[[#This Row],[A Counter]]=1,"AI"&amp;#REF!+SUM($N$43:N224),IF(Table246[[#This Row],[B Counter]]=1,"BI"&amp;#REF!+SUM($O$43:O224),""))</f>
        <v/>
      </c>
      <c r="T224" s="18" t="s">
        <v>34</v>
      </c>
      <c r="U224" s="7"/>
    </row>
    <row r="225" spans="1:21" x14ac:dyDescent="0.25">
      <c r="A225">
        <f t="shared" si="6"/>
        <v>216</v>
      </c>
      <c r="B225" s="93" t="str">
        <f>IFERROR(RIGHT(Table246[[#This Row],[Controller Input '#]],3)*1,"")</f>
        <v/>
      </c>
      <c r="C225" s="98"/>
      <c r="D225" s="1"/>
      <c r="E225" s="1" t="s">
        <v>393</v>
      </c>
      <c r="F225" s="1" t="s">
        <v>394</v>
      </c>
      <c r="G225" s="11"/>
      <c r="H225" s="21"/>
      <c r="I225" s="1" t="s">
        <v>103</v>
      </c>
      <c r="J225" s="1" t="s">
        <v>125</v>
      </c>
      <c r="K225" s="1" t="s">
        <v>112</v>
      </c>
      <c r="L225" s="1"/>
      <c r="M225" s="1"/>
      <c r="N225" s="18" t="str">
        <f>IF(ISNUMBER(SEARCH("ANALOG",Table246[[#This Row],[Type]]))=TRUE,1,"")</f>
        <v/>
      </c>
      <c r="O225" s="18">
        <f>IF(ISNUMBER(SEARCH("BINARY",Table246[[#This Row],[Type]]))=TRUE,1,"")</f>
        <v>1</v>
      </c>
      <c r="P225" s="7" t="e">
        <f>IF(Table246[[#This Row],[Type]]="","",LEFT(Table246[[#This Row],[Type]],1)&amp;LEFT(#REF!,1))</f>
        <v>#REF!</v>
      </c>
      <c r="Q225" s="18" t="e">
        <f>IF(Table246[[#This Row],[Type]]="","",LEFT(Table246[[#This Row],[Type]],1)&amp;LEFT(#REF!,1))</f>
        <v>#REF!</v>
      </c>
      <c r="R225" s="18"/>
      <c r="S225" s="7" t="e">
        <f>IF(Table246[[#This Row],[A Counter]]=1,"AI"&amp;#REF!+SUM($N$43:N225),IF(Table246[[#This Row],[B Counter]]=1,"BI"&amp;#REF!+SUM($O$43:O225),""))</f>
        <v>#REF!</v>
      </c>
      <c r="T225" s="18" t="s">
        <v>34</v>
      </c>
      <c r="U225" s="7"/>
    </row>
    <row r="226" spans="1:21" x14ac:dyDescent="0.25">
      <c r="A226">
        <f t="shared" si="6"/>
        <v>217</v>
      </c>
      <c r="B226" s="130" t="str">
        <f>IFERROR(RIGHT(Table246[[#This Row],[Controller Input '#]],3)*1,"")</f>
        <v/>
      </c>
      <c r="C226" s="98"/>
      <c r="D226" s="1"/>
      <c r="E226" s="1" t="s">
        <v>395</v>
      </c>
      <c r="F226" s="1" t="s">
        <v>396</v>
      </c>
      <c r="G226" s="1"/>
      <c r="H226" s="8"/>
      <c r="I226" s="1" t="s">
        <v>70</v>
      </c>
      <c r="J226" s="1" t="s">
        <v>125</v>
      </c>
      <c r="K226" s="1" t="s">
        <v>80</v>
      </c>
      <c r="L226" s="1"/>
      <c r="M226" s="1"/>
      <c r="N226" s="18">
        <f>IF(ISNUMBER(SEARCH("ANALOG",Table246[[#This Row],[Type]]))=TRUE,1,"")</f>
        <v>1</v>
      </c>
      <c r="O226" s="18" t="str">
        <f>IF(ISNUMBER(SEARCH("BINARY",Table246[[#This Row],[Type]]))=TRUE,1,"")</f>
        <v/>
      </c>
      <c r="P226" s="7" t="e">
        <f>IF(Table246[[#This Row],[Type]]="","",LEFT(Table246[[#This Row],[Type]],1)&amp;LEFT(#REF!,1))</f>
        <v>#REF!</v>
      </c>
      <c r="Q226" s="18" t="e">
        <f>IF(Table246[[#This Row],[Type]]="","",LEFT(Table246[[#This Row],[Type]],1)&amp;LEFT(#REF!,1))</f>
        <v>#REF!</v>
      </c>
      <c r="R226" s="18"/>
      <c r="S226" s="7" t="e">
        <f>IF(Table246[[#This Row],[A Counter]]=1,"AI"&amp;#REF!+SUM($N$43:N226),IF(Table246[[#This Row],[B Counter]]=1,"BI"&amp;#REF!+SUM($O$43:O226),""))</f>
        <v>#REF!</v>
      </c>
      <c r="T226" s="18" t="s">
        <v>34</v>
      </c>
      <c r="U226" s="7"/>
    </row>
    <row r="227" spans="1:21" x14ac:dyDescent="0.25">
      <c r="A227">
        <f t="shared" ref="A227:A290" si="7">A226+1</f>
        <v>218</v>
      </c>
      <c r="B227" s="93" t="str">
        <f>IFERROR(RIGHT(Table246[[#This Row],[Controller Input '#]],3)*1,"")</f>
        <v/>
      </c>
      <c r="C227" s="98"/>
      <c r="D227" s="1"/>
      <c r="E227" s="1" t="s">
        <v>397</v>
      </c>
      <c r="F227" s="1" t="s">
        <v>398</v>
      </c>
      <c r="G227" s="1"/>
      <c r="H227" s="8"/>
      <c r="I227" s="1" t="s">
        <v>70</v>
      </c>
      <c r="J227" s="1" t="s">
        <v>125</v>
      </c>
      <c r="K227" s="1" t="s">
        <v>127</v>
      </c>
      <c r="L227" s="1"/>
      <c r="M227" s="1"/>
      <c r="N227" s="18">
        <f>IF(ISNUMBER(SEARCH("ANALOG",Table246[[#This Row],[Type]]))=TRUE,1,"")</f>
        <v>1</v>
      </c>
      <c r="O227" s="18" t="str">
        <f>IF(ISNUMBER(SEARCH("BINARY",Table246[[#This Row],[Type]]))=TRUE,1,"")</f>
        <v/>
      </c>
      <c r="P227" s="7" t="e">
        <f>IF(Table246[[#This Row],[Type]]="","",LEFT(Table246[[#This Row],[Type]],1)&amp;LEFT(#REF!,1))</f>
        <v>#REF!</v>
      </c>
      <c r="Q227" s="18" t="e">
        <f>IF(Table246[[#This Row],[Type]]="","",LEFT(Table246[[#This Row],[Type]],1)&amp;LEFT(#REF!,1))</f>
        <v>#REF!</v>
      </c>
      <c r="R227" s="18"/>
      <c r="S227" s="7" t="e">
        <f>IF(Table246[[#This Row],[A Counter]]=1,"AI"&amp;#REF!+SUM($N$43:N227),IF(Table246[[#This Row],[B Counter]]=1,"BI"&amp;#REF!+SUM($O$43:O227),""))</f>
        <v>#REF!</v>
      </c>
      <c r="T227" s="18" t="s">
        <v>34</v>
      </c>
      <c r="U227" s="7"/>
    </row>
    <row r="228" spans="1:21" x14ac:dyDescent="0.25">
      <c r="A228">
        <f t="shared" si="7"/>
        <v>219</v>
      </c>
      <c r="B228" s="130" t="str">
        <f>IFERROR(RIGHT(Table246[[#This Row],[Controller Input '#]],3)*1,"")</f>
        <v/>
      </c>
      <c r="C228" s="98"/>
      <c r="D228" s="1"/>
      <c r="E228" s="1" t="s">
        <v>399</v>
      </c>
      <c r="F228" s="1" t="s">
        <v>400</v>
      </c>
      <c r="G228" s="1"/>
      <c r="H228" s="8"/>
      <c r="I228" s="1" t="s">
        <v>70</v>
      </c>
      <c r="J228" s="1" t="s">
        <v>125</v>
      </c>
      <c r="K228" s="1" t="s">
        <v>119</v>
      </c>
      <c r="L228" s="1"/>
      <c r="M228" s="1"/>
      <c r="N228" s="18">
        <f>IF(ISNUMBER(SEARCH("ANALOG",Table246[[#This Row],[Type]]))=TRUE,1,"")</f>
        <v>1</v>
      </c>
      <c r="O228" s="18" t="str">
        <f>IF(ISNUMBER(SEARCH("BINARY",Table246[[#This Row],[Type]]))=TRUE,1,"")</f>
        <v/>
      </c>
      <c r="P228" s="7" t="e">
        <f>IF(Table246[[#This Row],[Type]]="","",LEFT(Table246[[#This Row],[Type]],1)&amp;LEFT(#REF!,1))</f>
        <v>#REF!</v>
      </c>
      <c r="Q228" s="18" t="e">
        <f>IF(Table246[[#This Row],[Type]]="","",LEFT(Table246[[#This Row],[Type]],1)&amp;LEFT(#REF!,1))</f>
        <v>#REF!</v>
      </c>
      <c r="R228" s="18"/>
      <c r="S228" s="7" t="e">
        <f>IF(Table246[[#This Row],[A Counter]]=1,"AI"&amp;#REF!+SUM($N$43:N228),IF(Table246[[#This Row],[B Counter]]=1,"BI"&amp;#REF!+SUM($O$43:O228),""))</f>
        <v>#REF!</v>
      </c>
      <c r="T228" s="18" t="s">
        <v>34</v>
      </c>
      <c r="U228" s="7"/>
    </row>
    <row r="229" spans="1:21" x14ac:dyDescent="0.25">
      <c r="A229">
        <f t="shared" si="7"/>
        <v>220</v>
      </c>
      <c r="B229" s="93" t="str">
        <f>IFERROR(RIGHT(Table246[[#This Row],[Controller Input '#]],3)*1,"")</f>
        <v/>
      </c>
      <c r="C229" s="99"/>
      <c r="D229" s="1"/>
      <c r="E229" s="11" t="s">
        <v>401</v>
      </c>
      <c r="F229" s="11" t="s">
        <v>402</v>
      </c>
      <c r="G229" s="11"/>
      <c r="H229" s="21"/>
      <c r="I229" s="11" t="s">
        <v>70</v>
      </c>
      <c r="J229" s="11" t="s">
        <v>125</v>
      </c>
      <c r="K229" s="11" t="s">
        <v>80</v>
      </c>
      <c r="L229" s="11" t="s">
        <v>81</v>
      </c>
      <c r="M229" s="1"/>
      <c r="N229" s="18">
        <f>IF(ISNUMBER(SEARCH("ANALOG",Table246[[#This Row],[Type]]))=TRUE,1,"")</f>
        <v>1</v>
      </c>
      <c r="O229" s="18" t="str">
        <f>IF(ISNUMBER(SEARCH("BINARY",Table246[[#This Row],[Type]]))=TRUE,1,"")</f>
        <v/>
      </c>
      <c r="P229" s="7" t="e">
        <f>IF(Table246[[#This Row],[Type]]="","",LEFT(Table246[[#This Row],[Type]],1)&amp;LEFT(#REF!,1))</f>
        <v>#REF!</v>
      </c>
      <c r="Q229" s="18" t="e">
        <f>IF(Table246[[#This Row],[Type]]="","",LEFT(Table246[[#This Row],[Type]],1)&amp;LEFT(#REF!,1))</f>
        <v>#REF!</v>
      </c>
      <c r="R229" s="18"/>
      <c r="S229" s="7" t="e">
        <f>IF(Table246[[#This Row],[A Counter]]=1,"AI"&amp;#REF!+SUM($N$43:N229),IF(Table246[[#This Row],[B Counter]]=1,"BI"&amp;#REF!+SUM($O$43:O229),""))</f>
        <v>#REF!</v>
      </c>
      <c r="T229" s="18" t="s">
        <v>34</v>
      </c>
      <c r="U229" s="7"/>
    </row>
    <row r="230" spans="1:21" x14ac:dyDescent="0.25">
      <c r="A230">
        <f t="shared" si="7"/>
        <v>221</v>
      </c>
      <c r="B230" s="130" t="str">
        <f>IFERROR(RIGHT(Table246[[#This Row],[Controller Input '#]],3)*1,"")</f>
        <v/>
      </c>
      <c r="C230" s="99"/>
      <c r="D230" s="1"/>
      <c r="E230" s="11" t="s">
        <v>403</v>
      </c>
      <c r="F230" s="11" t="s">
        <v>404</v>
      </c>
      <c r="G230" s="11"/>
      <c r="H230" s="21"/>
      <c r="I230" s="11" t="s">
        <v>103</v>
      </c>
      <c r="J230" s="11" t="s">
        <v>125</v>
      </c>
      <c r="K230" s="11" t="s">
        <v>112</v>
      </c>
      <c r="L230" s="11"/>
      <c r="M230" s="1"/>
      <c r="N230" s="18" t="str">
        <f>IF(ISNUMBER(SEARCH("ANALOG",Table246[[#This Row],[Type]]))=TRUE,1,"")</f>
        <v/>
      </c>
      <c r="O230" s="18">
        <f>IF(ISNUMBER(SEARCH("BINARY",Table246[[#This Row],[Type]]))=TRUE,1,"")</f>
        <v>1</v>
      </c>
      <c r="P230" s="7" t="e">
        <f>IF(Table246[[#This Row],[Type]]="","",LEFT(Table246[[#This Row],[Type]],1)&amp;LEFT(#REF!,1))</f>
        <v>#REF!</v>
      </c>
      <c r="Q230" s="18" t="e">
        <f>IF(Table246[[#This Row],[Type]]="","",LEFT(Table246[[#This Row],[Type]],1)&amp;LEFT(#REF!,1))</f>
        <v>#REF!</v>
      </c>
      <c r="R230" s="18"/>
      <c r="S230" s="7" t="e">
        <f>IF(Table246[[#This Row],[A Counter]]=1,"AI"&amp;#REF!+SUM($N$43:N230),IF(Table246[[#This Row],[B Counter]]=1,"BI"&amp;#REF!+SUM($O$43:O230),""))</f>
        <v>#REF!</v>
      </c>
      <c r="T230" s="18" t="s">
        <v>34</v>
      </c>
      <c r="U230" s="7"/>
    </row>
    <row r="231" spans="1:21" x14ac:dyDescent="0.25">
      <c r="A231">
        <f t="shared" si="7"/>
        <v>222</v>
      </c>
      <c r="B231" s="93" t="str">
        <f>IFERROR(RIGHT(Table246[[#This Row],[Controller Input '#]],3)*1,"")</f>
        <v/>
      </c>
      <c r="C231" s="98"/>
      <c r="D231" s="1"/>
      <c r="E231" s="11" t="s">
        <v>405</v>
      </c>
      <c r="F231" s="11" t="s">
        <v>406</v>
      </c>
      <c r="G231" s="11"/>
      <c r="H231" s="21"/>
      <c r="I231" s="11" t="s">
        <v>70</v>
      </c>
      <c r="J231" s="11" t="s">
        <v>125</v>
      </c>
      <c r="K231" s="11" t="s">
        <v>80</v>
      </c>
      <c r="L231" s="11" t="s">
        <v>81</v>
      </c>
      <c r="M231" s="1"/>
      <c r="N231" s="18">
        <f>IF(ISNUMBER(SEARCH("ANALOG",Table246[[#This Row],[Type]]))=TRUE,1,"")</f>
        <v>1</v>
      </c>
      <c r="O231" s="18" t="str">
        <f>IF(ISNUMBER(SEARCH("BINARY",Table246[[#This Row],[Type]]))=TRUE,1,"")</f>
        <v/>
      </c>
      <c r="P231" s="7" t="e">
        <f>IF(Table246[[#This Row],[Type]]="","",LEFT(Table246[[#This Row],[Type]],1)&amp;LEFT(#REF!,1))</f>
        <v>#REF!</v>
      </c>
      <c r="Q231" s="18" t="e">
        <f>IF(Table246[[#This Row],[Type]]="","",LEFT(Table246[[#This Row],[Type]],1)&amp;LEFT(#REF!,1))</f>
        <v>#REF!</v>
      </c>
      <c r="R231" s="18"/>
      <c r="S231" s="7" t="e">
        <f>IF(Table246[[#This Row],[A Counter]]=1,"AI"&amp;#REF!+SUM($N$43:N231),IF(Table246[[#This Row],[B Counter]]=1,"BI"&amp;#REF!+SUM($O$43:O231),""))</f>
        <v>#REF!</v>
      </c>
      <c r="T231" s="18" t="s">
        <v>34</v>
      </c>
      <c r="U231" s="7"/>
    </row>
    <row r="232" spans="1:21" x14ac:dyDescent="0.25">
      <c r="A232">
        <f t="shared" si="7"/>
        <v>223</v>
      </c>
      <c r="B232" s="130" t="str">
        <f>IFERROR(RIGHT(Table246[[#This Row],[Controller Input '#]],3)*1,"")</f>
        <v/>
      </c>
      <c r="C232" s="98"/>
      <c r="D232" s="1"/>
      <c r="E232" s="11" t="s">
        <v>407</v>
      </c>
      <c r="F232" s="11" t="s">
        <v>408</v>
      </c>
      <c r="G232" s="11"/>
      <c r="H232" s="21"/>
      <c r="I232" s="11" t="s">
        <v>103</v>
      </c>
      <c r="J232" s="11" t="s">
        <v>125</v>
      </c>
      <c r="K232" s="11" t="s">
        <v>112</v>
      </c>
      <c r="L232" s="11"/>
      <c r="M232" s="1"/>
      <c r="N232" s="18" t="str">
        <f>IF(ISNUMBER(SEARCH("ANALOG",Table246[[#This Row],[Type]]))=TRUE,1,"")</f>
        <v/>
      </c>
      <c r="O232" s="18">
        <f>IF(ISNUMBER(SEARCH("BINARY",Table246[[#This Row],[Type]]))=TRUE,1,"")</f>
        <v>1</v>
      </c>
      <c r="P232" s="7" t="e">
        <f>IF(Table246[[#This Row],[Type]]="","",LEFT(Table246[[#This Row],[Type]],1)&amp;LEFT(#REF!,1))</f>
        <v>#REF!</v>
      </c>
      <c r="Q232" s="18" t="e">
        <f>IF(Table246[[#This Row],[Type]]="","",LEFT(Table246[[#This Row],[Type]],1)&amp;LEFT(#REF!,1))</f>
        <v>#REF!</v>
      </c>
      <c r="R232" s="18"/>
      <c r="S232" s="7" t="e">
        <f>IF(Table246[[#This Row],[A Counter]]=1,"AI"&amp;#REF!+SUM($N$43:N232),IF(Table246[[#This Row],[B Counter]]=1,"BI"&amp;#REF!+SUM($O$43:O232),""))</f>
        <v>#REF!</v>
      </c>
      <c r="T232" s="18" t="s">
        <v>34</v>
      </c>
      <c r="U232" s="7"/>
    </row>
    <row r="233" spans="1:21" x14ac:dyDescent="0.25">
      <c r="A233">
        <f t="shared" si="7"/>
        <v>224</v>
      </c>
      <c r="B233" s="93" t="str">
        <f>IFERROR(RIGHT(Table246[[#This Row],[Controller Input '#]],3)*1,"")</f>
        <v/>
      </c>
      <c r="C233" s="99"/>
      <c r="D233" s="1"/>
      <c r="E233" s="11" t="s">
        <v>409</v>
      </c>
      <c r="F233" s="11" t="s">
        <v>410</v>
      </c>
      <c r="G233" s="11"/>
      <c r="H233" s="21"/>
      <c r="I233" s="11" t="s">
        <v>70</v>
      </c>
      <c r="J233" s="11" t="s">
        <v>125</v>
      </c>
      <c r="K233" s="11" t="s">
        <v>80</v>
      </c>
      <c r="L233" s="11" t="s">
        <v>81</v>
      </c>
      <c r="M233" s="1"/>
      <c r="N233" s="18">
        <f>IF(ISNUMBER(SEARCH("ANALOG",Table246[[#This Row],[Type]]))=TRUE,1,"")</f>
        <v>1</v>
      </c>
      <c r="O233" s="18" t="str">
        <f>IF(ISNUMBER(SEARCH("BINARY",Table246[[#This Row],[Type]]))=TRUE,1,"")</f>
        <v/>
      </c>
      <c r="P233" s="7" t="e">
        <f>IF(Table246[[#This Row],[Type]]="","",LEFT(Table246[[#This Row],[Type]],1)&amp;LEFT(#REF!,1))</f>
        <v>#REF!</v>
      </c>
      <c r="Q233" s="18" t="e">
        <f>IF(Table246[[#This Row],[Type]]="","",LEFT(Table246[[#This Row],[Type]],1)&amp;LEFT(#REF!,1))</f>
        <v>#REF!</v>
      </c>
      <c r="R233" s="18"/>
      <c r="S233" s="7" t="e">
        <f>IF(Table246[[#This Row],[A Counter]]=1,"AI"&amp;#REF!+SUM($N$43:N233),IF(Table246[[#This Row],[B Counter]]=1,"BI"&amp;#REF!+SUM($O$43:O233),""))</f>
        <v>#REF!</v>
      </c>
      <c r="T233" s="18" t="s">
        <v>34</v>
      </c>
      <c r="U233" s="7"/>
    </row>
    <row r="234" spans="1:21" x14ac:dyDescent="0.25">
      <c r="A234">
        <f t="shared" si="7"/>
        <v>225</v>
      </c>
      <c r="B234" s="130" t="str">
        <f>IFERROR(RIGHT(Table246[[#This Row],[Controller Input '#]],3)*1,"")</f>
        <v/>
      </c>
      <c r="C234" s="99"/>
      <c r="D234" s="1"/>
      <c r="E234" s="11" t="s">
        <v>411</v>
      </c>
      <c r="F234" s="11" t="s">
        <v>412</v>
      </c>
      <c r="G234" s="11"/>
      <c r="H234" s="21"/>
      <c r="I234" s="11" t="s">
        <v>103</v>
      </c>
      <c r="J234" s="11" t="s">
        <v>125</v>
      </c>
      <c r="K234" s="11" t="s">
        <v>112</v>
      </c>
      <c r="L234" s="11"/>
      <c r="M234" s="1"/>
      <c r="N234" s="18" t="str">
        <f>IF(ISNUMBER(SEARCH("ANALOG",Table246[[#This Row],[Type]]))=TRUE,1,"")</f>
        <v/>
      </c>
      <c r="O234" s="18">
        <f>IF(ISNUMBER(SEARCH("BINARY",Table246[[#This Row],[Type]]))=TRUE,1,"")</f>
        <v>1</v>
      </c>
      <c r="P234" s="7" t="e">
        <f>IF(Table246[[#This Row],[Type]]="","",LEFT(Table246[[#This Row],[Type]],1)&amp;LEFT(#REF!,1))</f>
        <v>#REF!</v>
      </c>
      <c r="Q234" s="18" t="e">
        <f>IF(Table246[[#This Row],[Type]]="","",LEFT(Table246[[#This Row],[Type]],1)&amp;LEFT(#REF!,1))</f>
        <v>#REF!</v>
      </c>
      <c r="R234" s="18"/>
      <c r="S234" s="7" t="e">
        <f>IF(Table246[[#This Row],[A Counter]]=1,"AI"&amp;#REF!+SUM($N$43:N234),IF(Table246[[#This Row],[B Counter]]=1,"BI"&amp;#REF!+SUM($O$43:O234),""))</f>
        <v>#REF!</v>
      </c>
      <c r="T234" s="18" t="s">
        <v>34</v>
      </c>
      <c r="U234" s="7"/>
    </row>
    <row r="235" spans="1:21" x14ac:dyDescent="0.25">
      <c r="A235">
        <f t="shared" si="7"/>
        <v>226</v>
      </c>
      <c r="B235" s="93" t="str">
        <f>IFERROR(RIGHT(Table246[[#This Row],[Controller Input '#]],3)*1,"")</f>
        <v/>
      </c>
      <c r="C235" s="99"/>
      <c r="D235" s="1"/>
      <c r="E235" s="11" t="s">
        <v>413</v>
      </c>
      <c r="F235" s="11" t="s">
        <v>414</v>
      </c>
      <c r="G235" s="11"/>
      <c r="H235" s="21"/>
      <c r="I235" s="11" t="s">
        <v>70</v>
      </c>
      <c r="J235" s="11" t="s">
        <v>125</v>
      </c>
      <c r="K235" s="11" t="s">
        <v>80</v>
      </c>
      <c r="L235" s="11" t="s">
        <v>81</v>
      </c>
      <c r="M235" s="1"/>
      <c r="N235" s="18">
        <f>IF(ISNUMBER(SEARCH("ANALOG",Table246[[#This Row],[Type]]))=TRUE,1,"")</f>
        <v>1</v>
      </c>
      <c r="O235" s="18" t="str">
        <f>IF(ISNUMBER(SEARCH("BINARY",Table246[[#This Row],[Type]]))=TRUE,1,"")</f>
        <v/>
      </c>
      <c r="P235" s="7" t="e">
        <f>IF(Table246[[#This Row],[Type]]="","",LEFT(Table246[[#This Row],[Type]],1)&amp;LEFT(#REF!,1))</f>
        <v>#REF!</v>
      </c>
      <c r="Q235" s="18" t="e">
        <f>IF(Table246[[#This Row],[Type]]="","",LEFT(Table246[[#This Row],[Type]],1)&amp;LEFT(#REF!,1))</f>
        <v>#REF!</v>
      </c>
      <c r="R235" s="18"/>
      <c r="S235" s="7" t="e">
        <f>IF(Table246[[#This Row],[A Counter]]=1,"AI"&amp;#REF!+SUM($N$43:N235),IF(Table246[[#This Row],[B Counter]]=1,"BI"&amp;#REF!+SUM($O$43:O235),""))</f>
        <v>#REF!</v>
      </c>
      <c r="T235" s="18" t="s">
        <v>34</v>
      </c>
      <c r="U235" s="7"/>
    </row>
    <row r="236" spans="1:21" x14ac:dyDescent="0.25">
      <c r="A236">
        <f t="shared" si="7"/>
        <v>227</v>
      </c>
      <c r="B236" s="130" t="str">
        <f>IFERROR(RIGHT(Table246[[#This Row],[Controller Input '#]],3)*1,"")</f>
        <v/>
      </c>
      <c r="C236" s="99"/>
      <c r="D236" s="1"/>
      <c r="E236" s="11" t="s">
        <v>415</v>
      </c>
      <c r="F236" s="11" t="s">
        <v>416</v>
      </c>
      <c r="G236" s="11"/>
      <c r="H236" s="21"/>
      <c r="I236" s="11" t="s">
        <v>103</v>
      </c>
      <c r="J236" s="11" t="s">
        <v>125</v>
      </c>
      <c r="K236" s="11" t="s">
        <v>112</v>
      </c>
      <c r="L236" s="11"/>
      <c r="M236" s="1"/>
      <c r="N236" s="18" t="str">
        <f>IF(ISNUMBER(SEARCH("ANALOG",Table246[[#This Row],[Type]]))=TRUE,1,"")</f>
        <v/>
      </c>
      <c r="O236" s="18">
        <f>IF(ISNUMBER(SEARCH("BINARY",Table246[[#This Row],[Type]]))=TRUE,1,"")</f>
        <v>1</v>
      </c>
      <c r="P236" s="7" t="e">
        <f>IF(Table246[[#This Row],[Type]]="","",LEFT(Table246[[#This Row],[Type]],1)&amp;LEFT(#REF!,1))</f>
        <v>#REF!</v>
      </c>
      <c r="Q236" s="18" t="e">
        <f>IF(Table246[[#This Row],[Type]]="","",LEFT(Table246[[#This Row],[Type]],1)&amp;LEFT(#REF!,1))</f>
        <v>#REF!</v>
      </c>
      <c r="R236" s="18"/>
      <c r="S236" s="7" t="e">
        <f>IF(Table246[[#This Row],[A Counter]]=1,"AI"&amp;#REF!+SUM($N$43:N236),IF(Table246[[#This Row],[B Counter]]=1,"BI"&amp;#REF!+SUM($O$43:O236),""))</f>
        <v>#REF!</v>
      </c>
      <c r="T236" s="18" t="s">
        <v>34</v>
      </c>
      <c r="U236" s="7"/>
    </row>
    <row r="237" spans="1:21" x14ac:dyDescent="0.25">
      <c r="A237">
        <f t="shared" si="7"/>
        <v>228</v>
      </c>
      <c r="B237" s="93" t="str">
        <f>IFERROR(RIGHT(Table246[[#This Row],[Controller Input '#]],3)*1,"")</f>
        <v/>
      </c>
      <c r="C237" s="99"/>
      <c r="D237" s="1"/>
      <c r="E237" s="11" t="s">
        <v>417</v>
      </c>
      <c r="F237" s="11" t="s">
        <v>418</v>
      </c>
      <c r="G237" s="11"/>
      <c r="H237" s="21"/>
      <c r="I237" s="11" t="s">
        <v>70</v>
      </c>
      <c r="J237" s="11" t="s">
        <v>125</v>
      </c>
      <c r="K237" s="11" t="s">
        <v>80</v>
      </c>
      <c r="L237" s="11" t="s">
        <v>81</v>
      </c>
      <c r="M237" s="1"/>
      <c r="N237" s="18">
        <f>IF(ISNUMBER(SEARCH("ANALOG",Table246[[#This Row],[Type]]))=TRUE,1,"")</f>
        <v>1</v>
      </c>
      <c r="O237" s="18" t="str">
        <f>IF(ISNUMBER(SEARCH("BINARY",Table246[[#This Row],[Type]]))=TRUE,1,"")</f>
        <v/>
      </c>
      <c r="P237" s="7" t="e">
        <f>IF(Table246[[#This Row],[Type]]="","",LEFT(Table246[[#This Row],[Type]],1)&amp;LEFT(#REF!,1))</f>
        <v>#REF!</v>
      </c>
      <c r="Q237" s="18" t="e">
        <f>IF(Table246[[#This Row],[Type]]="","",LEFT(Table246[[#This Row],[Type]],1)&amp;LEFT(#REF!,1))</f>
        <v>#REF!</v>
      </c>
      <c r="R237" s="18"/>
      <c r="S237" s="7" t="e">
        <f>IF(Table246[[#This Row],[A Counter]]=1,"AI"&amp;#REF!+SUM($N$43:N237),IF(Table246[[#This Row],[B Counter]]=1,"BI"&amp;#REF!+SUM($O$43:O237),""))</f>
        <v>#REF!</v>
      </c>
      <c r="T237" s="18"/>
      <c r="U237" s="7"/>
    </row>
    <row r="238" spans="1:21" x14ac:dyDescent="0.25">
      <c r="A238">
        <f t="shared" si="7"/>
        <v>229</v>
      </c>
      <c r="B238" s="130" t="str">
        <f>IFERROR(RIGHT(Table246[[#This Row],[Controller Input '#]],3)*1,"")</f>
        <v/>
      </c>
      <c r="C238" s="99"/>
      <c r="D238" s="1"/>
      <c r="E238" s="11" t="s">
        <v>419</v>
      </c>
      <c r="F238" s="11" t="s">
        <v>420</v>
      </c>
      <c r="G238" s="11"/>
      <c r="H238" s="21"/>
      <c r="I238" s="11" t="s">
        <v>103</v>
      </c>
      <c r="J238" s="11" t="s">
        <v>125</v>
      </c>
      <c r="K238" s="11" t="s">
        <v>112</v>
      </c>
      <c r="L238" s="11"/>
      <c r="M238" s="1"/>
      <c r="N238" s="18" t="str">
        <f>IF(ISNUMBER(SEARCH("ANALOG",Table246[[#This Row],[Type]]))=TRUE,1,"")</f>
        <v/>
      </c>
      <c r="O238" s="18">
        <f>IF(ISNUMBER(SEARCH("BINARY",Table246[[#This Row],[Type]]))=TRUE,1,"")</f>
        <v>1</v>
      </c>
      <c r="P238" s="7" t="e">
        <f>IF(Table246[[#This Row],[Type]]="","",LEFT(Table246[[#This Row],[Type]],1)&amp;LEFT(#REF!,1))</f>
        <v>#REF!</v>
      </c>
      <c r="Q238" s="18" t="e">
        <f>IF(Table246[[#This Row],[Type]]="","",LEFT(Table246[[#This Row],[Type]],1)&amp;LEFT(#REF!,1))</f>
        <v>#REF!</v>
      </c>
      <c r="R238" s="18"/>
      <c r="S238" s="7" t="e">
        <f>IF(Table246[[#This Row],[A Counter]]=1,"AI"&amp;#REF!+SUM($N$43:N238),IF(Table246[[#This Row],[B Counter]]=1,"BI"&amp;#REF!+SUM($O$43:O238),""))</f>
        <v>#REF!</v>
      </c>
      <c r="T238" s="18"/>
      <c r="U238" s="68"/>
    </row>
    <row r="239" spans="1:21" x14ac:dyDescent="0.25">
      <c r="A239">
        <f t="shared" si="7"/>
        <v>230</v>
      </c>
      <c r="B239" s="93" t="str">
        <f>IFERROR(RIGHT(Table246[[#This Row],[Controller Input '#]],3)*1,"")</f>
        <v/>
      </c>
      <c r="C239" s="99"/>
      <c r="D239" s="1"/>
      <c r="E239" s="11" t="s">
        <v>421</v>
      </c>
      <c r="F239" s="11" t="s">
        <v>422</v>
      </c>
      <c r="G239" s="11"/>
      <c r="H239" s="21"/>
      <c r="I239" s="11" t="s">
        <v>70</v>
      </c>
      <c r="J239" s="11" t="s">
        <v>125</v>
      </c>
      <c r="K239" s="11" t="s">
        <v>80</v>
      </c>
      <c r="L239" s="11" t="s">
        <v>81</v>
      </c>
      <c r="M239" s="1"/>
      <c r="N239" s="18">
        <f>IF(ISNUMBER(SEARCH("ANALOG",Table246[[#This Row],[Type]]))=TRUE,1,"")</f>
        <v>1</v>
      </c>
      <c r="O239" s="18" t="str">
        <f>IF(ISNUMBER(SEARCH("BINARY",Table246[[#This Row],[Type]]))=TRUE,1,"")</f>
        <v/>
      </c>
      <c r="P239" s="7" t="e">
        <f>IF(Table246[[#This Row],[Type]]="","",LEFT(Table246[[#This Row],[Type]],1)&amp;LEFT(#REF!,1))</f>
        <v>#REF!</v>
      </c>
      <c r="Q239" s="18" t="e">
        <f>IF(Table246[[#This Row],[Type]]="","",LEFT(Table246[[#This Row],[Type]],1)&amp;LEFT(#REF!,1))</f>
        <v>#REF!</v>
      </c>
      <c r="R239" s="18"/>
      <c r="S239" s="7" t="e">
        <f>IF(Table246[[#This Row],[A Counter]]=1,"AI"&amp;#REF!+SUM($N$43:N239),IF(Table246[[#This Row],[B Counter]]=1,"BI"&amp;#REF!+SUM($O$43:O239),""))</f>
        <v>#REF!</v>
      </c>
      <c r="T239" s="18"/>
      <c r="U239" s="68"/>
    </row>
    <row r="240" spans="1:21" x14ac:dyDescent="0.25">
      <c r="A240">
        <f t="shared" si="7"/>
        <v>231</v>
      </c>
      <c r="B240" s="130" t="str">
        <f>IFERROR(RIGHT(Table246[[#This Row],[Controller Input '#]],3)*1,"")</f>
        <v/>
      </c>
      <c r="C240" s="99"/>
      <c r="D240" s="1"/>
      <c r="E240" s="11" t="s">
        <v>423</v>
      </c>
      <c r="F240" s="11" t="s">
        <v>424</v>
      </c>
      <c r="G240" s="11"/>
      <c r="H240" s="21"/>
      <c r="I240" s="11" t="s">
        <v>103</v>
      </c>
      <c r="J240" s="11" t="s">
        <v>125</v>
      </c>
      <c r="K240" s="11" t="s">
        <v>112</v>
      </c>
      <c r="L240" s="11"/>
      <c r="M240" s="1"/>
      <c r="N240" s="18" t="str">
        <f>IF(ISNUMBER(SEARCH("ANALOG",Table246[[#This Row],[Type]]))=TRUE,1,"")</f>
        <v/>
      </c>
      <c r="O240" s="18">
        <f>IF(ISNUMBER(SEARCH("BINARY",Table246[[#This Row],[Type]]))=TRUE,1,"")</f>
        <v>1</v>
      </c>
      <c r="P240" s="7" t="e">
        <f>IF(Table246[[#This Row],[Type]]="","",LEFT(Table246[[#This Row],[Type]],1)&amp;LEFT(#REF!,1))</f>
        <v>#REF!</v>
      </c>
      <c r="Q240" s="18" t="e">
        <f>IF(Table246[[#This Row],[Type]]="","",LEFT(Table246[[#This Row],[Type]],1)&amp;LEFT(#REF!,1))</f>
        <v>#REF!</v>
      </c>
      <c r="R240" s="18"/>
      <c r="S240" s="7" t="e">
        <f>IF(Table246[[#This Row],[A Counter]]=1,"AI"&amp;#REF!+SUM($N$43:N240),IF(Table246[[#This Row],[B Counter]]=1,"BI"&amp;#REF!+SUM($O$43:O240),""))</f>
        <v>#REF!</v>
      </c>
      <c r="T240" s="18"/>
      <c r="U240" s="68"/>
    </row>
    <row r="241" spans="1:21" x14ac:dyDescent="0.25">
      <c r="A241">
        <f t="shared" si="7"/>
        <v>232</v>
      </c>
      <c r="B241" s="93" t="str">
        <f>IFERROR(RIGHT(Table246[[#This Row],[Controller Input '#]],3)*1,"")</f>
        <v/>
      </c>
      <c r="C241" s="98"/>
      <c r="D241" s="1"/>
      <c r="E241" s="11" t="s">
        <v>425</v>
      </c>
      <c r="F241" s="11" t="s">
        <v>426</v>
      </c>
      <c r="G241" s="11"/>
      <c r="H241" s="21"/>
      <c r="I241" s="11" t="s">
        <v>70</v>
      </c>
      <c r="J241" s="11" t="s">
        <v>125</v>
      </c>
      <c r="K241" s="11" t="s">
        <v>80</v>
      </c>
      <c r="L241" s="11" t="s">
        <v>81</v>
      </c>
      <c r="M241" s="1"/>
      <c r="N241" s="18">
        <f>IF(ISNUMBER(SEARCH("ANALOG",Table246[[#This Row],[Type]]))=TRUE,1,"")</f>
        <v>1</v>
      </c>
      <c r="O241" s="18" t="str">
        <f>IF(ISNUMBER(SEARCH("BINARY",Table246[[#This Row],[Type]]))=TRUE,1,"")</f>
        <v/>
      </c>
      <c r="P241" s="7" t="e">
        <f>IF(Table246[[#This Row],[Type]]="","",LEFT(Table246[[#This Row],[Type]],1)&amp;LEFT(#REF!,1))</f>
        <v>#REF!</v>
      </c>
      <c r="Q241" s="18" t="e">
        <f>IF(Table246[[#This Row],[Type]]="","",LEFT(Table246[[#This Row],[Type]],1)&amp;LEFT(#REF!,1))</f>
        <v>#REF!</v>
      </c>
      <c r="R241" s="18"/>
      <c r="S241" s="7" t="e">
        <f>IF(Table246[[#This Row],[A Counter]]=1,"AI"&amp;#REF!+SUM($N$43:N241),IF(Table246[[#This Row],[B Counter]]=1,"BI"&amp;#REF!+SUM($O$43:O241),""))</f>
        <v>#REF!</v>
      </c>
      <c r="T241" s="18"/>
      <c r="U241" s="69"/>
    </row>
    <row r="242" spans="1:21" x14ac:dyDescent="0.25">
      <c r="A242">
        <f t="shared" si="7"/>
        <v>233</v>
      </c>
      <c r="B242" s="130" t="str">
        <f>IFERROR(RIGHT(Table246[[#This Row],[Controller Input '#]],3)*1,"")</f>
        <v/>
      </c>
      <c r="C242" s="99"/>
      <c r="D242" s="1"/>
      <c r="E242" s="11" t="s">
        <v>427</v>
      </c>
      <c r="F242" s="11" t="s">
        <v>428</v>
      </c>
      <c r="G242" s="11"/>
      <c r="H242" s="21"/>
      <c r="I242" s="11" t="s">
        <v>103</v>
      </c>
      <c r="J242" s="11" t="s">
        <v>125</v>
      </c>
      <c r="K242" s="11" t="s">
        <v>112</v>
      </c>
      <c r="L242" s="11"/>
      <c r="M242" s="1"/>
      <c r="N242" s="18" t="str">
        <f>IF(ISNUMBER(SEARCH("ANALOG",Table246[[#This Row],[Type]]))=TRUE,1,"")</f>
        <v/>
      </c>
      <c r="O242" s="18">
        <f>IF(ISNUMBER(SEARCH("BINARY",Table246[[#This Row],[Type]]))=TRUE,1,"")</f>
        <v>1</v>
      </c>
      <c r="P242" s="7" t="e">
        <f>IF(Table246[[#This Row],[Type]]="","",LEFT(Table246[[#This Row],[Type]],1)&amp;LEFT(#REF!,1))</f>
        <v>#REF!</v>
      </c>
      <c r="Q242" s="18" t="e">
        <f>IF(Table246[[#This Row],[Type]]="","",LEFT(Table246[[#This Row],[Type]],1)&amp;LEFT(#REF!,1))</f>
        <v>#REF!</v>
      </c>
      <c r="R242" s="18"/>
      <c r="S242" s="7" t="e">
        <f>IF(Table246[[#This Row],[A Counter]]=1,"AI"&amp;#REF!+SUM($N$43:N242),IF(Table246[[#This Row],[B Counter]]=1,"BI"&amp;#REF!+SUM($O$43:O242),""))</f>
        <v>#REF!</v>
      </c>
      <c r="T242" s="18"/>
      <c r="U242" s="68"/>
    </row>
    <row r="243" spans="1:21" x14ac:dyDescent="0.25">
      <c r="A243">
        <f t="shared" si="7"/>
        <v>234</v>
      </c>
      <c r="B243" s="93" t="str">
        <f>IFERROR(RIGHT(Table246[[#This Row],[Controller Input '#]],3)*1,"")</f>
        <v/>
      </c>
      <c r="C243" s="99"/>
      <c r="D243" s="1"/>
      <c r="E243" s="11" t="s">
        <v>429</v>
      </c>
      <c r="F243" s="11" t="s">
        <v>430</v>
      </c>
      <c r="G243" s="11"/>
      <c r="H243" s="21"/>
      <c r="I243" s="11" t="s">
        <v>70</v>
      </c>
      <c r="J243" s="11" t="s">
        <v>125</v>
      </c>
      <c r="K243" s="11" t="s">
        <v>80</v>
      </c>
      <c r="L243" s="11" t="s">
        <v>81</v>
      </c>
      <c r="M243" s="1"/>
      <c r="N243" s="18">
        <f>IF(ISNUMBER(SEARCH("ANALOG",Table246[[#This Row],[Type]]))=TRUE,1,"")</f>
        <v>1</v>
      </c>
      <c r="O243" s="18" t="str">
        <f>IF(ISNUMBER(SEARCH("BINARY",Table246[[#This Row],[Type]]))=TRUE,1,"")</f>
        <v/>
      </c>
      <c r="P243" s="7" t="e">
        <f>IF(Table246[[#This Row],[Type]]="","",LEFT(Table246[[#This Row],[Type]],1)&amp;LEFT(#REF!,1))</f>
        <v>#REF!</v>
      </c>
      <c r="Q243" s="18" t="e">
        <f>IF(Table246[[#This Row],[Type]]="","",LEFT(Table246[[#This Row],[Type]],1)&amp;LEFT(#REF!,1))</f>
        <v>#REF!</v>
      </c>
      <c r="R243" s="18"/>
      <c r="S243" s="7" t="e">
        <f>IF(Table246[[#This Row],[A Counter]]=1,"AI"&amp;#REF!+SUM($N$43:N243),IF(Table246[[#This Row],[B Counter]]=1,"BI"&amp;#REF!+SUM($O$43:O243),""))</f>
        <v>#REF!</v>
      </c>
      <c r="T243" s="18"/>
      <c r="U243" s="68"/>
    </row>
    <row r="244" spans="1:21" x14ac:dyDescent="0.25">
      <c r="A244">
        <f t="shared" si="7"/>
        <v>235</v>
      </c>
      <c r="B244" s="130" t="str">
        <f>IFERROR(RIGHT(Table246[[#This Row],[Controller Input '#]],3)*1,"")</f>
        <v/>
      </c>
      <c r="C244" s="99"/>
      <c r="D244" s="1"/>
      <c r="E244" s="11" t="s">
        <v>431</v>
      </c>
      <c r="F244" s="11" t="s">
        <v>432</v>
      </c>
      <c r="G244" s="11"/>
      <c r="H244" s="21"/>
      <c r="I244" s="11" t="s">
        <v>103</v>
      </c>
      <c r="J244" s="11" t="s">
        <v>125</v>
      </c>
      <c r="K244" s="11" t="s">
        <v>112</v>
      </c>
      <c r="L244" s="11"/>
      <c r="M244" s="1"/>
      <c r="N244" s="18" t="str">
        <f>IF(ISNUMBER(SEARCH("ANALOG",Table246[[#This Row],[Type]]))=TRUE,1,"")</f>
        <v/>
      </c>
      <c r="O244" s="18">
        <f>IF(ISNUMBER(SEARCH("BINARY",Table246[[#This Row],[Type]]))=TRUE,1,"")</f>
        <v>1</v>
      </c>
      <c r="P244" s="7" t="e">
        <f>IF(Table246[[#This Row],[Type]]="","",LEFT(Table246[[#This Row],[Type]],1)&amp;LEFT(#REF!,1))</f>
        <v>#REF!</v>
      </c>
      <c r="Q244" s="18" t="e">
        <f>IF(Table246[[#This Row],[Type]]="","",LEFT(Table246[[#This Row],[Type]],1)&amp;LEFT(#REF!,1))</f>
        <v>#REF!</v>
      </c>
      <c r="R244" s="18"/>
      <c r="S244" s="7" t="e">
        <f>IF(Table246[[#This Row],[A Counter]]=1,"AI"&amp;#REF!+SUM($N$43:N244),IF(Table246[[#This Row],[B Counter]]=1,"BI"&amp;#REF!+SUM($O$43:O244),""))</f>
        <v>#REF!</v>
      </c>
      <c r="T244" s="18"/>
      <c r="U244" s="68"/>
    </row>
    <row r="245" spans="1:21" x14ac:dyDescent="0.25">
      <c r="A245">
        <f t="shared" si="7"/>
        <v>236</v>
      </c>
      <c r="B245" s="93" t="str">
        <f>IFERROR(RIGHT(Table246[[#This Row],[Controller Input '#]],3)*1,"")</f>
        <v/>
      </c>
      <c r="C245" s="99"/>
      <c r="D245" s="1"/>
      <c r="E245" s="11"/>
      <c r="F245" s="11"/>
      <c r="G245" s="11"/>
      <c r="H245" s="21"/>
      <c r="I245" s="11"/>
      <c r="J245" s="11"/>
      <c r="K245" s="11"/>
      <c r="L245" s="11"/>
      <c r="M245" s="1"/>
      <c r="N245" s="18" t="str">
        <f>IF(ISNUMBER(SEARCH("ANALOG",Table246[[#This Row],[Type]]))=TRUE,1,"")</f>
        <v/>
      </c>
      <c r="O245" s="18" t="str">
        <f>IF(ISNUMBER(SEARCH("BINARY",Table246[[#This Row],[Type]]))=TRUE,1,"")</f>
        <v/>
      </c>
      <c r="P245" s="7" t="str">
        <f>IF(Table246[[#This Row],[Type]]="","",LEFT(Table246[[#This Row],[Type]],1)&amp;LEFT(#REF!,1))</f>
        <v/>
      </c>
      <c r="Q245" s="18" t="str">
        <f>IF(Table246[[#This Row],[Type]]="","",LEFT(Table246[[#This Row],[Type]],1)&amp;LEFT(#REF!,1))</f>
        <v/>
      </c>
      <c r="R245" s="18"/>
      <c r="S245" s="7" t="str">
        <f>IF(Table246[[#This Row],[A Counter]]=1,"AI"&amp;#REF!+SUM($N$43:N245),IF(Table246[[#This Row],[B Counter]]=1,"BI"&amp;#REF!+SUM($O$43:O245),""))</f>
        <v/>
      </c>
      <c r="T245" s="18"/>
      <c r="U245" s="68"/>
    </row>
    <row r="246" spans="1:21" x14ac:dyDescent="0.25">
      <c r="A246">
        <f t="shared" si="7"/>
        <v>237</v>
      </c>
      <c r="B246" s="130" t="str">
        <f>IFERROR(RIGHT(Table246[[#This Row],[Controller Input '#]],3)*1,"")</f>
        <v/>
      </c>
      <c r="C246" s="98"/>
      <c r="D246" s="1"/>
      <c r="E246" s="11"/>
      <c r="F246" s="11"/>
      <c r="G246" s="11"/>
      <c r="H246" s="21"/>
      <c r="I246" s="11"/>
      <c r="J246" s="11"/>
      <c r="K246" s="11"/>
      <c r="L246" s="11"/>
      <c r="M246" s="1"/>
      <c r="N246" s="18" t="str">
        <f>IF(ISNUMBER(SEARCH("ANALOG",Table246[[#This Row],[Type]]))=TRUE,1,"")</f>
        <v/>
      </c>
      <c r="O246" s="18" t="str">
        <f>IF(ISNUMBER(SEARCH("BINARY",Table246[[#This Row],[Type]]))=TRUE,1,"")</f>
        <v/>
      </c>
      <c r="P246" s="7" t="str">
        <f>IF(Table246[[#This Row],[Type]]="","",LEFT(Table246[[#This Row],[Type]],1)&amp;LEFT(#REF!,1))</f>
        <v/>
      </c>
      <c r="Q246" s="18" t="str">
        <f>IF(Table246[[#This Row],[Type]]="","",LEFT(Table246[[#This Row],[Type]],1)&amp;LEFT(#REF!,1))</f>
        <v/>
      </c>
      <c r="R246" s="18"/>
      <c r="S246" s="7" t="str">
        <f>IF(Table246[[#This Row],[A Counter]]=1,"AI"&amp;#REF!+SUM($N$43:N246),IF(Table246[[#This Row],[B Counter]]=1,"BI"&amp;#REF!+SUM($O$43:O246),""))</f>
        <v/>
      </c>
      <c r="T246" s="18"/>
      <c r="U246" s="69"/>
    </row>
    <row r="247" spans="1:21" x14ac:dyDescent="0.25">
      <c r="A247">
        <f t="shared" si="7"/>
        <v>238</v>
      </c>
      <c r="B247" s="93" t="str">
        <f>IFERROR(RIGHT(Table246[[#This Row],[Controller Input '#]],3)*1,"")</f>
        <v/>
      </c>
      <c r="C247" s="99"/>
      <c r="D247" s="1"/>
      <c r="E247" s="11"/>
      <c r="F247" s="11"/>
      <c r="G247" s="11"/>
      <c r="H247" s="21"/>
      <c r="I247" s="11"/>
      <c r="J247" s="11"/>
      <c r="K247" s="11"/>
      <c r="L247" s="11"/>
      <c r="M247" s="1"/>
      <c r="N247" s="18" t="str">
        <f>IF(ISNUMBER(SEARCH("ANALOG",Table246[[#This Row],[Type]]))=TRUE,1,"")</f>
        <v/>
      </c>
      <c r="O247" s="18" t="str">
        <f>IF(ISNUMBER(SEARCH("BINARY",Table246[[#This Row],[Type]]))=TRUE,1,"")</f>
        <v/>
      </c>
      <c r="P247" s="7" t="str">
        <f>IF(Table246[[#This Row],[Type]]="","",LEFT(Table246[[#This Row],[Type]],1)&amp;LEFT(#REF!,1))</f>
        <v/>
      </c>
      <c r="Q247" s="18" t="str">
        <f>IF(Table246[[#This Row],[Type]]="","",LEFT(Table246[[#This Row],[Type]],1)&amp;LEFT(#REF!,1))</f>
        <v/>
      </c>
      <c r="R247" s="18"/>
      <c r="S247" s="7" t="str">
        <f>IF(Table246[[#This Row],[A Counter]]=1,"AI"&amp;#REF!+SUM($N$43:N247),IF(Table246[[#This Row],[B Counter]]=1,"BI"&amp;#REF!+SUM($O$43:O247),""))</f>
        <v/>
      </c>
      <c r="T247" s="18"/>
      <c r="U247" s="68"/>
    </row>
    <row r="248" spans="1:21" x14ac:dyDescent="0.25">
      <c r="A248">
        <f t="shared" si="7"/>
        <v>239</v>
      </c>
      <c r="B248" s="130" t="str">
        <f>IFERROR(RIGHT(Table246[[#This Row],[Controller Input '#]],3)*1,"")</f>
        <v/>
      </c>
      <c r="C248" s="99"/>
      <c r="D248" s="1"/>
      <c r="E248" s="11"/>
      <c r="F248" s="11"/>
      <c r="G248" s="11"/>
      <c r="H248" s="21"/>
      <c r="I248" s="11"/>
      <c r="J248" s="11"/>
      <c r="K248" s="11"/>
      <c r="L248" s="11"/>
      <c r="M248" s="1"/>
      <c r="N248" s="18" t="str">
        <f>IF(ISNUMBER(SEARCH("ANALOG",Table246[[#This Row],[Type]]))=TRUE,1,"")</f>
        <v/>
      </c>
      <c r="O248" s="18" t="str">
        <f>IF(ISNUMBER(SEARCH("BINARY",Table246[[#This Row],[Type]]))=TRUE,1,"")</f>
        <v/>
      </c>
      <c r="P248" s="7" t="str">
        <f>IF(Table246[[#This Row],[Type]]="","",LEFT(Table246[[#This Row],[Type]],1)&amp;LEFT(#REF!,1))</f>
        <v/>
      </c>
      <c r="Q248" s="18" t="str">
        <f>IF(Table246[[#This Row],[Type]]="","",LEFT(Table246[[#This Row],[Type]],1)&amp;LEFT(#REF!,1))</f>
        <v/>
      </c>
      <c r="R248" s="18"/>
      <c r="S248" s="7" t="str">
        <f>IF(Table246[[#This Row],[A Counter]]=1,"AI"&amp;#REF!+SUM($N$43:N248),IF(Table246[[#This Row],[B Counter]]=1,"BI"&amp;#REF!+SUM($O$43:O248),""))</f>
        <v/>
      </c>
      <c r="T248" s="18"/>
      <c r="U248" s="68"/>
    </row>
    <row r="249" spans="1:21" x14ac:dyDescent="0.25">
      <c r="A249">
        <f t="shared" si="7"/>
        <v>240</v>
      </c>
      <c r="B249" s="93" t="str">
        <f>IFERROR(RIGHT(Table246[[#This Row],[Controller Input '#]],3)*1,"")</f>
        <v/>
      </c>
      <c r="C249" s="99"/>
      <c r="D249" s="1"/>
      <c r="E249" s="11"/>
      <c r="F249" s="11"/>
      <c r="G249" s="11"/>
      <c r="H249" s="21"/>
      <c r="I249" s="11"/>
      <c r="J249" s="11"/>
      <c r="K249" s="11"/>
      <c r="L249" s="11"/>
      <c r="M249" s="1"/>
      <c r="N249" s="18" t="str">
        <f>IF(ISNUMBER(SEARCH("ANALOG",Table246[[#This Row],[Type]]))=TRUE,1,"")</f>
        <v/>
      </c>
      <c r="O249" s="18" t="str">
        <f>IF(ISNUMBER(SEARCH("BINARY",Table246[[#This Row],[Type]]))=TRUE,1,"")</f>
        <v/>
      </c>
      <c r="P249" s="7" t="str">
        <f>IF(Table246[[#This Row],[Type]]="","",LEFT(Table246[[#This Row],[Type]],1)&amp;LEFT(#REF!,1))</f>
        <v/>
      </c>
      <c r="Q249" s="18" t="str">
        <f>IF(Table246[[#This Row],[Type]]="","",LEFT(Table246[[#This Row],[Type]],1)&amp;LEFT(#REF!,1))</f>
        <v/>
      </c>
      <c r="R249" s="18"/>
      <c r="S249" s="7" t="str">
        <f>IF(Table246[[#This Row],[A Counter]]=1,"AI"&amp;#REF!+SUM($N$43:N249),IF(Table246[[#This Row],[B Counter]]=1,"BI"&amp;#REF!+SUM($O$43:O249),""))</f>
        <v/>
      </c>
      <c r="T249" s="18"/>
      <c r="U249" s="68"/>
    </row>
    <row r="250" spans="1:21" x14ac:dyDescent="0.25">
      <c r="A250">
        <f t="shared" si="7"/>
        <v>241</v>
      </c>
      <c r="B250" s="130" t="str">
        <f>IFERROR(RIGHT(Table246[[#This Row],[Controller Input '#]],3)*1,"")</f>
        <v/>
      </c>
      <c r="C250" s="99"/>
      <c r="D250" s="1"/>
      <c r="E250" s="11"/>
      <c r="F250" s="11"/>
      <c r="G250" s="11"/>
      <c r="H250" s="21"/>
      <c r="I250" s="11"/>
      <c r="J250" s="11"/>
      <c r="K250" s="11"/>
      <c r="L250" s="11"/>
      <c r="M250" s="1"/>
      <c r="N250" s="18" t="str">
        <f>IF(ISNUMBER(SEARCH("ANALOG",Table246[[#This Row],[Type]]))=TRUE,1,"")</f>
        <v/>
      </c>
      <c r="O250" s="18" t="str">
        <f>IF(ISNUMBER(SEARCH("BINARY",Table246[[#This Row],[Type]]))=TRUE,1,"")</f>
        <v/>
      </c>
      <c r="P250" s="7" t="str">
        <f>IF(Table246[[#This Row],[Type]]="","",LEFT(Table246[[#This Row],[Type]],1)&amp;LEFT(#REF!,1))</f>
        <v/>
      </c>
      <c r="Q250" s="18" t="str">
        <f>IF(Table246[[#This Row],[Type]]="","",LEFT(Table246[[#This Row],[Type]],1)&amp;LEFT(#REF!,1))</f>
        <v/>
      </c>
      <c r="R250" s="18"/>
      <c r="S250" s="7" t="str">
        <f>IF(Table246[[#This Row],[A Counter]]=1,"AI"&amp;#REF!+SUM($N$43:N250),IF(Table246[[#This Row],[B Counter]]=1,"BI"&amp;#REF!+SUM($O$43:O250),""))</f>
        <v/>
      </c>
      <c r="T250" s="18"/>
      <c r="U250" s="68"/>
    </row>
    <row r="251" spans="1:21" x14ac:dyDescent="0.25">
      <c r="A251">
        <f t="shared" si="7"/>
        <v>242</v>
      </c>
      <c r="B251" s="93" t="str">
        <f>IFERROR(RIGHT(Table246[[#This Row],[Controller Input '#]],3)*1,"")</f>
        <v/>
      </c>
      <c r="C251" s="98"/>
      <c r="D251" s="1"/>
      <c r="E251" s="1"/>
      <c r="F251" s="1"/>
      <c r="G251" s="1"/>
      <c r="H251" s="8"/>
      <c r="I251" s="1"/>
      <c r="J251" s="1"/>
      <c r="K251" s="3"/>
      <c r="L251" s="1"/>
      <c r="M251" s="18"/>
      <c r="N251" s="18" t="str">
        <f>IF(ISNUMBER(SEARCH("ANALOG",Table246[[#This Row],[Type]]))=TRUE,1,"")</f>
        <v/>
      </c>
      <c r="O251" s="18" t="str">
        <f>IF(ISNUMBER(SEARCH("BINARY",Table246[[#This Row],[Type]]))=TRUE,1,"")</f>
        <v/>
      </c>
      <c r="P251" s="7" t="str">
        <f>IF(Table246[[#This Row],[Type]]="","",LEFT(Table246[[#This Row],[Type]],1)&amp;LEFT(#REF!,1))</f>
        <v/>
      </c>
      <c r="Q251" s="18" t="str">
        <f>IF(Table246[[#This Row],[Type]]="","",LEFT(Table246[[#This Row],[Type]],1)&amp;LEFT(#REF!,1))</f>
        <v/>
      </c>
      <c r="R251" s="18"/>
      <c r="S251" s="7" t="str">
        <f>IF(Table246[[#This Row],[A Counter]]=1,"AI"&amp;#REF!+SUM($N$43:N251),IF(Table246[[#This Row],[B Counter]]=1,"BI"&amp;#REF!+SUM($O$43:O251),""))</f>
        <v/>
      </c>
      <c r="T251" s="18" t="s">
        <v>34</v>
      </c>
      <c r="U251" s="69"/>
    </row>
    <row r="252" spans="1:21" x14ac:dyDescent="0.25">
      <c r="A252">
        <f t="shared" si="7"/>
        <v>243</v>
      </c>
      <c r="B252" s="130" t="str">
        <f>IFERROR(RIGHT(Table246[[#This Row],[Controller Input '#]],3)*1,"")</f>
        <v/>
      </c>
      <c r="C252" s="99"/>
      <c r="D252" s="1"/>
      <c r="E252" s="1"/>
      <c r="F252" s="1"/>
      <c r="G252" s="1"/>
      <c r="H252" s="8"/>
      <c r="I252" s="1"/>
      <c r="J252" s="1"/>
      <c r="K252" s="3"/>
      <c r="L252" s="1"/>
      <c r="M252" s="1"/>
      <c r="N252" s="18" t="str">
        <f>IF(ISNUMBER(SEARCH("ANALOG",Table246[[#This Row],[Type]]))=TRUE,1,"")</f>
        <v/>
      </c>
      <c r="O252" s="18" t="str">
        <f>IF(ISNUMBER(SEARCH("BINARY",Table246[[#This Row],[Type]]))=TRUE,1,"")</f>
        <v/>
      </c>
      <c r="P252" s="7" t="str">
        <f>IF(Table246[[#This Row],[Type]]="","",LEFT(Table246[[#This Row],[Type]],1)&amp;LEFT(#REF!,1))</f>
        <v/>
      </c>
      <c r="Q252" s="18" t="str">
        <f>IF(Table246[[#This Row],[Type]]="","",LEFT(Table246[[#This Row],[Type]],1)&amp;LEFT(#REF!,1))</f>
        <v/>
      </c>
      <c r="R252" s="18"/>
      <c r="S252" s="7" t="str">
        <f>IF(Table246[[#This Row],[A Counter]]=1,"AI"&amp;#REF!+SUM($N$43:N252),IF(Table246[[#This Row],[B Counter]]=1,"BI"&amp;#REF!+SUM($O$43:O252),""))</f>
        <v/>
      </c>
      <c r="T252" s="18" t="s">
        <v>34</v>
      </c>
      <c r="U252" s="68"/>
    </row>
    <row r="253" spans="1:21" x14ac:dyDescent="0.25">
      <c r="A253">
        <f t="shared" si="7"/>
        <v>244</v>
      </c>
      <c r="B253" s="93" t="str">
        <f>IFERROR(RIGHT(Table246[[#This Row],[Controller Input '#]],3)*1,"")</f>
        <v/>
      </c>
      <c r="C253" s="99"/>
      <c r="D253" s="1"/>
      <c r="E253" s="1"/>
      <c r="F253" s="1"/>
      <c r="G253" s="1"/>
      <c r="H253" s="8"/>
      <c r="I253" s="1"/>
      <c r="J253" s="1"/>
      <c r="K253" s="3"/>
      <c r="L253" s="1"/>
      <c r="M253" s="1"/>
      <c r="N253" s="18" t="str">
        <f>IF(ISNUMBER(SEARCH("ANALOG",Table246[[#This Row],[Type]]))=TRUE,1,"")</f>
        <v/>
      </c>
      <c r="O253" s="18" t="str">
        <f>IF(ISNUMBER(SEARCH("BINARY",Table246[[#This Row],[Type]]))=TRUE,1,"")</f>
        <v/>
      </c>
      <c r="P253" s="7" t="str">
        <f>IF(Table246[[#This Row],[Type]]="","",LEFT(Table246[[#This Row],[Type]],1)&amp;LEFT(#REF!,1))</f>
        <v/>
      </c>
      <c r="Q253" s="18" t="str">
        <f>IF(Table246[[#This Row],[Type]]="","",LEFT(Table246[[#This Row],[Type]],1)&amp;LEFT(#REF!,1))</f>
        <v/>
      </c>
      <c r="R253" s="18"/>
      <c r="S253" s="7" t="str">
        <f>IF(Table246[[#This Row],[A Counter]]=1,"AI"&amp;#REF!+SUM($N$43:N253),IF(Table246[[#This Row],[B Counter]]=1,"BI"&amp;#REF!+SUM($O$43:O253),""))</f>
        <v/>
      </c>
      <c r="T253" s="18" t="s">
        <v>34</v>
      </c>
      <c r="U253" s="7"/>
    </row>
    <row r="254" spans="1:21" x14ac:dyDescent="0.25">
      <c r="A254">
        <f t="shared" si="7"/>
        <v>245</v>
      </c>
      <c r="B254" s="130" t="str">
        <f>IFERROR(RIGHT(Table246[[#This Row],[Controller Input '#]],3)*1,"")</f>
        <v/>
      </c>
      <c r="C254" s="99"/>
      <c r="D254" s="1"/>
      <c r="E254" s="1"/>
      <c r="F254" s="1"/>
      <c r="G254" s="1"/>
      <c r="H254" s="8"/>
      <c r="I254" s="1"/>
      <c r="J254" s="1"/>
      <c r="K254" s="1"/>
      <c r="L254" s="18"/>
      <c r="M254" s="1"/>
      <c r="N254" s="18" t="str">
        <f>IF(ISNUMBER(SEARCH("ANALOG",Table246[[#This Row],[Type]]))=TRUE,1,"")</f>
        <v/>
      </c>
      <c r="O254" s="18" t="str">
        <f>IF(ISNUMBER(SEARCH("BINARY",Table246[[#This Row],[Type]]))=TRUE,1,"")</f>
        <v/>
      </c>
      <c r="P254" s="7" t="str">
        <f>IF(Table246[[#This Row],[Type]]="","",LEFT(Table246[[#This Row],[Type]],1)&amp;LEFT(#REF!,1))</f>
        <v/>
      </c>
      <c r="Q254" s="18" t="str">
        <f>IF(Table246[[#This Row],[Type]]="","",LEFT(Table246[[#This Row],[Type]],1)&amp;LEFT(#REF!,1))</f>
        <v/>
      </c>
      <c r="R254" s="18"/>
      <c r="S254" s="7" t="str">
        <f>IF(Table246[[#This Row],[A Counter]]=1,"AI"&amp;#REF!+SUM($N$43:N254),IF(Table246[[#This Row],[B Counter]]=1,"BI"&amp;#REF!+SUM($O$43:O254),""))</f>
        <v/>
      </c>
      <c r="T254" s="18" t="s">
        <v>34</v>
      </c>
      <c r="U254" s="7"/>
    </row>
    <row r="255" spans="1:21" x14ac:dyDescent="0.25">
      <c r="A255">
        <f t="shared" si="7"/>
        <v>246</v>
      </c>
      <c r="B255" s="93" t="str">
        <f>IFERROR(RIGHT(Table246[[#This Row],[Controller Input '#]],3)*1,"")</f>
        <v/>
      </c>
      <c r="C255" s="99"/>
      <c r="D255" s="1"/>
      <c r="E255" s="1"/>
      <c r="F255" s="1"/>
      <c r="G255" s="1"/>
      <c r="H255" s="8"/>
      <c r="I255" s="1"/>
      <c r="J255" s="1"/>
      <c r="K255" s="1"/>
      <c r="L255" s="18"/>
      <c r="M255" s="1"/>
      <c r="N255" s="18" t="str">
        <f>IF(ISNUMBER(SEARCH("ANALOG",Table246[[#This Row],[Type]]))=TRUE,1,"")</f>
        <v/>
      </c>
      <c r="O255" s="18" t="str">
        <f>IF(ISNUMBER(SEARCH("BINARY",Table246[[#This Row],[Type]]))=TRUE,1,"")</f>
        <v/>
      </c>
      <c r="P255" s="7" t="str">
        <f>IF(Table246[[#This Row],[Type]]="","",LEFT(Table246[[#This Row],[Type]],1)&amp;LEFT(#REF!,1))</f>
        <v/>
      </c>
      <c r="Q255" s="18" t="str">
        <f>IF(Table246[[#This Row],[Type]]="","",LEFT(Table246[[#This Row],[Type]],1)&amp;LEFT(#REF!,1))</f>
        <v/>
      </c>
      <c r="R255" s="18"/>
      <c r="S255" s="7" t="str">
        <f>IF(Table246[[#This Row],[A Counter]]=1,"AI"&amp;#REF!+SUM($N$43:N255),IF(Table246[[#This Row],[B Counter]]=1,"BI"&amp;#REF!+SUM($O$43:O255),""))</f>
        <v/>
      </c>
      <c r="T255" s="18" t="s">
        <v>34</v>
      </c>
      <c r="U255" s="7"/>
    </row>
    <row r="256" spans="1:21" x14ac:dyDescent="0.25">
      <c r="A256">
        <f t="shared" si="7"/>
        <v>247</v>
      </c>
      <c r="B256" s="130" t="str">
        <f>IFERROR(RIGHT(Table246[[#This Row],[Controller Input '#]],3)*1,"")</f>
        <v/>
      </c>
      <c r="C256" s="99"/>
      <c r="D256" s="1"/>
      <c r="E256" s="1"/>
      <c r="F256" s="1"/>
      <c r="G256" s="1"/>
      <c r="H256" s="8"/>
      <c r="I256" s="1"/>
      <c r="J256" s="1"/>
      <c r="K256" s="1"/>
      <c r="L256" s="18"/>
      <c r="M256" s="1"/>
      <c r="N256" s="18" t="str">
        <f>IF(ISNUMBER(SEARCH("ANALOG",Table246[[#This Row],[Type]]))=TRUE,1,"")</f>
        <v/>
      </c>
      <c r="O256" s="18" t="str">
        <f>IF(ISNUMBER(SEARCH("BINARY",Table246[[#This Row],[Type]]))=TRUE,1,"")</f>
        <v/>
      </c>
      <c r="P256" s="7" t="str">
        <f>IF(Table246[[#This Row],[Type]]="","",LEFT(Table246[[#This Row],[Type]],1)&amp;LEFT(#REF!,1))</f>
        <v/>
      </c>
      <c r="Q256" s="18" t="str">
        <f>IF(Table246[[#This Row],[Type]]="","",LEFT(Table246[[#This Row],[Type]],1)&amp;LEFT(#REF!,1))</f>
        <v/>
      </c>
      <c r="R256" s="18"/>
      <c r="S256" s="7" t="str">
        <f>IF(Table246[[#This Row],[A Counter]]=1,"AI"&amp;#REF!+SUM($N$43:N256),IF(Table246[[#This Row],[B Counter]]=1,"BI"&amp;#REF!+SUM($O$43:O256),""))</f>
        <v/>
      </c>
      <c r="T256" s="18" t="s">
        <v>34</v>
      </c>
      <c r="U256" s="7"/>
    </row>
    <row r="257" spans="1:21" x14ac:dyDescent="0.25">
      <c r="A257">
        <f t="shared" si="7"/>
        <v>248</v>
      </c>
      <c r="B257" s="93" t="str">
        <f>IFERROR(RIGHT(Table246[[#This Row],[Controller Input '#]],3)*1,"")</f>
        <v/>
      </c>
      <c r="C257" s="99"/>
      <c r="D257" s="1"/>
      <c r="E257" s="1"/>
      <c r="F257" s="1"/>
      <c r="G257" s="1"/>
      <c r="H257" s="8"/>
      <c r="I257" s="1"/>
      <c r="J257" s="1"/>
      <c r="K257" s="1"/>
      <c r="L257" s="1"/>
      <c r="M257" s="1"/>
      <c r="N257" s="18" t="str">
        <f>IF(ISNUMBER(SEARCH("ANALOG",Table246[[#This Row],[Type]]))=TRUE,1,"")</f>
        <v/>
      </c>
      <c r="O257" s="18" t="str">
        <f>IF(ISNUMBER(SEARCH("BINARY",Table246[[#This Row],[Type]]))=TRUE,1,"")</f>
        <v/>
      </c>
      <c r="P257" s="7" t="str">
        <f>IF(Table246[[#This Row],[Type]]="","",LEFT(Table246[[#This Row],[Type]],1)&amp;LEFT(#REF!,1))</f>
        <v/>
      </c>
      <c r="Q257" s="18" t="str">
        <f>IF(Table246[[#This Row],[Type]]="","",LEFT(Table246[[#This Row],[Type]],1)&amp;LEFT(#REF!,1))</f>
        <v/>
      </c>
      <c r="R257" s="18"/>
      <c r="S257" s="7" t="str">
        <f>IF(Table246[[#This Row],[A Counter]]=1,"AI"&amp;#REF!+SUM($N$43:N257),IF(Table246[[#This Row],[B Counter]]=1,"BI"&amp;#REF!+SUM($O$43:O257),""))</f>
        <v/>
      </c>
      <c r="T257" s="18" t="s">
        <v>34</v>
      </c>
      <c r="U257" s="7"/>
    </row>
    <row r="258" spans="1:21" x14ac:dyDescent="0.25">
      <c r="A258">
        <f t="shared" si="7"/>
        <v>249</v>
      </c>
      <c r="B258" s="130" t="str">
        <f>IFERROR(RIGHT(Table246[[#This Row],[Controller Input '#]],3)*1,"")</f>
        <v/>
      </c>
      <c r="C258" s="99"/>
      <c r="D258" s="1"/>
      <c r="E258" s="1"/>
      <c r="F258" s="1"/>
      <c r="G258" s="1"/>
      <c r="H258" s="8"/>
      <c r="I258" s="1"/>
      <c r="J258" s="1"/>
      <c r="K258" s="1"/>
      <c r="L258" s="1"/>
      <c r="M258" s="1"/>
      <c r="N258" s="18" t="str">
        <f>IF(ISNUMBER(SEARCH("ANALOG",Table246[[#This Row],[Type]]))=TRUE,1,"")</f>
        <v/>
      </c>
      <c r="O258" s="18" t="str">
        <f>IF(ISNUMBER(SEARCH("BINARY",Table246[[#This Row],[Type]]))=TRUE,1,"")</f>
        <v/>
      </c>
      <c r="P258" s="7" t="str">
        <f>IF(Table246[[#This Row],[Type]]="","",LEFT(Table246[[#This Row],[Type]],1)&amp;LEFT(#REF!,1))</f>
        <v/>
      </c>
      <c r="Q258" s="18" t="str">
        <f>IF(Table246[[#This Row],[Type]]="","",LEFT(Table246[[#This Row],[Type]],1)&amp;LEFT(#REF!,1))</f>
        <v/>
      </c>
      <c r="R258" s="18"/>
      <c r="S258" s="7" t="str">
        <f>IF(Table246[[#This Row],[A Counter]]=1,"AI"&amp;#REF!+SUM($N$43:N258),IF(Table246[[#This Row],[B Counter]]=1,"BI"&amp;#REF!+SUM($O$43:O258),""))</f>
        <v/>
      </c>
      <c r="T258" s="18" t="s">
        <v>34</v>
      </c>
      <c r="U258" s="7"/>
    </row>
    <row r="259" spans="1:21" x14ac:dyDescent="0.25">
      <c r="A259">
        <f t="shared" si="7"/>
        <v>250</v>
      </c>
      <c r="B259" s="93" t="str">
        <f>IFERROR(RIGHT(Table246[[#This Row],[Controller Input '#]],3)*1,"")</f>
        <v/>
      </c>
      <c r="C259" s="99"/>
      <c r="D259" s="1"/>
      <c r="E259" s="1"/>
      <c r="F259" s="1"/>
      <c r="G259" s="1"/>
      <c r="H259" s="8"/>
      <c r="I259" s="1"/>
      <c r="J259" s="1"/>
      <c r="K259" s="1"/>
      <c r="L259" s="1"/>
      <c r="M259" s="1"/>
      <c r="N259" s="18" t="str">
        <f>IF(ISNUMBER(SEARCH("ANALOG",Table246[[#This Row],[Type]]))=TRUE,1,"")</f>
        <v/>
      </c>
      <c r="O259" s="18" t="str">
        <f>IF(ISNUMBER(SEARCH("BINARY",Table246[[#This Row],[Type]]))=TRUE,1,"")</f>
        <v/>
      </c>
      <c r="P259" s="7" t="str">
        <f>IF(Table246[[#This Row],[Type]]="","",LEFT(Table246[[#This Row],[Type]],1)&amp;LEFT(#REF!,1))</f>
        <v/>
      </c>
      <c r="Q259" s="18" t="str">
        <f>IF(Table246[[#This Row],[Type]]="","",LEFT(Table246[[#This Row],[Type]],1)&amp;LEFT(#REF!,1))</f>
        <v/>
      </c>
      <c r="R259" s="18"/>
      <c r="S259" s="7" t="str">
        <f>IF(Table246[[#This Row],[A Counter]]=1,"AI"&amp;#REF!+SUM($N$43:N259),IF(Table246[[#This Row],[B Counter]]=1,"BI"&amp;#REF!+SUM($O$43:O259),""))</f>
        <v/>
      </c>
      <c r="T259" s="18" t="s">
        <v>34</v>
      </c>
      <c r="U259" s="7"/>
    </row>
    <row r="260" spans="1:21" x14ac:dyDescent="0.25">
      <c r="A260">
        <f t="shared" si="7"/>
        <v>251</v>
      </c>
      <c r="B260" s="130" t="str">
        <f>IFERROR(RIGHT(Table246[[#This Row],[Controller Input '#]],3)*1,"")</f>
        <v/>
      </c>
      <c r="C260" s="99"/>
      <c r="D260" s="1"/>
      <c r="E260" s="1"/>
      <c r="F260" s="1"/>
      <c r="G260" s="1"/>
      <c r="H260" s="8"/>
      <c r="I260" s="1"/>
      <c r="J260" s="1"/>
      <c r="K260" s="1"/>
      <c r="L260" s="1"/>
      <c r="M260" s="1"/>
      <c r="N260" s="18" t="str">
        <f>IF(ISNUMBER(SEARCH("ANALOG",Table246[[#This Row],[Type]]))=TRUE,1,"")</f>
        <v/>
      </c>
      <c r="O260" s="18" t="str">
        <f>IF(ISNUMBER(SEARCH("BINARY",Table246[[#This Row],[Type]]))=TRUE,1,"")</f>
        <v/>
      </c>
      <c r="P260" s="7" t="str">
        <f>IF(Table246[[#This Row],[Type]]="","",LEFT(Table246[[#This Row],[Type]],1)&amp;LEFT(#REF!,1))</f>
        <v/>
      </c>
      <c r="Q260" s="18" t="str">
        <f>IF(Table246[[#This Row],[Type]]="","",LEFT(Table246[[#This Row],[Type]],1)&amp;LEFT(#REF!,1))</f>
        <v/>
      </c>
      <c r="R260" s="18"/>
      <c r="S260" s="7" t="str">
        <f>IF(Table246[[#This Row],[A Counter]]=1,"AI"&amp;#REF!+SUM($N$43:N260),IF(Table246[[#This Row],[B Counter]]=1,"BI"&amp;#REF!+SUM($O$43:O260),""))</f>
        <v/>
      </c>
      <c r="T260" s="18" t="s">
        <v>34</v>
      </c>
      <c r="U260" s="7"/>
    </row>
    <row r="261" spans="1:21" x14ac:dyDescent="0.25">
      <c r="A261">
        <f t="shared" si="7"/>
        <v>252</v>
      </c>
      <c r="B261" s="93" t="str">
        <f>IFERROR(RIGHT(Table246[[#This Row],[Controller Input '#]],3)*1,"")</f>
        <v/>
      </c>
      <c r="C261" s="99"/>
      <c r="D261" s="1"/>
      <c r="E261" s="1"/>
      <c r="F261" s="1"/>
      <c r="G261" s="1"/>
      <c r="H261" s="8"/>
      <c r="I261" s="1"/>
      <c r="J261" s="1"/>
      <c r="K261" s="1"/>
      <c r="L261" s="11"/>
      <c r="M261" s="11"/>
      <c r="N261" s="18" t="str">
        <f>IF(ISNUMBER(SEARCH("ANALOG",Table246[[#This Row],[Type]]))=TRUE,1,"")</f>
        <v/>
      </c>
      <c r="O261" s="18" t="str">
        <f>IF(ISNUMBER(SEARCH("BINARY",Table246[[#This Row],[Type]]))=TRUE,1,"")</f>
        <v/>
      </c>
      <c r="P261" s="7" t="str">
        <f>IF(Table246[[#This Row],[Type]]="","",LEFT(Table246[[#This Row],[Type]],1)&amp;LEFT(#REF!,1))</f>
        <v/>
      </c>
      <c r="Q261" s="18" t="str">
        <f>IF(Table246[[#This Row],[Type]]="","",LEFT(Table246[[#This Row],[Type]],1)&amp;LEFT(#REF!,1))</f>
        <v/>
      </c>
      <c r="R261" s="18"/>
      <c r="S261" s="7" t="str">
        <f>IF(Table246[[#This Row],[A Counter]]=1,"AI"&amp;#REF!+SUM($N$43:N261),IF(Table246[[#This Row],[B Counter]]=1,"BI"&amp;#REF!+SUM($O$43:O261),""))</f>
        <v/>
      </c>
      <c r="T261" s="18" t="s">
        <v>34</v>
      </c>
      <c r="U261" s="7"/>
    </row>
    <row r="262" spans="1:21" x14ac:dyDescent="0.25">
      <c r="A262">
        <f t="shared" si="7"/>
        <v>253</v>
      </c>
      <c r="B262" s="130" t="str">
        <f>IFERROR(RIGHT(Table246[[#This Row],[Controller Input '#]],3)*1,"")</f>
        <v/>
      </c>
      <c r="C262" s="99"/>
      <c r="D262" s="1"/>
      <c r="E262" s="1"/>
      <c r="F262" s="1"/>
      <c r="G262" s="1"/>
      <c r="H262" s="8"/>
      <c r="I262" s="1"/>
      <c r="J262" s="1"/>
      <c r="K262" s="1"/>
      <c r="L262" s="11"/>
      <c r="M262" s="11"/>
      <c r="N262" s="18" t="str">
        <f>IF(ISNUMBER(SEARCH("ANALOG",Table246[[#This Row],[Type]]))=TRUE,1,"")</f>
        <v/>
      </c>
      <c r="O262" s="18" t="str">
        <f>IF(ISNUMBER(SEARCH("BINARY",Table246[[#This Row],[Type]]))=TRUE,1,"")</f>
        <v/>
      </c>
      <c r="P262" s="7" t="str">
        <f>IF(Table246[[#This Row],[Type]]="","",LEFT(Table246[[#This Row],[Type]],1)&amp;LEFT(#REF!,1))</f>
        <v/>
      </c>
      <c r="Q262" s="18" t="str">
        <f>IF(Table246[[#This Row],[Type]]="","",LEFT(Table246[[#This Row],[Type]],1)&amp;LEFT(#REF!,1))</f>
        <v/>
      </c>
      <c r="R262" s="18"/>
      <c r="S262" s="7" t="str">
        <f>IF(Table246[[#This Row],[A Counter]]=1,"AI"&amp;#REF!+SUM($N$43:N262),IF(Table246[[#This Row],[B Counter]]=1,"BI"&amp;#REF!+SUM($O$43:O262),""))</f>
        <v/>
      </c>
      <c r="T262" s="18" t="s">
        <v>34</v>
      </c>
      <c r="U262" s="7"/>
    </row>
    <row r="263" spans="1:21" x14ac:dyDescent="0.25">
      <c r="A263">
        <f t="shared" si="7"/>
        <v>254</v>
      </c>
      <c r="B263" s="93" t="str">
        <f>IFERROR(RIGHT(Table246[[#This Row],[Controller Input '#]],3)*1,"")</f>
        <v/>
      </c>
      <c r="C263" s="99"/>
      <c r="D263" s="1"/>
      <c r="E263" s="1"/>
      <c r="F263" s="1"/>
      <c r="G263" s="11"/>
      <c r="H263" s="21"/>
      <c r="I263" s="1"/>
      <c r="J263" s="1"/>
      <c r="K263" s="1"/>
      <c r="L263" s="11"/>
      <c r="M263" s="11"/>
      <c r="N263" s="18" t="str">
        <f>IF(ISNUMBER(SEARCH("ANALOG",Table246[[#This Row],[Type]]))=TRUE,1,"")</f>
        <v/>
      </c>
      <c r="O263" s="18" t="str">
        <f>IF(ISNUMBER(SEARCH("BINARY",Table246[[#This Row],[Type]]))=TRUE,1,"")</f>
        <v/>
      </c>
      <c r="P263" s="7" t="str">
        <f>IF(Table246[[#This Row],[Type]]="","",LEFT(Table246[[#This Row],[Type]],1)&amp;LEFT(#REF!,1))</f>
        <v/>
      </c>
      <c r="Q263" s="18" t="str">
        <f>IF(Table246[[#This Row],[Type]]="","",LEFT(Table246[[#This Row],[Type]],1)&amp;LEFT(#REF!,1))</f>
        <v/>
      </c>
      <c r="R263" s="18"/>
      <c r="S263" s="7" t="str">
        <f>IF(Table246[[#This Row],[A Counter]]=1,"AI"&amp;#REF!+SUM($N$43:N263),IF(Table246[[#This Row],[B Counter]]=1,"BI"&amp;#REF!+SUM($O$43:O263),""))</f>
        <v/>
      </c>
      <c r="T263" s="18" t="s">
        <v>34</v>
      </c>
      <c r="U263" s="7"/>
    </row>
    <row r="264" spans="1:21" x14ac:dyDescent="0.25">
      <c r="A264">
        <f t="shared" si="7"/>
        <v>255</v>
      </c>
      <c r="B264" s="130" t="str">
        <f>IFERROR(RIGHT(Table246[[#This Row],[Controller Input '#]],3)*1,"")</f>
        <v/>
      </c>
      <c r="C264" s="99"/>
      <c r="D264" s="1"/>
      <c r="E264" s="1"/>
      <c r="F264" s="1"/>
      <c r="G264" s="1"/>
      <c r="H264" s="8"/>
      <c r="I264" s="1"/>
      <c r="J264" s="1"/>
      <c r="K264" s="1"/>
      <c r="L264" s="1"/>
      <c r="M264" s="1"/>
      <c r="N264" s="18" t="str">
        <f>IF(ISNUMBER(SEARCH("ANALOG",Table246[[#This Row],[Type]]))=TRUE,1,"")</f>
        <v/>
      </c>
      <c r="O264" s="18" t="str">
        <f>IF(ISNUMBER(SEARCH("BINARY",Table246[[#This Row],[Type]]))=TRUE,1,"")</f>
        <v/>
      </c>
      <c r="P264" s="7" t="str">
        <f>IF(Table246[[#This Row],[Type]]="","",LEFT(Table246[[#This Row],[Type]],1)&amp;LEFT(#REF!,1))</f>
        <v/>
      </c>
      <c r="Q264" s="18" t="str">
        <f>IF(Table246[[#This Row],[Type]]="","",LEFT(Table246[[#This Row],[Type]],1)&amp;LEFT(#REF!,1))</f>
        <v/>
      </c>
      <c r="R264" s="18"/>
      <c r="S264" s="7" t="str">
        <f>IF(Table246[[#This Row],[A Counter]]=1,"AI"&amp;#REF!+SUM($N$43:N264),IF(Table246[[#This Row],[B Counter]]=1,"BI"&amp;#REF!+SUM($O$43:O264),""))</f>
        <v/>
      </c>
      <c r="T264" s="18" t="s">
        <v>34</v>
      </c>
      <c r="U264" s="7"/>
    </row>
    <row r="265" spans="1:21" x14ac:dyDescent="0.25">
      <c r="A265">
        <f t="shared" si="7"/>
        <v>256</v>
      </c>
      <c r="B265" s="93" t="str">
        <f>IFERROR(RIGHT(Table246[[#This Row],[Controller Input '#]],3)*1,"")</f>
        <v/>
      </c>
      <c r="C265" s="99"/>
      <c r="D265" s="1"/>
      <c r="E265" s="1"/>
      <c r="F265" s="1"/>
      <c r="G265" s="1"/>
      <c r="H265" s="8"/>
      <c r="I265" s="1"/>
      <c r="J265" s="1"/>
      <c r="K265" s="1"/>
      <c r="L265" s="1"/>
      <c r="M265" s="1"/>
      <c r="N265" s="18" t="str">
        <f>IF(ISNUMBER(SEARCH("ANALOG",Table246[[#This Row],[Type]]))=TRUE,1,"")</f>
        <v/>
      </c>
      <c r="O265" s="18" t="str">
        <f>IF(ISNUMBER(SEARCH("BINARY",Table246[[#This Row],[Type]]))=TRUE,1,"")</f>
        <v/>
      </c>
      <c r="P265" s="7" t="str">
        <f>IF(Table246[[#This Row],[Type]]="","",LEFT(Table246[[#This Row],[Type]],1)&amp;LEFT(#REF!,1))</f>
        <v/>
      </c>
      <c r="Q265" s="18" t="str">
        <f>IF(Table246[[#This Row],[Type]]="","",LEFT(Table246[[#This Row],[Type]],1)&amp;LEFT(#REF!,1))</f>
        <v/>
      </c>
      <c r="R265" s="18"/>
      <c r="S265" s="7" t="str">
        <f>IF(Table246[[#This Row],[A Counter]]=1,"AI"&amp;#REF!+SUM($N$43:N265),IF(Table246[[#This Row],[B Counter]]=1,"BI"&amp;#REF!+SUM($O$43:O265),""))</f>
        <v/>
      </c>
      <c r="T265" s="18" t="s">
        <v>34</v>
      </c>
      <c r="U265" s="7"/>
    </row>
    <row r="266" spans="1:21" x14ac:dyDescent="0.25">
      <c r="A266">
        <f t="shared" si="7"/>
        <v>257</v>
      </c>
      <c r="B266" s="130" t="str">
        <f>IFERROR(RIGHT(Table246[[#This Row],[Controller Input '#]],3)*1,"")</f>
        <v/>
      </c>
      <c r="C266" s="99"/>
      <c r="D266" s="1"/>
      <c r="E266" s="11"/>
      <c r="F266" s="11"/>
      <c r="G266" s="11"/>
      <c r="H266" s="21"/>
      <c r="I266" s="11"/>
      <c r="J266" s="11"/>
      <c r="K266" s="11"/>
      <c r="L266" s="11"/>
      <c r="M266" s="11"/>
      <c r="N266" s="18" t="str">
        <f>IF(ISNUMBER(SEARCH("ANALOG",Table246[[#This Row],[Type]]))=TRUE,1,"")</f>
        <v/>
      </c>
      <c r="O266" s="18" t="str">
        <f>IF(ISNUMBER(SEARCH("BINARY",Table246[[#This Row],[Type]]))=TRUE,1,"")</f>
        <v/>
      </c>
      <c r="P266" s="7" t="str">
        <f>IF(Table246[[#This Row],[Type]]="","",LEFT(Table246[[#This Row],[Type]],1)&amp;LEFT(#REF!,1))</f>
        <v/>
      </c>
      <c r="Q266" s="18" t="str">
        <f>IF(Table246[[#This Row],[Type]]="","",LEFT(Table246[[#This Row],[Type]],1)&amp;LEFT(#REF!,1))</f>
        <v/>
      </c>
      <c r="R266" s="18"/>
      <c r="S266" s="7" t="str">
        <f>IF(Table246[[#This Row],[A Counter]]=1,"AI"&amp;#REF!+SUM($N$43:N266),IF(Table246[[#This Row],[B Counter]]=1,"BI"&amp;#REF!+SUM($O$43:O266),""))</f>
        <v/>
      </c>
      <c r="T266" s="26" t="s">
        <v>34</v>
      </c>
      <c r="U266" s="7"/>
    </row>
    <row r="267" spans="1:21" x14ac:dyDescent="0.25">
      <c r="A267">
        <f t="shared" si="7"/>
        <v>258</v>
      </c>
      <c r="B267" s="93" t="str">
        <f>IFERROR(RIGHT(Table246[[#This Row],[Controller Input '#]],3)*1,"")</f>
        <v/>
      </c>
      <c r="C267" s="99"/>
      <c r="D267" s="1"/>
      <c r="E267" s="11"/>
      <c r="F267" s="11"/>
      <c r="G267" s="11"/>
      <c r="H267" s="21"/>
      <c r="I267" s="11"/>
      <c r="J267" s="11"/>
      <c r="K267" s="11"/>
      <c r="L267" s="11"/>
      <c r="M267" s="11"/>
      <c r="N267" s="18" t="str">
        <f>IF(ISNUMBER(SEARCH("ANALOG",Table246[[#This Row],[Type]]))=TRUE,1,"")</f>
        <v/>
      </c>
      <c r="O267" s="18" t="str">
        <f>IF(ISNUMBER(SEARCH("BINARY",Table246[[#This Row],[Type]]))=TRUE,1,"")</f>
        <v/>
      </c>
      <c r="P267" s="7" t="str">
        <f>IF(Table246[[#This Row],[Type]]="","",LEFT(Table246[[#This Row],[Type]],1)&amp;LEFT(#REF!,1))</f>
        <v/>
      </c>
      <c r="Q267" s="18" t="str">
        <f>IF(Table246[[#This Row],[Type]]="","",LEFT(Table246[[#This Row],[Type]],1)&amp;LEFT(#REF!,1))</f>
        <v/>
      </c>
      <c r="R267" s="18"/>
      <c r="S267" s="7" t="str">
        <f>IF(Table246[[#This Row],[A Counter]]=1,"AI"&amp;#REF!+SUM($N$43:N267),IF(Table246[[#This Row],[B Counter]]=1,"BI"&amp;#REF!+SUM($O$43:O267),""))</f>
        <v/>
      </c>
      <c r="T267" s="26" t="s">
        <v>34</v>
      </c>
      <c r="U267" s="7"/>
    </row>
    <row r="268" spans="1:21" x14ac:dyDescent="0.25">
      <c r="A268">
        <f t="shared" si="7"/>
        <v>259</v>
      </c>
      <c r="B268" s="130" t="str">
        <f>IFERROR(RIGHT(Table246[[#This Row],[Controller Input '#]],3)*1,"")</f>
        <v/>
      </c>
      <c r="C268" s="99"/>
      <c r="D268" s="1"/>
      <c r="E268" s="11"/>
      <c r="F268" s="11"/>
      <c r="G268" s="11"/>
      <c r="H268" s="21"/>
      <c r="I268" s="11"/>
      <c r="J268" s="11"/>
      <c r="K268" s="11"/>
      <c r="L268" s="11"/>
      <c r="M268" s="11"/>
      <c r="N268" s="18" t="str">
        <f>IF(ISNUMBER(SEARCH("ANALOG",Table246[[#This Row],[Type]]))=TRUE,1,"")</f>
        <v/>
      </c>
      <c r="O268" s="18" t="str">
        <f>IF(ISNUMBER(SEARCH("BINARY",Table246[[#This Row],[Type]]))=TRUE,1,"")</f>
        <v/>
      </c>
      <c r="P268" s="7" t="str">
        <f>IF(Table246[[#This Row],[Type]]="","",LEFT(Table246[[#This Row],[Type]],1)&amp;LEFT(#REF!,1))</f>
        <v/>
      </c>
      <c r="Q268" s="18" t="str">
        <f>IF(Table246[[#This Row],[Type]]="","",LEFT(Table246[[#This Row],[Type]],1)&amp;LEFT(#REF!,1))</f>
        <v/>
      </c>
      <c r="R268" s="18"/>
      <c r="S268" s="7" t="str">
        <f>IF(Table246[[#This Row],[A Counter]]=1,"AI"&amp;#REF!+SUM($N$43:N268),IF(Table246[[#This Row],[B Counter]]=1,"BI"&amp;#REF!+SUM($O$43:O268),""))</f>
        <v/>
      </c>
      <c r="T268" s="26" t="s">
        <v>34</v>
      </c>
      <c r="U268" s="7"/>
    </row>
    <row r="269" spans="1:21" x14ac:dyDescent="0.25">
      <c r="A269">
        <f t="shared" si="7"/>
        <v>260</v>
      </c>
      <c r="B269" s="93" t="str">
        <f>IFERROR(RIGHT(Table246[[#This Row],[Controller Input '#]],3)*1,"")</f>
        <v/>
      </c>
      <c r="C269" s="99"/>
      <c r="D269" s="1"/>
      <c r="E269" s="23"/>
      <c r="F269" s="23"/>
      <c r="G269" s="23"/>
      <c r="H269" s="27"/>
      <c r="I269" s="23"/>
      <c r="J269" s="23"/>
      <c r="K269" s="23"/>
      <c r="L269" s="23"/>
      <c r="M269" s="23"/>
      <c r="N269" s="18" t="str">
        <f>IF(ISNUMBER(SEARCH("ANALOG",Table246[[#This Row],[Type]]))=TRUE,1,"")</f>
        <v/>
      </c>
      <c r="O269" s="18" t="str">
        <f>IF(ISNUMBER(SEARCH("BINARY",Table246[[#This Row],[Type]]))=TRUE,1,"")</f>
        <v/>
      </c>
      <c r="P269" s="7" t="str">
        <f>IF(Table246[[#This Row],[Type]]="","",LEFT(Table246[[#This Row],[Type]],1)&amp;LEFT(#REF!,1))</f>
        <v/>
      </c>
      <c r="Q269" s="18" t="str">
        <f>IF(Table246[[#This Row],[Type]]="","",LEFT(Table246[[#This Row],[Type]],1)&amp;LEFT(#REF!,1))</f>
        <v/>
      </c>
      <c r="R269" s="18"/>
      <c r="S269" s="7" t="str">
        <f>IF(Table246[[#This Row],[A Counter]]=1,"AI"&amp;#REF!+SUM($N$43:N269),IF(Table246[[#This Row],[B Counter]]=1,"BI"&amp;#REF!+SUM($O$43:O269),""))</f>
        <v/>
      </c>
      <c r="T269" s="28" t="s">
        <v>34</v>
      </c>
      <c r="U269" s="7"/>
    </row>
    <row r="270" spans="1:21" x14ac:dyDescent="0.25">
      <c r="A270">
        <f t="shared" si="7"/>
        <v>261</v>
      </c>
      <c r="B270" s="130" t="str">
        <f>IFERROR(RIGHT(Table246[[#This Row],[Controller Input '#]],3)*1,"")</f>
        <v/>
      </c>
      <c r="C270" s="99"/>
      <c r="D270" s="1"/>
      <c r="E270" s="11"/>
      <c r="F270" s="11"/>
      <c r="G270" s="11"/>
      <c r="H270" s="21"/>
      <c r="I270" s="11"/>
      <c r="J270" s="11"/>
      <c r="K270" s="11"/>
      <c r="L270" s="11"/>
      <c r="M270" s="11"/>
      <c r="N270" s="18" t="str">
        <f>IF(ISNUMBER(SEARCH("ANALOG",Table246[[#This Row],[Type]]))=TRUE,1,"")</f>
        <v/>
      </c>
      <c r="O270" s="18" t="str">
        <f>IF(ISNUMBER(SEARCH("BINARY",Table246[[#This Row],[Type]]))=TRUE,1,"")</f>
        <v/>
      </c>
      <c r="P270" s="7" t="str">
        <f>IF(Table246[[#This Row],[Type]]="","",LEFT(Table246[[#This Row],[Type]],1)&amp;LEFT(#REF!,1))</f>
        <v/>
      </c>
      <c r="Q270" s="18" t="str">
        <f>IF(Table246[[#This Row],[Type]]="","",LEFT(Table246[[#This Row],[Type]],1)&amp;LEFT(#REF!,1))</f>
        <v/>
      </c>
      <c r="R270" s="18"/>
      <c r="S270" s="7" t="str">
        <f>IF(Table246[[#This Row],[A Counter]]=1,"AI"&amp;#REF!+SUM($N$43:N270),IF(Table246[[#This Row],[B Counter]]=1,"BI"&amp;#REF!+SUM($O$43:O270),""))</f>
        <v/>
      </c>
      <c r="T270" s="26" t="s">
        <v>34</v>
      </c>
      <c r="U270" s="7"/>
    </row>
    <row r="271" spans="1:21" x14ac:dyDescent="0.25">
      <c r="A271">
        <f t="shared" si="7"/>
        <v>262</v>
      </c>
      <c r="B271" s="93" t="str">
        <f>IFERROR(RIGHT(Table246[[#This Row],[Controller Input '#]],3)*1,"")</f>
        <v/>
      </c>
      <c r="C271" s="99"/>
      <c r="D271" s="1"/>
      <c r="E271" s="11"/>
      <c r="F271" s="11"/>
      <c r="G271" s="11"/>
      <c r="H271" s="21"/>
      <c r="I271" s="11"/>
      <c r="J271" s="11"/>
      <c r="K271" s="11"/>
      <c r="L271" s="11"/>
      <c r="M271" s="11"/>
      <c r="N271" s="18" t="str">
        <f>IF(ISNUMBER(SEARCH("ANALOG",Table246[[#This Row],[Type]]))=TRUE,1,"")</f>
        <v/>
      </c>
      <c r="O271" s="18" t="str">
        <f>IF(ISNUMBER(SEARCH("BINARY",Table246[[#This Row],[Type]]))=TRUE,1,"")</f>
        <v/>
      </c>
      <c r="P271" s="7" t="str">
        <f>IF(Table246[[#This Row],[Type]]="","",LEFT(Table246[[#This Row],[Type]],1)&amp;LEFT(#REF!,1))</f>
        <v/>
      </c>
      <c r="Q271" s="18" t="str">
        <f>IF(Table246[[#This Row],[Type]]="","",LEFT(Table246[[#This Row],[Type]],1)&amp;LEFT(#REF!,1))</f>
        <v/>
      </c>
      <c r="R271" s="18"/>
      <c r="S271" s="7" t="str">
        <f>IF(Table246[[#This Row],[A Counter]]=1,"AI"&amp;#REF!+SUM($N$43:N271),IF(Table246[[#This Row],[B Counter]]=1,"BI"&amp;#REF!+SUM($O$43:O271),""))</f>
        <v/>
      </c>
      <c r="T271" s="26" t="s">
        <v>34</v>
      </c>
      <c r="U271" s="7"/>
    </row>
    <row r="272" spans="1:21" x14ac:dyDescent="0.25">
      <c r="A272">
        <f t="shared" si="7"/>
        <v>263</v>
      </c>
      <c r="B272" s="130" t="str">
        <f>IFERROR(RIGHT(Table246[[#This Row],[Controller Input '#]],3)*1,"")</f>
        <v/>
      </c>
      <c r="C272" s="99"/>
      <c r="D272" s="1"/>
      <c r="E272" s="11"/>
      <c r="F272" s="11"/>
      <c r="G272" s="11"/>
      <c r="H272" s="21"/>
      <c r="I272" s="11"/>
      <c r="J272" s="11"/>
      <c r="K272" s="11"/>
      <c r="L272" s="11"/>
      <c r="M272" s="11"/>
      <c r="N272" s="18" t="str">
        <f>IF(ISNUMBER(SEARCH("ANALOG",Table246[[#This Row],[Type]]))=TRUE,1,"")</f>
        <v/>
      </c>
      <c r="O272" s="18" t="str">
        <f>IF(ISNUMBER(SEARCH("BINARY",Table246[[#This Row],[Type]]))=TRUE,1,"")</f>
        <v/>
      </c>
      <c r="P272" s="7" t="str">
        <f>IF(Table246[[#This Row],[Type]]="","",LEFT(Table246[[#This Row],[Type]],1)&amp;LEFT(#REF!,1))</f>
        <v/>
      </c>
      <c r="Q272" s="18" t="str">
        <f>IF(Table246[[#This Row],[Type]]="","",LEFT(Table246[[#This Row],[Type]],1)&amp;LEFT(#REF!,1))</f>
        <v/>
      </c>
      <c r="R272" s="18"/>
      <c r="S272" s="7" t="str">
        <f>IF(Table246[[#This Row],[A Counter]]=1,"AI"&amp;#REF!+SUM($N$43:N272),IF(Table246[[#This Row],[B Counter]]=1,"BI"&amp;#REF!+SUM($O$43:O272),""))</f>
        <v/>
      </c>
      <c r="T272" s="26" t="s">
        <v>34</v>
      </c>
      <c r="U272" s="7"/>
    </row>
    <row r="273" spans="1:21" x14ac:dyDescent="0.25">
      <c r="A273">
        <f t="shared" si="7"/>
        <v>264</v>
      </c>
      <c r="B273" s="93" t="str">
        <f>IFERROR(RIGHT(Table246[[#This Row],[Controller Input '#]],3)*1,"")</f>
        <v/>
      </c>
      <c r="C273" s="99"/>
      <c r="D273" s="1"/>
      <c r="E273" s="11"/>
      <c r="F273" s="11"/>
      <c r="G273" s="11"/>
      <c r="H273" s="21"/>
      <c r="I273" s="11"/>
      <c r="J273" s="11"/>
      <c r="K273" s="11"/>
      <c r="L273" s="11"/>
      <c r="M273" s="11"/>
      <c r="N273" s="18" t="str">
        <f>IF(ISNUMBER(SEARCH("ANALOG",Table246[[#This Row],[Type]]))=TRUE,1,"")</f>
        <v/>
      </c>
      <c r="O273" s="18" t="str">
        <f>IF(ISNUMBER(SEARCH("BINARY",Table246[[#This Row],[Type]]))=TRUE,1,"")</f>
        <v/>
      </c>
      <c r="P273" s="7" t="str">
        <f>IF(Table246[[#This Row],[Type]]="","",LEFT(Table246[[#This Row],[Type]],1)&amp;LEFT(#REF!,1))</f>
        <v/>
      </c>
      <c r="Q273" s="18" t="str">
        <f>IF(Table246[[#This Row],[Type]]="","",LEFT(Table246[[#This Row],[Type]],1)&amp;LEFT(#REF!,1))</f>
        <v/>
      </c>
      <c r="R273" s="18"/>
      <c r="S273" s="7" t="str">
        <f>IF(Table246[[#This Row],[A Counter]]=1,"AI"&amp;#REF!+SUM($N$43:N273),IF(Table246[[#This Row],[B Counter]]=1,"BI"&amp;#REF!+SUM($O$43:O273),""))</f>
        <v/>
      </c>
      <c r="T273" s="26" t="s">
        <v>34</v>
      </c>
      <c r="U273" s="7"/>
    </row>
    <row r="274" spans="1:21" x14ac:dyDescent="0.25">
      <c r="A274">
        <f t="shared" si="7"/>
        <v>265</v>
      </c>
      <c r="B274" s="130" t="str">
        <f>IFERROR(RIGHT(Table246[[#This Row],[Controller Input '#]],3)*1,"")</f>
        <v/>
      </c>
      <c r="C274" s="99"/>
      <c r="D274" s="1"/>
      <c r="E274" s="23"/>
      <c r="F274" s="23"/>
      <c r="G274" s="23"/>
      <c r="H274" s="27"/>
      <c r="I274" s="23"/>
      <c r="J274" s="23"/>
      <c r="K274" s="23"/>
      <c r="L274" s="23"/>
      <c r="M274" s="23"/>
      <c r="N274" s="18" t="str">
        <f>IF(ISNUMBER(SEARCH("ANALOG",Table246[[#This Row],[Type]]))=TRUE,1,"")</f>
        <v/>
      </c>
      <c r="O274" s="18" t="str">
        <f>IF(ISNUMBER(SEARCH("BINARY",Table246[[#This Row],[Type]]))=TRUE,1,"")</f>
        <v/>
      </c>
      <c r="P274" s="7" t="str">
        <f>IF(Table246[[#This Row],[Type]]="","",LEFT(Table246[[#This Row],[Type]],1)&amp;LEFT(#REF!,1))</f>
        <v/>
      </c>
      <c r="Q274" s="18" t="str">
        <f>IF(Table246[[#This Row],[Type]]="","",LEFT(Table246[[#This Row],[Type]],1)&amp;LEFT(#REF!,1))</f>
        <v/>
      </c>
      <c r="R274" s="18"/>
      <c r="S274" s="7" t="str">
        <f>IF(Table246[[#This Row],[A Counter]]=1,"AI"&amp;#REF!+SUM($N$43:N274),IF(Table246[[#This Row],[B Counter]]=1,"BI"&amp;#REF!+SUM($O$43:O274),""))</f>
        <v/>
      </c>
      <c r="T274" s="28" t="s">
        <v>34</v>
      </c>
      <c r="U274" s="7"/>
    </row>
    <row r="275" spans="1:21" x14ac:dyDescent="0.25">
      <c r="A275">
        <f t="shared" si="7"/>
        <v>266</v>
      </c>
      <c r="B275" s="93" t="str">
        <f>IFERROR(RIGHT(Table246[[#This Row],[Controller Input '#]],3)*1,"")</f>
        <v/>
      </c>
      <c r="C275" s="99"/>
      <c r="D275" s="1"/>
      <c r="E275" s="11"/>
      <c r="F275" s="11"/>
      <c r="G275" s="11"/>
      <c r="H275" s="21"/>
      <c r="I275" s="11"/>
      <c r="J275" s="11"/>
      <c r="K275" s="11"/>
      <c r="L275" s="11"/>
      <c r="M275" s="11"/>
      <c r="N275" s="18" t="str">
        <f>IF(ISNUMBER(SEARCH("ANALOG",Table246[[#This Row],[Type]]))=TRUE,1,"")</f>
        <v/>
      </c>
      <c r="O275" s="18" t="str">
        <f>IF(ISNUMBER(SEARCH("BINARY",Table246[[#This Row],[Type]]))=TRUE,1,"")</f>
        <v/>
      </c>
      <c r="P275" s="7" t="str">
        <f>IF(Table246[[#This Row],[Type]]="","",LEFT(Table246[[#This Row],[Type]],1)&amp;LEFT(#REF!,1))</f>
        <v/>
      </c>
      <c r="Q275" s="18" t="str">
        <f>IF(Table246[[#This Row],[Type]]="","",LEFT(Table246[[#This Row],[Type]],1)&amp;LEFT(#REF!,1))</f>
        <v/>
      </c>
      <c r="R275" s="18"/>
      <c r="S275" s="7" t="str">
        <f>IF(Table246[[#This Row],[A Counter]]=1,"AI"&amp;#REF!+SUM($N$43:N275),IF(Table246[[#This Row],[B Counter]]=1,"BI"&amp;#REF!+SUM($O$43:O275),""))</f>
        <v/>
      </c>
      <c r="T275" s="26" t="s">
        <v>34</v>
      </c>
      <c r="U275" s="7"/>
    </row>
    <row r="276" spans="1:21" x14ac:dyDescent="0.25">
      <c r="A276">
        <f t="shared" si="7"/>
        <v>267</v>
      </c>
      <c r="B276" s="130" t="str">
        <f>IFERROR(RIGHT(Table246[[#This Row],[Controller Input '#]],3)*1,"")</f>
        <v/>
      </c>
      <c r="C276" s="99"/>
      <c r="D276" s="1"/>
      <c r="E276" s="11"/>
      <c r="F276" s="11"/>
      <c r="G276" s="11"/>
      <c r="H276" s="21"/>
      <c r="I276" s="11"/>
      <c r="J276" s="11"/>
      <c r="K276" s="11"/>
      <c r="L276" s="11"/>
      <c r="M276" s="11"/>
      <c r="N276" s="18" t="str">
        <f>IF(ISNUMBER(SEARCH("ANALOG",Table246[[#This Row],[Type]]))=TRUE,1,"")</f>
        <v/>
      </c>
      <c r="O276" s="18" t="str">
        <f>IF(ISNUMBER(SEARCH("BINARY",Table246[[#This Row],[Type]]))=TRUE,1,"")</f>
        <v/>
      </c>
      <c r="P276" s="7" t="str">
        <f>IF(Table246[[#This Row],[Type]]="","",LEFT(Table246[[#This Row],[Type]],1)&amp;LEFT(#REF!,1))</f>
        <v/>
      </c>
      <c r="Q276" s="18" t="str">
        <f>IF(Table246[[#This Row],[Type]]="","",LEFT(Table246[[#This Row],[Type]],1)&amp;LEFT(#REF!,1))</f>
        <v/>
      </c>
      <c r="R276" s="18"/>
      <c r="S276" s="7" t="str">
        <f>IF(Table246[[#This Row],[A Counter]]=1,"AI"&amp;#REF!+SUM($N$43:N276),IF(Table246[[#This Row],[B Counter]]=1,"BI"&amp;#REF!+SUM($O$43:O276),""))</f>
        <v/>
      </c>
      <c r="T276" s="26" t="s">
        <v>34</v>
      </c>
      <c r="U276" s="7"/>
    </row>
    <row r="277" spans="1:21" x14ac:dyDescent="0.25">
      <c r="A277">
        <f t="shared" si="7"/>
        <v>268</v>
      </c>
      <c r="B277" s="93" t="str">
        <f>IFERROR(RIGHT(Table246[[#This Row],[Controller Input '#]],3)*1,"")</f>
        <v/>
      </c>
      <c r="C277" s="99"/>
      <c r="D277" s="1"/>
      <c r="E277" s="11"/>
      <c r="F277" s="11"/>
      <c r="G277" s="11"/>
      <c r="H277" s="21"/>
      <c r="I277" s="11"/>
      <c r="J277" s="11"/>
      <c r="K277" s="11"/>
      <c r="L277" s="11"/>
      <c r="M277" s="11"/>
      <c r="N277" s="18" t="str">
        <f>IF(ISNUMBER(SEARCH("ANALOG",Table246[[#This Row],[Type]]))=TRUE,1,"")</f>
        <v/>
      </c>
      <c r="O277" s="18" t="str">
        <f>IF(ISNUMBER(SEARCH("BINARY",Table246[[#This Row],[Type]]))=TRUE,1,"")</f>
        <v/>
      </c>
      <c r="P277" s="7" t="str">
        <f>IF(Table246[[#This Row],[Type]]="","",LEFT(Table246[[#This Row],[Type]],1)&amp;LEFT(#REF!,1))</f>
        <v/>
      </c>
      <c r="Q277" s="18" t="str">
        <f>IF(Table246[[#This Row],[Type]]="","",LEFT(Table246[[#This Row],[Type]],1)&amp;LEFT(#REF!,1))</f>
        <v/>
      </c>
      <c r="R277" s="18"/>
      <c r="S277" s="7" t="str">
        <f>IF(Table246[[#This Row],[A Counter]]=1,"AI"&amp;#REF!+SUM($N$43:N277),IF(Table246[[#This Row],[B Counter]]=1,"BI"&amp;#REF!+SUM($O$43:O277),""))</f>
        <v/>
      </c>
      <c r="T277" s="26" t="s">
        <v>34</v>
      </c>
      <c r="U277" s="7"/>
    </row>
    <row r="278" spans="1:21" x14ac:dyDescent="0.25">
      <c r="A278">
        <f t="shared" si="7"/>
        <v>269</v>
      </c>
      <c r="B278" s="130" t="str">
        <f>IFERROR(RIGHT(Table246[[#This Row],[Controller Input '#]],3)*1,"")</f>
        <v/>
      </c>
      <c r="C278" s="99"/>
      <c r="D278" s="1"/>
      <c r="E278" s="11"/>
      <c r="F278" s="11"/>
      <c r="G278" s="11"/>
      <c r="H278" s="21"/>
      <c r="I278" s="11"/>
      <c r="J278" s="11"/>
      <c r="K278" s="11"/>
      <c r="L278" s="11"/>
      <c r="M278" s="11"/>
      <c r="N278" s="18" t="str">
        <f>IF(ISNUMBER(SEARCH("ANALOG",Table246[[#This Row],[Type]]))=TRUE,1,"")</f>
        <v/>
      </c>
      <c r="O278" s="18" t="str">
        <f>IF(ISNUMBER(SEARCH("BINARY",Table246[[#This Row],[Type]]))=TRUE,1,"")</f>
        <v/>
      </c>
      <c r="P278" s="7" t="str">
        <f>IF(Table246[[#This Row],[Type]]="","",LEFT(Table246[[#This Row],[Type]],1)&amp;LEFT(#REF!,1))</f>
        <v/>
      </c>
      <c r="Q278" s="18" t="str">
        <f>IF(Table246[[#This Row],[Type]]="","",LEFT(Table246[[#This Row],[Type]],1)&amp;LEFT(#REF!,1))</f>
        <v/>
      </c>
      <c r="R278" s="18"/>
      <c r="S278" s="7" t="str">
        <f>IF(Table246[[#This Row],[A Counter]]=1,"AI"&amp;#REF!+SUM($N$43:N278),IF(Table246[[#This Row],[B Counter]]=1,"BI"&amp;#REF!+SUM($O$43:O278),""))</f>
        <v/>
      </c>
      <c r="T278" s="26" t="s">
        <v>34</v>
      </c>
      <c r="U278" s="7"/>
    </row>
    <row r="279" spans="1:21" x14ac:dyDescent="0.25">
      <c r="A279">
        <f t="shared" si="7"/>
        <v>270</v>
      </c>
      <c r="B279" s="93" t="str">
        <f>IFERROR(RIGHT(Table246[[#This Row],[Controller Input '#]],3)*1,"")</f>
        <v/>
      </c>
      <c r="C279" s="99"/>
      <c r="D279" s="1"/>
      <c r="E279" s="23"/>
      <c r="F279" s="23"/>
      <c r="G279" s="23"/>
      <c r="H279" s="27"/>
      <c r="I279" s="23"/>
      <c r="J279" s="23"/>
      <c r="K279" s="23"/>
      <c r="L279" s="23"/>
      <c r="M279" s="23"/>
      <c r="N279" s="18" t="str">
        <f>IF(ISNUMBER(SEARCH("ANALOG",Table246[[#This Row],[Type]]))=TRUE,1,"")</f>
        <v/>
      </c>
      <c r="O279" s="18" t="str">
        <f>IF(ISNUMBER(SEARCH("BINARY",Table246[[#This Row],[Type]]))=TRUE,1,"")</f>
        <v/>
      </c>
      <c r="P279" s="7" t="str">
        <f>IF(Table246[[#This Row],[Type]]="","",LEFT(Table246[[#This Row],[Type]],1)&amp;LEFT(#REF!,1))</f>
        <v/>
      </c>
      <c r="Q279" s="18" t="str">
        <f>IF(Table246[[#This Row],[Type]]="","",LEFT(Table246[[#This Row],[Type]],1)&amp;LEFT(#REF!,1))</f>
        <v/>
      </c>
      <c r="R279" s="18"/>
      <c r="S279" s="7" t="str">
        <f>IF(Table246[[#This Row],[A Counter]]=1,"AI"&amp;#REF!+SUM($N$43:N279),IF(Table246[[#This Row],[B Counter]]=1,"BI"&amp;#REF!+SUM($O$43:O279),""))</f>
        <v/>
      </c>
      <c r="T279" s="28" t="s">
        <v>34</v>
      </c>
      <c r="U279" s="7"/>
    </row>
    <row r="280" spans="1:21" x14ac:dyDescent="0.25">
      <c r="A280">
        <f t="shared" si="7"/>
        <v>271</v>
      </c>
      <c r="B280" s="130" t="str">
        <f>IFERROR(RIGHT(Table246[[#This Row],[Controller Input '#]],3)*1,"")</f>
        <v/>
      </c>
      <c r="C280" s="99"/>
      <c r="D280" s="1"/>
      <c r="E280" s="11"/>
      <c r="F280" s="11"/>
      <c r="G280" s="11"/>
      <c r="H280" s="21"/>
      <c r="I280" s="11"/>
      <c r="J280" s="11"/>
      <c r="K280" s="11"/>
      <c r="L280" s="11"/>
      <c r="M280" s="11"/>
      <c r="N280" s="18" t="str">
        <f>IF(ISNUMBER(SEARCH("ANALOG",Table246[[#This Row],[Type]]))=TRUE,1,"")</f>
        <v/>
      </c>
      <c r="O280" s="18" t="str">
        <f>IF(ISNUMBER(SEARCH("BINARY",Table246[[#This Row],[Type]]))=TRUE,1,"")</f>
        <v/>
      </c>
      <c r="P280" s="7" t="str">
        <f>IF(Table246[[#This Row],[Type]]="","",LEFT(Table246[[#This Row],[Type]],1)&amp;LEFT(#REF!,1))</f>
        <v/>
      </c>
      <c r="Q280" s="18" t="str">
        <f>IF(Table246[[#This Row],[Type]]="","",LEFT(Table246[[#This Row],[Type]],1)&amp;LEFT(#REF!,1))</f>
        <v/>
      </c>
      <c r="R280" s="18"/>
      <c r="S280" s="7" t="str">
        <f>IF(Table246[[#This Row],[A Counter]]=1,"AI"&amp;#REF!+SUM($N$43:N280),IF(Table246[[#This Row],[B Counter]]=1,"BI"&amp;#REF!+SUM($O$43:O280),""))</f>
        <v/>
      </c>
      <c r="T280" s="26" t="s">
        <v>34</v>
      </c>
      <c r="U280" s="7"/>
    </row>
    <row r="281" spans="1:21" x14ac:dyDescent="0.25">
      <c r="A281">
        <f t="shared" si="7"/>
        <v>272</v>
      </c>
      <c r="B281" s="93" t="str">
        <f>IFERROR(RIGHT(Table246[[#This Row],[Controller Input '#]],3)*1,"")</f>
        <v/>
      </c>
      <c r="C281" s="99"/>
      <c r="D281" s="1"/>
      <c r="E281" s="1"/>
      <c r="F281" s="1"/>
      <c r="G281" s="1"/>
      <c r="H281" s="8"/>
      <c r="I281" s="1"/>
      <c r="J281" s="1"/>
      <c r="K281" s="1"/>
      <c r="L281" s="1"/>
      <c r="M281" s="1"/>
      <c r="N281" s="18" t="str">
        <f>IF(ISNUMBER(SEARCH("ANALOG",Table246[[#This Row],[Type]]))=TRUE,1,"")</f>
        <v/>
      </c>
      <c r="O281" s="18" t="str">
        <f>IF(ISNUMBER(SEARCH("BINARY",Table246[[#This Row],[Type]]))=TRUE,1,"")</f>
        <v/>
      </c>
      <c r="P281" s="7" t="str">
        <f>IF(Table246[[#This Row],[Type]]="","",LEFT(Table246[[#This Row],[Type]],1)&amp;LEFT(#REF!,1))</f>
        <v/>
      </c>
      <c r="Q281" s="18" t="str">
        <f>IF(Table246[[#This Row],[Type]]="","",LEFT(Table246[[#This Row],[Type]],1)&amp;LEFT(#REF!,1))</f>
        <v/>
      </c>
      <c r="R281" s="18"/>
      <c r="S281" s="7" t="str">
        <f>IF(Table246[[#This Row],[A Counter]]=1,"AI"&amp;#REF!+SUM($N$43:N281),IF(Table246[[#This Row],[B Counter]]=1,"BI"&amp;#REF!+SUM($O$43:O281),""))</f>
        <v/>
      </c>
      <c r="T281" s="18" t="s">
        <v>34</v>
      </c>
      <c r="U281" s="7"/>
    </row>
    <row r="282" spans="1:21" x14ac:dyDescent="0.25">
      <c r="A282">
        <f t="shared" si="7"/>
        <v>273</v>
      </c>
      <c r="B282" s="130" t="str">
        <f>IFERROR(RIGHT(Table246[[#This Row],[Controller Input '#]],3)*1,"")</f>
        <v/>
      </c>
      <c r="C282" s="99"/>
      <c r="D282" s="1"/>
      <c r="E282" s="1"/>
      <c r="F282" s="1"/>
      <c r="G282" s="1"/>
      <c r="H282" s="8"/>
      <c r="I282" s="1"/>
      <c r="J282" s="1"/>
      <c r="K282" s="1"/>
      <c r="L282" s="1"/>
      <c r="M282" s="1"/>
      <c r="N282" s="18" t="str">
        <f>IF(ISNUMBER(SEARCH("ANALOG",Table246[[#This Row],[Type]]))=TRUE,1,"")</f>
        <v/>
      </c>
      <c r="O282" s="18" t="str">
        <f>IF(ISNUMBER(SEARCH("BINARY",Table246[[#This Row],[Type]]))=TRUE,1,"")</f>
        <v/>
      </c>
      <c r="P282" s="7" t="str">
        <f>IF(Table246[[#This Row],[Type]]="","",LEFT(Table246[[#This Row],[Type]],1)&amp;LEFT(#REF!,1))</f>
        <v/>
      </c>
      <c r="Q282" s="18" t="str">
        <f>IF(Table246[[#This Row],[Type]]="","",LEFT(Table246[[#This Row],[Type]],1)&amp;LEFT(#REF!,1))</f>
        <v/>
      </c>
      <c r="R282" s="18"/>
      <c r="S282" s="7" t="str">
        <f>IF(Table246[[#This Row],[A Counter]]=1,"AI"&amp;#REF!+SUM($N$43:N282),IF(Table246[[#This Row],[B Counter]]=1,"BI"&amp;#REF!+SUM($O$43:O282),""))</f>
        <v/>
      </c>
      <c r="T282" s="18" t="s">
        <v>34</v>
      </c>
      <c r="U282" s="7"/>
    </row>
    <row r="283" spans="1:21" x14ac:dyDescent="0.25">
      <c r="A283">
        <f t="shared" si="7"/>
        <v>274</v>
      </c>
      <c r="B283" s="93" t="str">
        <f>IFERROR(RIGHT(Table246[[#This Row],[Controller Input '#]],3)*1,"")</f>
        <v/>
      </c>
      <c r="C283" s="98"/>
      <c r="D283" s="1"/>
      <c r="E283" s="1"/>
      <c r="F283" s="1"/>
      <c r="G283" s="1"/>
      <c r="H283" s="8"/>
      <c r="I283" s="1"/>
      <c r="J283" s="1"/>
      <c r="K283" s="1"/>
      <c r="L283" s="1"/>
      <c r="M283" s="1"/>
      <c r="N283" s="18" t="str">
        <f>IF(ISNUMBER(SEARCH("ANALOG",Table246[[#This Row],[Type]]))=TRUE,1,"")</f>
        <v/>
      </c>
      <c r="O283" s="18" t="str">
        <f>IF(ISNUMBER(SEARCH("BINARY",Table246[[#This Row],[Type]]))=TRUE,1,"")</f>
        <v/>
      </c>
      <c r="P283" s="7" t="str">
        <f>IF(Table246[[#This Row],[Type]]="","",LEFT(Table246[[#This Row],[Type]],1)&amp;LEFT(#REF!,1))</f>
        <v/>
      </c>
      <c r="Q283" s="18" t="str">
        <f>IF(Table246[[#This Row],[Type]]="","",LEFT(Table246[[#This Row],[Type]],1)&amp;LEFT(#REF!,1))</f>
        <v/>
      </c>
      <c r="R283" s="18"/>
      <c r="S283" s="7" t="str">
        <f>IF(Table246[[#This Row],[A Counter]]=1,"AI"&amp;#REF!+SUM($N$43:N283),IF(Table246[[#This Row],[B Counter]]=1,"BI"&amp;#REF!+SUM($O$43:O283),""))</f>
        <v/>
      </c>
      <c r="T283" s="18" t="s">
        <v>34</v>
      </c>
      <c r="U283" s="7"/>
    </row>
    <row r="284" spans="1:21" x14ac:dyDescent="0.25">
      <c r="A284">
        <f t="shared" si="7"/>
        <v>275</v>
      </c>
      <c r="B284" s="130" t="str">
        <f>IFERROR(RIGHT(Table246[[#This Row],[Controller Input '#]],3)*1,"")</f>
        <v/>
      </c>
      <c r="C284" s="98"/>
      <c r="D284" s="1"/>
      <c r="E284" s="1"/>
      <c r="F284" s="1"/>
      <c r="G284" s="11"/>
      <c r="H284" s="21"/>
      <c r="I284" s="1"/>
      <c r="J284" s="1"/>
      <c r="K284" s="1"/>
      <c r="L284" s="1"/>
      <c r="M284" s="1"/>
      <c r="N284" s="18" t="str">
        <f>IF(ISNUMBER(SEARCH("ANALOG",Table246[[#This Row],[Type]]))=TRUE,1,"")</f>
        <v/>
      </c>
      <c r="O284" s="18" t="str">
        <f>IF(ISNUMBER(SEARCH("BINARY",Table246[[#This Row],[Type]]))=TRUE,1,"")</f>
        <v/>
      </c>
      <c r="P284" s="7" t="str">
        <f>IF(Table246[[#This Row],[Type]]="","",LEFT(Table246[[#This Row],[Type]],1)&amp;LEFT(#REF!,1))</f>
        <v/>
      </c>
      <c r="Q284" s="18" t="str">
        <f>IF(Table246[[#This Row],[Type]]="","",LEFT(Table246[[#This Row],[Type]],1)&amp;LEFT(#REF!,1))</f>
        <v/>
      </c>
      <c r="R284" s="18"/>
      <c r="S284" s="7" t="str">
        <f>IF(Table246[[#This Row],[A Counter]]=1,"AI"&amp;#REF!+SUM($N$43:N284),IF(Table246[[#This Row],[B Counter]]=1,"BI"&amp;#REF!+SUM($O$43:O284),""))</f>
        <v/>
      </c>
      <c r="T284" s="18" t="s">
        <v>34</v>
      </c>
      <c r="U284" s="7"/>
    </row>
    <row r="285" spans="1:21" x14ac:dyDescent="0.25">
      <c r="A285">
        <f t="shared" si="7"/>
        <v>276</v>
      </c>
      <c r="B285" s="93" t="str">
        <f>IFERROR(RIGHT(Table246[[#This Row],[Controller Input '#]],3)*1,"")</f>
        <v/>
      </c>
      <c r="C285" s="98"/>
      <c r="D285" s="1"/>
      <c r="E285" s="1"/>
      <c r="F285" s="1"/>
      <c r="G285" s="11"/>
      <c r="H285" s="21"/>
      <c r="I285" s="1"/>
      <c r="J285" s="1"/>
      <c r="K285" s="1"/>
      <c r="L285" s="1"/>
      <c r="M285" s="1"/>
      <c r="N285" s="18" t="str">
        <f>IF(ISNUMBER(SEARCH("ANALOG",Table246[[#This Row],[Type]]))=TRUE,1,"")</f>
        <v/>
      </c>
      <c r="O285" s="18" t="str">
        <f>IF(ISNUMBER(SEARCH("BINARY",Table246[[#This Row],[Type]]))=TRUE,1,"")</f>
        <v/>
      </c>
      <c r="P285" s="7" t="str">
        <f>IF(Table246[[#This Row],[Type]]="","",LEFT(Table246[[#This Row],[Type]],1)&amp;LEFT(#REF!,1))</f>
        <v/>
      </c>
      <c r="Q285" s="18" t="str">
        <f>IF(Table246[[#This Row],[Type]]="","",LEFT(Table246[[#This Row],[Type]],1)&amp;LEFT(#REF!,1))</f>
        <v/>
      </c>
      <c r="R285" s="18"/>
      <c r="S285" s="7" t="str">
        <f>IF(Table246[[#This Row],[A Counter]]=1,"AI"&amp;#REF!+SUM($N$43:N285),IF(Table246[[#This Row],[B Counter]]=1,"BI"&amp;#REF!+SUM($O$43:O285),""))</f>
        <v/>
      </c>
      <c r="T285" s="18" t="s">
        <v>34</v>
      </c>
      <c r="U285" s="7"/>
    </row>
    <row r="286" spans="1:21" x14ac:dyDescent="0.25">
      <c r="A286">
        <f t="shared" si="7"/>
        <v>277</v>
      </c>
      <c r="B286" s="130" t="str">
        <f>IFERROR(RIGHT(Table246[[#This Row],[Controller Input '#]],3)*1,"")</f>
        <v/>
      </c>
      <c r="C286" s="98"/>
      <c r="D286" s="1"/>
      <c r="E286" s="1"/>
      <c r="F286" s="1"/>
      <c r="G286" s="11"/>
      <c r="H286" s="21"/>
      <c r="I286" s="1"/>
      <c r="J286" s="1"/>
      <c r="K286" s="1"/>
      <c r="L286" s="1"/>
      <c r="M286" s="1"/>
      <c r="N286" s="18" t="str">
        <f>IF(ISNUMBER(SEARCH("ANALOG",Table246[[#This Row],[Type]]))=TRUE,1,"")</f>
        <v/>
      </c>
      <c r="O286" s="18" t="str">
        <f>IF(ISNUMBER(SEARCH("BINARY",Table246[[#This Row],[Type]]))=TRUE,1,"")</f>
        <v/>
      </c>
      <c r="P286" s="7" t="str">
        <f>IF(Table246[[#This Row],[Type]]="","",LEFT(Table246[[#This Row],[Type]],1)&amp;LEFT(#REF!,1))</f>
        <v/>
      </c>
      <c r="Q286" s="18" t="str">
        <f>IF(Table246[[#This Row],[Type]]="","",LEFT(Table246[[#This Row],[Type]],1)&amp;LEFT(#REF!,1))</f>
        <v/>
      </c>
      <c r="R286" s="18"/>
      <c r="S286" s="7" t="str">
        <f>IF(Table246[[#This Row],[A Counter]]=1,"AI"&amp;#REF!+SUM($N$43:N286),IF(Table246[[#This Row],[B Counter]]=1,"BI"&amp;#REF!+SUM($O$43:O286),""))</f>
        <v/>
      </c>
      <c r="T286" s="18" t="s">
        <v>34</v>
      </c>
      <c r="U286" s="7"/>
    </row>
    <row r="287" spans="1:21" x14ac:dyDescent="0.25">
      <c r="A287">
        <f t="shared" si="7"/>
        <v>278</v>
      </c>
      <c r="B287" s="93" t="str">
        <f>IFERROR(RIGHT(Table246[[#This Row],[Controller Input '#]],3)*1,"")</f>
        <v/>
      </c>
      <c r="C287" s="98"/>
      <c r="D287" s="1"/>
      <c r="E287" s="1"/>
      <c r="F287" s="1"/>
      <c r="G287" s="11"/>
      <c r="H287" s="21"/>
      <c r="I287" s="1"/>
      <c r="J287" s="1"/>
      <c r="K287" s="1"/>
      <c r="L287" s="1"/>
      <c r="M287" s="1"/>
      <c r="N287" s="18" t="str">
        <f>IF(ISNUMBER(SEARCH("ANALOG",Table246[[#This Row],[Type]]))=TRUE,1,"")</f>
        <v/>
      </c>
      <c r="O287" s="18" t="str">
        <f>IF(ISNUMBER(SEARCH("BINARY",Table246[[#This Row],[Type]]))=TRUE,1,"")</f>
        <v/>
      </c>
      <c r="P287" s="7" t="str">
        <f>IF(Table246[[#This Row],[Type]]="","",LEFT(Table246[[#This Row],[Type]],1)&amp;LEFT(#REF!,1))</f>
        <v/>
      </c>
      <c r="Q287" s="18" t="str">
        <f>IF(Table246[[#This Row],[Type]]="","",LEFT(Table246[[#This Row],[Type]],1)&amp;LEFT(#REF!,1))</f>
        <v/>
      </c>
      <c r="R287" s="18"/>
      <c r="S287" s="7" t="str">
        <f>IF(Table246[[#This Row],[A Counter]]=1,"AI"&amp;#REF!+SUM($N$43:N287),IF(Table246[[#This Row],[B Counter]]=1,"BI"&amp;#REF!+SUM($O$43:O287),""))</f>
        <v/>
      </c>
      <c r="T287" s="18" t="s">
        <v>34</v>
      </c>
      <c r="U287" s="7"/>
    </row>
    <row r="288" spans="1:21" x14ac:dyDescent="0.25">
      <c r="A288">
        <f t="shared" si="7"/>
        <v>279</v>
      </c>
      <c r="B288" s="130" t="str">
        <f>IFERROR(RIGHT(Table246[[#This Row],[Controller Input '#]],3)*1,"")</f>
        <v/>
      </c>
      <c r="C288" s="98"/>
      <c r="D288" s="1"/>
      <c r="E288" s="1"/>
      <c r="F288" s="1"/>
      <c r="G288" s="1"/>
      <c r="H288" s="8"/>
      <c r="I288" s="1"/>
      <c r="J288" s="1"/>
      <c r="K288" s="1"/>
      <c r="L288" s="1"/>
      <c r="M288" s="1"/>
      <c r="N288" s="18" t="str">
        <f>IF(ISNUMBER(SEARCH("ANALOG",Table246[[#This Row],[Type]]))=TRUE,1,"")</f>
        <v/>
      </c>
      <c r="O288" s="18" t="str">
        <f>IF(ISNUMBER(SEARCH("BINARY",Table246[[#This Row],[Type]]))=TRUE,1,"")</f>
        <v/>
      </c>
      <c r="P288" s="7" t="str">
        <f>IF(Table246[[#This Row],[Type]]="","",LEFT(Table246[[#This Row],[Type]],1)&amp;LEFT(#REF!,1))</f>
        <v/>
      </c>
      <c r="Q288" s="18" t="str">
        <f>IF(Table246[[#This Row],[Type]]="","",LEFT(Table246[[#This Row],[Type]],1)&amp;LEFT(#REF!,1))</f>
        <v/>
      </c>
      <c r="R288" s="18"/>
      <c r="S288" s="7" t="str">
        <f>IF(Table246[[#This Row],[A Counter]]=1,"AI"&amp;#REF!+SUM($N$43:N288),IF(Table246[[#This Row],[B Counter]]=1,"BI"&amp;#REF!+SUM($O$43:O288),""))</f>
        <v/>
      </c>
      <c r="T288" s="18" t="s">
        <v>34</v>
      </c>
      <c r="U288" s="7"/>
    </row>
    <row r="289" spans="1:21" x14ac:dyDescent="0.25">
      <c r="A289">
        <f t="shared" si="7"/>
        <v>280</v>
      </c>
      <c r="B289" s="93" t="str">
        <f>IFERROR(RIGHT(Table246[[#This Row],[Controller Input '#]],3)*1,"")</f>
        <v/>
      </c>
      <c r="C289" s="99"/>
      <c r="D289" s="1"/>
      <c r="E289" s="1"/>
      <c r="F289" s="1"/>
      <c r="G289" s="1"/>
      <c r="H289" s="8"/>
      <c r="I289" s="1"/>
      <c r="J289" s="1"/>
      <c r="K289" s="1"/>
      <c r="L289" s="1"/>
      <c r="M289" s="1"/>
      <c r="N289" s="18" t="str">
        <f>IF(ISNUMBER(SEARCH("ANALOG",Table246[[#This Row],[Type]]))=TRUE,1,"")</f>
        <v/>
      </c>
      <c r="O289" s="18" t="str">
        <f>IF(ISNUMBER(SEARCH("BINARY",Table246[[#This Row],[Type]]))=TRUE,1,"")</f>
        <v/>
      </c>
      <c r="P289" s="7" t="str">
        <f>IF(Table246[[#This Row],[Type]]="","",LEFT(Table246[[#This Row],[Type]],1)&amp;LEFT(#REF!,1))</f>
        <v/>
      </c>
      <c r="Q289" s="18" t="str">
        <f>IF(Table246[[#This Row],[Type]]="","",LEFT(Table246[[#This Row],[Type]],1)&amp;LEFT(#REF!,1))</f>
        <v/>
      </c>
      <c r="R289" s="18"/>
      <c r="S289" s="7" t="str">
        <f>IF(Table246[[#This Row],[A Counter]]=1,"AI"&amp;#REF!+SUM($N$43:N289),IF(Table246[[#This Row],[B Counter]]=1,"BI"&amp;#REF!+SUM($O$43:O289),""))</f>
        <v/>
      </c>
      <c r="T289" s="18" t="s">
        <v>34</v>
      </c>
      <c r="U289" s="7"/>
    </row>
    <row r="290" spans="1:21" x14ac:dyDescent="0.25">
      <c r="A290">
        <f t="shared" si="7"/>
        <v>281</v>
      </c>
      <c r="B290" s="130" t="str">
        <f>IFERROR(RIGHT(Table246[[#This Row],[Controller Input '#]],3)*1,"")</f>
        <v/>
      </c>
      <c r="C290" s="99"/>
      <c r="D290" s="1"/>
      <c r="E290" s="1"/>
      <c r="F290" s="1"/>
      <c r="G290" s="1"/>
      <c r="H290" s="8"/>
      <c r="I290" s="1"/>
      <c r="J290" s="1"/>
      <c r="K290" s="1"/>
      <c r="L290" s="1"/>
      <c r="M290" s="1"/>
      <c r="N290" s="18" t="str">
        <f>IF(ISNUMBER(SEARCH("ANALOG",Table246[[#This Row],[Type]]))=TRUE,1,"")</f>
        <v/>
      </c>
      <c r="O290" s="18" t="str">
        <f>IF(ISNUMBER(SEARCH("BINARY",Table246[[#This Row],[Type]]))=TRUE,1,"")</f>
        <v/>
      </c>
      <c r="P290" s="7" t="str">
        <f>IF(Table246[[#This Row],[Type]]="","",LEFT(Table246[[#This Row],[Type]],1)&amp;LEFT(#REF!,1))</f>
        <v/>
      </c>
      <c r="Q290" s="18" t="str">
        <f>IF(Table246[[#This Row],[Type]]="","",LEFT(Table246[[#This Row],[Type]],1)&amp;LEFT(#REF!,1))</f>
        <v/>
      </c>
      <c r="R290" s="18"/>
      <c r="S290" s="7" t="str">
        <f>IF(Table246[[#This Row],[A Counter]]=1,"AI"&amp;#REF!+SUM($N$43:N290),IF(Table246[[#This Row],[B Counter]]=1,"BI"&amp;#REF!+SUM($O$43:O290),""))</f>
        <v/>
      </c>
      <c r="T290" s="18" t="s">
        <v>34</v>
      </c>
      <c r="U290" s="7"/>
    </row>
    <row r="291" spans="1:21" x14ac:dyDescent="0.25">
      <c r="A291">
        <f t="shared" ref="A291:A354" si="8">A290+1</f>
        <v>282</v>
      </c>
      <c r="B291" s="93" t="str">
        <f>IFERROR(RIGHT(Table246[[#This Row],[Controller Input '#]],3)*1,"")</f>
        <v/>
      </c>
      <c r="C291" s="98"/>
      <c r="D291" s="1"/>
      <c r="E291" s="11"/>
      <c r="F291" s="11"/>
      <c r="G291" s="11"/>
      <c r="H291" s="21"/>
      <c r="I291" s="11"/>
      <c r="J291" s="11"/>
      <c r="K291" s="11"/>
      <c r="L291" s="11"/>
      <c r="M291" s="1"/>
      <c r="N291" s="18" t="str">
        <f>IF(ISNUMBER(SEARCH("ANALOG",Table246[[#This Row],[Type]]))=TRUE,1,"")</f>
        <v/>
      </c>
      <c r="O291" s="18" t="str">
        <f>IF(ISNUMBER(SEARCH("BINARY",Table246[[#This Row],[Type]]))=TRUE,1,"")</f>
        <v/>
      </c>
      <c r="P291" s="7" t="str">
        <f>IF(Table246[[#This Row],[Type]]="","",LEFT(Table246[[#This Row],[Type]],1)&amp;LEFT(#REF!,1))</f>
        <v/>
      </c>
      <c r="Q291" s="18" t="str">
        <f>IF(Table246[[#This Row],[Type]]="","",LEFT(Table246[[#This Row],[Type]],1)&amp;LEFT(#REF!,1))</f>
        <v/>
      </c>
      <c r="R291" s="18"/>
      <c r="S291" s="7" t="str">
        <f>IF(Table246[[#This Row],[A Counter]]=1,"AI"&amp;#REF!+SUM($N$43:N291),IF(Table246[[#This Row],[B Counter]]=1,"BI"&amp;#REF!+SUM($O$43:O291),""))</f>
        <v/>
      </c>
      <c r="T291" s="18" t="s">
        <v>34</v>
      </c>
      <c r="U291" s="7"/>
    </row>
    <row r="292" spans="1:21" x14ac:dyDescent="0.25">
      <c r="A292">
        <f t="shared" si="8"/>
        <v>283</v>
      </c>
      <c r="B292" s="130" t="str">
        <f>IFERROR(RIGHT(Table246[[#This Row],[Controller Input '#]],3)*1,"")</f>
        <v/>
      </c>
      <c r="C292" s="98"/>
      <c r="D292" s="1"/>
      <c r="E292" s="11"/>
      <c r="F292" s="11"/>
      <c r="G292" s="11"/>
      <c r="H292" s="21"/>
      <c r="I292" s="11"/>
      <c r="J292" s="11"/>
      <c r="K292" s="11"/>
      <c r="L292" s="11"/>
      <c r="M292" s="1"/>
      <c r="N292" s="18" t="str">
        <f>IF(ISNUMBER(SEARCH("ANALOG",Table246[[#This Row],[Type]]))=TRUE,1,"")</f>
        <v/>
      </c>
      <c r="O292" s="18" t="str">
        <f>IF(ISNUMBER(SEARCH("BINARY",Table246[[#This Row],[Type]]))=TRUE,1,"")</f>
        <v/>
      </c>
      <c r="P292" s="7" t="str">
        <f>IF(Table246[[#This Row],[Type]]="","",LEFT(Table246[[#This Row],[Type]],1)&amp;LEFT(#REF!,1))</f>
        <v/>
      </c>
      <c r="Q292" s="18" t="str">
        <f>IF(Table246[[#This Row],[Type]]="","",LEFT(Table246[[#This Row],[Type]],1)&amp;LEFT(#REF!,1))</f>
        <v/>
      </c>
      <c r="R292" s="18"/>
      <c r="S292" s="7" t="str">
        <f>IF(Table246[[#This Row],[A Counter]]=1,"AI"&amp;#REF!+SUM($N$43:N292),IF(Table246[[#This Row],[B Counter]]=1,"BI"&amp;#REF!+SUM($O$43:O292),""))</f>
        <v/>
      </c>
      <c r="T292" s="18" t="s">
        <v>34</v>
      </c>
      <c r="U292" s="7"/>
    </row>
    <row r="293" spans="1:21" x14ac:dyDescent="0.25">
      <c r="A293">
        <f t="shared" si="8"/>
        <v>284</v>
      </c>
      <c r="B293" s="93" t="str">
        <f>IFERROR(RIGHT(Table246[[#This Row],[Controller Input '#]],3)*1,"")</f>
        <v/>
      </c>
      <c r="C293" s="99"/>
      <c r="D293" s="1"/>
      <c r="E293" s="11"/>
      <c r="F293" s="11"/>
      <c r="G293" s="11"/>
      <c r="H293" s="21"/>
      <c r="I293" s="11"/>
      <c r="J293" s="11"/>
      <c r="K293" s="11"/>
      <c r="L293" s="11"/>
      <c r="M293" s="1"/>
      <c r="N293" s="18" t="str">
        <f>IF(ISNUMBER(SEARCH("ANALOG",Table246[[#This Row],[Type]]))=TRUE,1,"")</f>
        <v/>
      </c>
      <c r="O293" s="18" t="str">
        <f>IF(ISNUMBER(SEARCH("BINARY",Table246[[#This Row],[Type]]))=TRUE,1,"")</f>
        <v/>
      </c>
      <c r="P293" s="7" t="str">
        <f>IF(Table246[[#This Row],[Type]]="","",LEFT(Table246[[#This Row],[Type]],1)&amp;LEFT(#REF!,1))</f>
        <v/>
      </c>
      <c r="Q293" s="18" t="str">
        <f>IF(Table246[[#This Row],[Type]]="","",LEFT(Table246[[#This Row],[Type]],1)&amp;LEFT(#REF!,1))</f>
        <v/>
      </c>
      <c r="R293" s="18"/>
      <c r="S293" s="7" t="str">
        <f>IF(Table246[[#This Row],[A Counter]]=1,"AI"&amp;#REF!+SUM($N$43:N293),IF(Table246[[#This Row],[B Counter]]=1,"BI"&amp;#REF!+SUM($O$43:O293),""))</f>
        <v/>
      </c>
      <c r="T293" s="18" t="s">
        <v>34</v>
      </c>
      <c r="U293" s="7"/>
    </row>
    <row r="294" spans="1:21" x14ac:dyDescent="0.25">
      <c r="A294">
        <f t="shared" si="8"/>
        <v>285</v>
      </c>
      <c r="B294" s="130" t="str">
        <f>IFERROR(RIGHT(Table246[[#This Row],[Controller Input '#]],3)*1,"")</f>
        <v/>
      </c>
      <c r="C294" s="99"/>
      <c r="D294" s="1"/>
      <c r="E294" s="11"/>
      <c r="F294" s="11"/>
      <c r="G294" s="11"/>
      <c r="H294" s="21"/>
      <c r="I294" s="11"/>
      <c r="J294" s="11"/>
      <c r="K294" s="11"/>
      <c r="L294" s="11"/>
      <c r="M294" s="1"/>
      <c r="N294" s="18" t="str">
        <f>IF(ISNUMBER(SEARCH("ANALOG",Table246[[#This Row],[Type]]))=TRUE,1,"")</f>
        <v/>
      </c>
      <c r="O294" s="18" t="str">
        <f>IF(ISNUMBER(SEARCH("BINARY",Table246[[#This Row],[Type]]))=TRUE,1,"")</f>
        <v/>
      </c>
      <c r="P294" s="7" t="str">
        <f>IF(Table246[[#This Row],[Type]]="","",LEFT(Table246[[#This Row],[Type]],1)&amp;LEFT(#REF!,1))</f>
        <v/>
      </c>
      <c r="Q294" s="18" t="str">
        <f>IF(Table246[[#This Row],[Type]]="","",LEFT(Table246[[#This Row],[Type]],1)&amp;LEFT(#REF!,1))</f>
        <v/>
      </c>
      <c r="R294" s="18"/>
      <c r="S294" s="7" t="str">
        <f>IF(Table246[[#This Row],[A Counter]]=1,"AI"&amp;#REF!+SUM($N$43:N294),IF(Table246[[#This Row],[B Counter]]=1,"BI"&amp;#REF!+SUM($O$43:O294),""))</f>
        <v/>
      </c>
      <c r="T294" s="18" t="s">
        <v>34</v>
      </c>
      <c r="U294" s="7"/>
    </row>
    <row r="295" spans="1:21" x14ac:dyDescent="0.25">
      <c r="A295">
        <f t="shared" si="8"/>
        <v>286</v>
      </c>
      <c r="B295" s="93" t="str">
        <f>IFERROR(RIGHT(Table246[[#This Row],[Controller Input '#]],3)*1,"")</f>
        <v/>
      </c>
      <c r="C295" s="99"/>
      <c r="D295" s="1"/>
      <c r="E295" s="11"/>
      <c r="F295" s="11"/>
      <c r="G295" s="11"/>
      <c r="H295" s="21"/>
      <c r="I295" s="11"/>
      <c r="J295" s="11"/>
      <c r="K295" s="11"/>
      <c r="L295" s="11"/>
      <c r="M295" s="1"/>
      <c r="N295" s="18" t="str">
        <f>IF(ISNUMBER(SEARCH("ANALOG",Table246[[#This Row],[Type]]))=TRUE,1,"")</f>
        <v/>
      </c>
      <c r="O295" s="18" t="str">
        <f>IF(ISNUMBER(SEARCH("BINARY",Table246[[#This Row],[Type]]))=TRUE,1,"")</f>
        <v/>
      </c>
      <c r="P295" s="7" t="str">
        <f>IF(Table246[[#This Row],[Type]]="","",LEFT(Table246[[#This Row],[Type]],1)&amp;LEFT(#REF!,1))</f>
        <v/>
      </c>
      <c r="Q295" s="18" t="str">
        <f>IF(Table246[[#This Row],[Type]]="","",LEFT(Table246[[#This Row],[Type]],1)&amp;LEFT(#REF!,1))</f>
        <v/>
      </c>
      <c r="R295" s="18"/>
      <c r="S295" s="7" t="str">
        <f>IF(Table246[[#This Row],[A Counter]]=1,"AI"&amp;#REF!+SUM($N$43:N295),IF(Table246[[#This Row],[B Counter]]=1,"BI"&amp;#REF!+SUM($O$43:O295),""))</f>
        <v/>
      </c>
      <c r="T295" s="18" t="s">
        <v>34</v>
      </c>
      <c r="U295" s="7"/>
    </row>
    <row r="296" spans="1:21" x14ac:dyDescent="0.25">
      <c r="A296">
        <f t="shared" si="8"/>
        <v>287</v>
      </c>
      <c r="B296" s="130" t="str">
        <f>IFERROR(RIGHT(Table246[[#This Row],[Controller Input '#]],3)*1,"")</f>
        <v/>
      </c>
      <c r="C296" s="99"/>
      <c r="D296" s="1"/>
      <c r="E296" s="11"/>
      <c r="F296" s="11"/>
      <c r="G296" s="11"/>
      <c r="H296" s="21"/>
      <c r="I296" s="11"/>
      <c r="J296" s="11"/>
      <c r="K296" s="11"/>
      <c r="L296" s="11"/>
      <c r="M296" s="1"/>
      <c r="N296" s="18" t="str">
        <f>IF(ISNUMBER(SEARCH("ANALOG",Table246[[#This Row],[Type]]))=TRUE,1,"")</f>
        <v/>
      </c>
      <c r="O296" s="18" t="str">
        <f>IF(ISNUMBER(SEARCH("BINARY",Table246[[#This Row],[Type]]))=TRUE,1,"")</f>
        <v/>
      </c>
      <c r="P296" s="7" t="str">
        <f>IF(Table246[[#This Row],[Type]]="","",LEFT(Table246[[#This Row],[Type]],1)&amp;LEFT(#REF!,1))</f>
        <v/>
      </c>
      <c r="Q296" s="18" t="str">
        <f>IF(Table246[[#This Row],[Type]]="","",LEFT(Table246[[#This Row],[Type]],1)&amp;LEFT(#REF!,1))</f>
        <v/>
      </c>
      <c r="R296" s="18"/>
      <c r="S296" s="7" t="str">
        <f>IF(Table246[[#This Row],[A Counter]]=1,"AI"&amp;#REF!+SUM($N$43:N296),IF(Table246[[#This Row],[B Counter]]=1,"BI"&amp;#REF!+SUM($O$43:O296),""))</f>
        <v/>
      </c>
      <c r="T296" s="18"/>
      <c r="U296" s="7"/>
    </row>
    <row r="297" spans="1:21" x14ac:dyDescent="0.25">
      <c r="A297">
        <f t="shared" si="8"/>
        <v>288</v>
      </c>
      <c r="B297" s="93" t="str">
        <f>IFERROR(RIGHT(Table246[[#This Row],[Controller Input '#]],3)*1,"")</f>
        <v/>
      </c>
      <c r="C297" s="99"/>
      <c r="D297" s="1"/>
      <c r="E297" s="11"/>
      <c r="F297" s="11"/>
      <c r="G297" s="11"/>
      <c r="H297" s="21"/>
      <c r="I297" s="11"/>
      <c r="J297" s="11"/>
      <c r="K297" s="11"/>
      <c r="L297" s="11"/>
      <c r="M297" s="1"/>
      <c r="N297" s="18" t="str">
        <f>IF(ISNUMBER(SEARCH("ANALOG",Table246[[#This Row],[Type]]))=TRUE,1,"")</f>
        <v/>
      </c>
      <c r="O297" s="18" t="str">
        <f>IF(ISNUMBER(SEARCH("BINARY",Table246[[#This Row],[Type]]))=TRUE,1,"")</f>
        <v/>
      </c>
      <c r="P297" s="7" t="str">
        <f>IF(Table246[[#This Row],[Type]]="","",LEFT(Table246[[#This Row],[Type]],1)&amp;LEFT(#REF!,1))</f>
        <v/>
      </c>
      <c r="Q297" s="18" t="str">
        <f>IF(Table246[[#This Row],[Type]]="","",LEFT(Table246[[#This Row],[Type]],1)&amp;LEFT(#REF!,1))</f>
        <v/>
      </c>
      <c r="R297" s="18"/>
      <c r="S297" s="7" t="str">
        <f>IF(Table246[[#This Row],[A Counter]]=1,"AI"&amp;#REF!+SUM($N$43:N297),IF(Table246[[#This Row],[B Counter]]=1,"BI"&amp;#REF!+SUM($O$43:O297),""))</f>
        <v/>
      </c>
      <c r="T297" s="18"/>
      <c r="U297" s="7"/>
    </row>
    <row r="298" spans="1:21" x14ac:dyDescent="0.25">
      <c r="A298">
        <f t="shared" si="8"/>
        <v>289</v>
      </c>
      <c r="B298" s="130" t="str">
        <f>IFERROR(RIGHT(Table246[[#This Row],[Controller Input '#]],3)*1,"")</f>
        <v/>
      </c>
      <c r="C298" s="99"/>
      <c r="D298" s="1"/>
      <c r="E298" s="11"/>
      <c r="F298" s="11"/>
      <c r="G298" s="11"/>
      <c r="H298" s="21"/>
      <c r="I298" s="11"/>
      <c r="J298" s="11"/>
      <c r="K298" s="11"/>
      <c r="L298" s="11"/>
      <c r="M298" s="1"/>
      <c r="N298" s="18" t="str">
        <f>IF(ISNUMBER(SEARCH("ANALOG",Table246[[#This Row],[Type]]))=TRUE,1,"")</f>
        <v/>
      </c>
      <c r="O298" s="18" t="str">
        <f>IF(ISNUMBER(SEARCH("BINARY",Table246[[#This Row],[Type]]))=TRUE,1,"")</f>
        <v/>
      </c>
      <c r="P298" s="7" t="str">
        <f>IF(Table246[[#This Row],[Type]]="","",LEFT(Table246[[#This Row],[Type]],1)&amp;LEFT(#REF!,1))</f>
        <v/>
      </c>
      <c r="Q298" s="18" t="str">
        <f>IF(Table246[[#This Row],[Type]]="","",LEFT(Table246[[#This Row],[Type]],1)&amp;LEFT(#REF!,1))</f>
        <v/>
      </c>
      <c r="R298" s="18"/>
      <c r="S298" s="7" t="str">
        <f>IF(Table246[[#This Row],[A Counter]]=1,"AI"&amp;#REF!+SUM($N$43:N298),IF(Table246[[#This Row],[B Counter]]=1,"BI"&amp;#REF!+SUM($O$43:O298),""))</f>
        <v/>
      </c>
      <c r="T298" s="18"/>
      <c r="U298" s="68"/>
    </row>
    <row r="299" spans="1:21" x14ac:dyDescent="0.25">
      <c r="A299">
        <f t="shared" si="8"/>
        <v>290</v>
      </c>
      <c r="B299" s="93" t="str">
        <f>IFERROR(RIGHT(Table246[[#This Row],[Controller Input '#]],3)*1,"")</f>
        <v/>
      </c>
      <c r="C299" s="99"/>
      <c r="D299" s="1"/>
      <c r="E299" s="11"/>
      <c r="F299" s="11"/>
      <c r="G299" s="11"/>
      <c r="H299" s="21"/>
      <c r="I299" s="11"/>
      <c r="J299" s="11"/>
      <c r="K299" s="11"/>
      <c r="L299" s="11"/>
      <c r="M299" s="1"/>
      <c r="N299" s="18" t="str">
        <f>IF(ISNUMBER(SEARCH("ANALOG",Table246[[#This Row],[Type]]))=TRUE,1,"")</f>
        <v/>
      </c>
      <c r="O299" s="18" t="str">
        <f>IF(ISNUMBER(SEARCH("BINARY",Table246[[#This Row],[Type]]))=TRUE,1,"")</f>
        <v/>
      </c>
      <c r="P299" s="7" t="str">
        <f>IF(Table246[[#This Row],[Type]]="","",LEFT(Table246[[#This Row],[Type]],1)&amp;LEFT(#REF!,1))</f>
        <v/>
      </c>
      <c r="Q299" s="18" t="str">
        <f>IF(Table246[[#This Row],[Type]]="","",LEFT(Table246[[#This Row],[Type]],1)&amp;LEFT(#REF!,1))</f>
        <v/>
      </c>
      <c r="R299" s="18"/>
      <c r="S299" s="7" t="str">
        <f>IF(Table246[[#This Row],[A Counter]]=1,"AI"&amp;#REF!+SUM($N$43:N299),IF(Table246[[#This Row],[B Counter]]=1,"BI"&amp;#REF!+SUM($O$43:O299),""))</f>
        <v/>
      </c>
      <c r="T299" s="18"/>
      <c r="U299" s="68"/>
    </row>
    <row r="300" spans="1:21" x14ac:dyDescent="0.25">
      <c r="A300">
        <f t="shared" si="8"/>
        <v>291</v>
      </c>
      <c r="B300" s="130" t="str">
        <f>IFERROR(RIGHT(Table246[[#This Row],[Controller Input '#]],3)*1,"")</f>
        <v/>
      </c>
      <c r="C300" s="99"/>
      <c r="D300" s="1"/>
      <c r="E300" s="11"/>
      <c r="F300" s="11"/>
      <c r="G300" s="11"/>
      <c r="H300" s="21"/>
      <c r="I300" s="11"/>
      <c r="J300" s="11"/>
      <c r="K300" s="11"/>
      <c r="L300" s="11"/>
      <c r="M300" s="1"/>
      <c r="N300" s="18" t="str">
        <f>IF(ISNUMBER(SEARCH("ANALOG",Table246[[#This Row],[Type]]))=TRUE,1,"")</f>
        <v/>
      </c>
      <c r="O300" s="18" t="str">
        <f>IF(ISNUMBER(SEARCH("BINARY",Table246[[#This Row],[Type]]))=TRUE,1,"")</f>
        <v/>
      </c>
      <c r="P300" s="7" t="str">
        <f>IF(Table246[[#This Row],[Type]]="","",LEFT(Table246[[#This Row],[Type]],1)&amp;LEFT(#REF!,1))</f>
        <v/>
      </c>
      <c r="Q300" s="18" t="str">
        <f>IF(Table246[[#This Row],[Type]]="","",LEFT(Table246[[#This Row],[Type]],1)&amp;LEFT(#REF!,1))</f>
        <v/>
      </c>
      <c r="R300" s="18"/>
      <c r="S300" s="7" t="str">
        <f>IF(Table246[[#This Row],[A Counter]]=1,"AI"&amp;#REF!+SUM($N$43:N300),IF(Table246[[#This Row],[B Counter]]=1,"BI"&amp;#REF!+SUM($O$43:O300),""))</f>
        <v/>
      </c>
      <c r="T300" s="18"/>
      <c r="U300" s="68"/>
    </row>
    <row r="301" spans="1:21" x14ac:dyDescent="0.25">
      <c r="A301">
        <f t="shared" si="8"/>
        <v>292</v>
      </c>
      <c r="B301" s="93" t="str">
        <f>IFERROR(RIGHT(Table246[[#This Row],[Controller Input '#]],3)*1,"")</f>
        <v/>
      </c>
      <c r="C301" s="98"/>
      <c r="D301" s="1"/>
      <c r="E301" s="11"/>
      <c r="F301" s="11"/>
      <c r="G301" s="11"/>
      <c r="H301" s="21"/>
      <c r="I301" s="11"/>
      <c r="J301" s="11"/>
      <c r="K301" s="11"/>
      <c r="L301" s="11"/>
      <c r="M301" s="1"/>
      <c r="N301" s="18" t="str">
        <f>IF(ISNUMBER(SEARCH("ANALOG",Table246[[#This Row],[Type]]))=TRUE,1,"")</f>
        <v/>
      </c>
      <c r="O301" s="18" t="str">
        <f>IF(ISNUMBER(SEARCH("BINARY",Table246[[#This Row],[Type]]))=TRUE,1,"")</f>
        <v/>
      </c>
      <c r="P301" s="7" t="str">
        <f>IF(Table246[[#This Row],[Type]]="","",LEFT(Table246[[#This Row],[Type]],1)&amp;LEFT(#REF!,1))</f>
        <v/>
      </c>
      <c r="Q301" s="18" t="str">
        <f>IF(Table246[[#This Row],[Type]]="","",LEFT(Table246[[#This Row],[Type]],1)&amp;LEFT(#REF!,1))</f>
        <v/>
      </c>
      <c r="R301" s="18"/>
      <c r="S301" s="7" t="str">
        <f>IF(Table246[[#This Row],[A Counter]]=1,"AI"&amp;#REF!+SUM($N$43:N301),IF(Table246[[#This Row],[B Counter]]=1,"BI"&amp;#REF!+SUM($O$43:O301),""))</f>
        <v/>
      </c>
      <c r="T301" s="18"/>
      <c r="U301" s="69"/>
    </row>
    <row r="302" spans="1:21" x14ac:dyDescent="0.25">
      <c r="A302">
        <f t="shared" si="8"/>
        <v>293</v>
      </c>
      <c r="B302" s="130" t="str">
        <f>IFERROR(RIGHT(Table246[[#This Row],[Controller Input '#]],3)*1,"")</f>
        <v/>
      </c>
      <c r="C302" s="99"/>
      <c r="D302" s="1"/>
      <c r="E302" s="11"/>
      <c r="F302" s="11"/>
      <c r="G302" s="11"/>
      <c r="H302" s="21"/>
      <c r="I302" s="11"/>
      <c r="J302" s="11"/>
      <c r="K302" s="11"/>
      <c r="L302" s="11"/>
      <c r="M302" s="1"/>
      <c r="N302" s="18" t="str">
        <f>IF(ISNUMBER(SEARCH("ANALOG",Table246[[#This Row],[Type]]))=TRUE,1,"")</f>
        <v/>
      </c>
      <c r="O302" s="18" t="str">
        <f>IF(ISNUMBER(SEARCH("BINARY",Table246[[#This Row],[Type]]))=TRUE,1,"")</f>
        <v/>
      </c>
      <c r="P302" s="7" t="str">
        <f>IF(Table246[[#This Row],[Type]]="","",LEFT(Table246[[#This Row],[Type]],1)&amp;LEFT(#REF!,1))</f>
        <v/>
      </c>
      <c r="Q302" s="18" t="str">
        <f>IF(Table246[[#This Row],[Type]]="","",LEFT(Table246[[#This Row],[Type]],1)&amp;LEFT(#REF!,1))</f>
        <v/>
      </c>
      <c r="R302" s="18"/>
      <c r="S302" s="7" t="str">
        <f>IF(Table246[[#This Row],[A Counter]]=1,"AI"&amp;#REF!+SUM($N$43:N302),IF(Table246[[#This Row],[B Counter]]=1,"BI"&amp;#REF!+SUM($O$43:O302),""))</f>
        <v/>
      </c>
      <c r="T302" s="18"/>
      <c r="U302" s="68"/>
    </row>
    <row r="303" spans="1:21" x14ac:dyDescent="0.25">
      <c r="A303">
        <f t="shared" si="8"/>
        <v>294</v>
      </c>
      <c r="B303" s="93" t="str">
        <f>IFERROR(RIGHT(Table246[[#This Row],[Controller Input '#]],3)*1,"")</f>
        <v/>
      </c>
      <c r="C303" s="99"/>
      <c r="D303" s="1"/>
      <c r="E303" s="11"/>
      <c r="F303" s="11"/>
      <c r="G303" s="11"/>
      <c r="H303" s="21"/>
      <c r="I303" s="11"/>
      <c r="J303" s="11"/>
      <c r="K303" s="11"/>
      <c r="L303" s="11"/>
      <c r="M303" s="1"/>
      <c r="N303" s="18" t="str">
        <f>IF(ISNUMBER(SEARCH("ANALOG",Table246[[#This Row],[Type]]))=TRUE,1,"")</f>
        <v/>
      </c>
      <c r="O303" s="18" t="str">
        <f>IF(ISNUMBER(SEARCH("BINARY",Table246[[#This Row],[Type]]))=TRUE,1,"")</f>
        <v/>
      </c>
      <c r="P303" s="7" t="str">
        <f>IF(Table246[[#This Row],[Type]]="","",LEFT(Table246[[#This Row],[Type]],1)&amp;LEFT(#REF!,1))</f>
        <v/>
      </c>
      <c r="Q303" s="18" t="str">
        <f>IF(Table246[[#This Row],[Type]]="","",LEFT(Table246[[#This Row],[Type]],1)&amp;LEFT(#REF!,1))</f>
        <v/>
      </c>
      <c r="R303" s="18"/>
      <c r="S303" s="7" t="str">
        <f>IF(Table246[[#This Row],[A Counter]]=1,"AI"&amp;#REF!+SUM($N$43:N303),IF(Table246[[#This Row],[B Counter]]=1,"BI"&amp;#REF!+SUM($O$43:O303),""))</f>
        <v/>
      </c>
      <c r="T303" s="18"/>
      <c r="U303" s="68"/>
    </row>
    <row r="304" spans="1:21" x14ac:dyDescent="0.25">
      <c r="A304">
        <f t="shared" si="8"/>
        <v>295</v>
      </c>
      <c r="B304" s="130" t="str">
        <f>IFERROR(RIGHT(Table246[[#This Row],[Controller Input '#]],3)*1,"")</f>
        <v/>
      </c>
      <c r="C304" s="99"/>
      <c r="D304" s="1"/>
      <c r="E304" s="11"/>
      <c r="F304" s="11"/>
      <c r="G304" s="11"/>
      <c r="H304" s="21"/>
      <c r="I304" s="11"/>
      <c r="J304" s="11"/>
      <c r="K304" s="11"/>
      <c r="L304" s="11"/>
      <c r="M304" s="1"/>
      <c r="N304" s="18" t="str">
        <f>IF(ISNUMBER(SEARCH("ANALOG",Table246[[#This Row],[Type]]))=TRUE,1,"")</f>
        <v/>
      </c>
      <c r="O304" s="18" t="str">
        <f>IF(ISNUMBER(SEARCH("BINARY",Table246[[#This Row],[Type]]))=TRUE,1,"")</f>
        <v/>
      </c>
      <c r="P304" s="7" t="str">
        <f>IF(Table246[[#This Row],[Type]]="","",LEFT(Table246[[#This Row],[Type]],1)&amp;LEFT(#REF!,1))</f>
        <v/>
      </c>
      <c r="Q304" s="18" t="str">
        <f>IF(Table246[[#This Row],[Type]]="","",LEFT(Table246[[#This Row],[Type]],1)&amp;LEFT(#REF!,1))</f>
        <v/>
      </c>
      <c r="R304" s="18"/>
      <c r="S304" s="7" t="str">
        <f>IF(Table246[[#This Row],[A Counter]]=1,"AI"&amp;#REF!+SUM($N$43:N304),IF(Table246[[#This Row],[B Counter]]=1,"BI"&amp;#REF!+SUM($O$43:O304),""))</f>
        <v/>
      </c>
      <c r="T304" s="18"/>
      <c r="U304" s="68"/>
    </row>
    <row r="305" spans="1:21" x14ac:dyDescent="0.25">
      <c r="A305">
        <f t="shared" si="8"/>
        <v>296</v>
      </c>
      <c r="B305" s="93" t="str">
        <f>IFERROR(RIGHT(Table246[[#This Row],[Controller Input '#]],3)*1,"")</f>
        <v/>
      </c>
      <c r="C305" s="99"/>
      <c r="D305" s="1"/>
      <c r="E305" s="11"/>
      <c r="F305" s="11"/>
      <c r="G305" s="11"/>
      <c r="H305" s="21"/>
      <c r="I305" s="11"/>
      <c r="J305" s="11"/>
      <c r="K305" s="11"/>
      <c r="L305" s="11"/>
      <c r="M305" s="1"/>
      <c r="N305" s="18" t="str">
        <f>IF(ISNUMBER(SEARCH("ANALOG",Table246[[#This Row],[Type]]))=TRUE,1,"")</f>
        <v/>
      </c>
      <c r="O305" s="18" t="str">
        <f>IF(ISNUMBER(SEARCH("BINARY",Table246[[#This Row],[Type]]))=TRUE,1,"")</f>
        <v/>
      </c>
      <c r="P305" s="7" t="str">
        <f>IF(Table246[[#This Row],[Type]]="","",LEFT(Table246[[#This Row],[Type]],1)&amp;LEFT(#REF!,1))</f>
        <v/>
      </c>
      <c r="Q305" s="18" t="str">
        <f>IF(Table246[[#This Row],[Type]]="","",LEFT(Table246[[#This Row],[Type]],1)&amp;LEFT(#REF!,1))</f>
        <v/>
      </c>
      <c r="R305" s="18"/>
      <c r="S305" s="7" t="str">
        <f>IF(Table246[[#This Row],[A Counter]]=1,"AI"&amp;#REF!+SUM($N$43:N305),IF(Table246[[#This Row],[B Counter]]=1,"BI"&amp;#REF!+SUM($O$43:O305),""))</f>
        <v/>
      </c>
      <c r="T305" s="18"/>
      <c r="U305" s="68"/>
    </row>
    <row r="306" spans="1:21" x14ac:dyDescent="0.25">
      <c r="A306">
        <f t="shared" si="8"/>
        <v>297</v>
      </c>
      <c r="B306" s="130" t="str">
        <f>IFERROR(RIGHT(Table246[[#This Row],[Controller Input '#]],3)*1,"")</f>
        <v/>
      </c>
      <c r="C306" s="98"/>
      <c r="D306" s="1"/>
      <c r="E306" s="11"/>
      <c r="F306" s="11"/>
      <c r="G306" s="11"/>
      <c r="H306" s="21"/>
      <c r="I306" s="11"/>
      <c r="J306" s="11"/>
      <c r="K306" s="11"/>
      <c r="L306" s="11"/>
      <c r="M306" s="1"/>
      <c r="N306" s="18" t="str">
        <f>IF(ISNUMBER(SEARCH("ANALOG",Table246[[#This Row],[Type]]))=TRUE,1,"")</f>
        <v/>
      </c>
      <c r="O306" s="18" t="str">
        <f>IF(ISNUMBER(SEARCH("BINARY",Table246[[#This Row],[Type]]))=TRUE,1,"")</f>
        <v/>
      </c>
      <c r="P306" s="7" t="str">
        <f>IF(Table246[[#This Row],[Type]]="","",LEFT(Table246[[#This Row],[Type]],1)&amp;LEFT(#REF!,1))</f>
        <v/>
      </c>
      <c r="Q306" s="18" t="str">
        <f>IF(Table246[[#This Row],[Type]]="","",LEFT(Table246[[#This Row],[Type]],1)&amp;LEFT(#REF!,1))</f>
        <v/>
      </c>
      <c r="R306" s="18"/>
      <c r="S306" s="7" t="str">
        <f>IF(Table246[[#This Row],[A Counter]]=1,"AI"&amp;#REF!+SUM($N$43:N306),IF(Table246[[#This Row],[B Counter]]=1,"BI"&amp;#REF!+SUM($O$43:O306),""))</f>
        <v/>
      </c>
      <c r="T306" s="18"/>
      <c r="U306" s="69"/>
    </row>
    <row r="307" spans="1:21" x14ac:dyDescent="0.25">
      <c r="A307">
        <f t="shared" si="8"/>
        <v>298</v>
      </c>
      <c r="B307" s="93" t="str">
        <f>IFERROR(RIGHT(Table246[[#This Row],[Controller Input '#]],3)*1,"")</f>
        <v/>
      </c>
      <c r="C307" s="99"/>
      <c r="D307" s="1"/>
      <c r="E307" s="11"/>
      <c r="F307" s="11"/>
      <c r="G307" s="11"/>
      <c r="H307" s="21"/>
      <c r="I307" s="11"/>
      <c r="J307" s="11"/>
      <c r="K307" s="11"/>
      <c r="L307" s="11"/>
      <c r="M307" s="1"/>
      <c r="N307" s="18" t="str">
        <f>IF(ISNUMBER(SEARCH("ANALOG",Table246[[#This Row],[Type]]))=TRUE,1,"")</f>
        <v/>
      </c>
      <c r="O307" s="18" t="str">
        <f>IF(ISNUMBER(SEARCH("BINARY",Table246[[#This Row],[Type]]))=TRUE,1,"")</f>
        <v/>
      </c>
      <c r="P307" s="7" t="str">
        <f>IF(Table246[[#This Row],[Type]]="","",LEFT(Table246[[#This Row],[Type]],1)&amp;LEFT(#REF!,1))</f>
        <v/>
      </c>
      <c r="Q307" s="18" t="str">
        <f>IF(Table246[[#This Row],[Type]]="","",LEFT(Table246[[#This Row],[Type]],1)&amp;LEFT(#REF!,1))</f>
        <v/>
      </c>
      <c r="R307" s="18"/>
      <c r="S307" s="7" t="str">
        <f>IF(Table246[[#This Row],[A Counter]]=1,"AI"&amp;#REF!+SUM($N$43:N307),IF(Table246[[#This Row],[B Counter]]=1,"BI"&amp;#REF!+SUM($O$43:O307),""))</f>
        <v/>
      </c>
      <c r="T307" s="18"/>
      <c r="U307" s="68"/>
    </row>
    <row r="308" spans="1:21" x14ac:dyDescent="0.25">
      <c r="A308">
        <f t="shared" si="8"/>
        <v>299</v>
      </c>
      <c r="B308" s="130" t="str">
        <f>IFERROR(RIGHT(Table246[[#This Row],[Controller Input '#]],3)*1,"")</f>
        <v/>
      </c>
      <c r="C308" s="99"/>
      <c r="D308" s="1"/>
      <c r="E308" s="11"/>
      <c r="F308" s="11"/>
      <c r="G308" s="11"/>
      <c r="H308" s="21"/>
      <c r="I308" s="11"/>
      <c r="J308" s="11"/>
      <c r="K308" s="11"/>
      <c r="L308" s="11"/>
      <c r="M308" s="1"/>
      <c r="N308" s="18" t="str">
        <f>IF(ISNUMBER(SEARCH("ANALOG",Table246[[#This Row],[Type]]))=TRUE,1,"")</f>
        <v/>
      </c>
      <c r="O308" s="18" t="str">
        <f>IF(ISNUMBER(SEARCH("BINARY",Table246[[#This Row],[Type]]))=TRUE,1,"")</f>
        <v/>
      </c>
      <c r="P308" s="7" t="str">
        <f>IF(Table246[[#This Row],[Type]]="","",LEFT(Table246[[#This Row],[Type]],1)&amp;LEFT(#REF!,1))</f>
        <v/>
      </c>
      <c r="Q308" s="18" t="str">
        <f>IF(Table246[[#This Row],[Type]]="","",LEFT(Table246[[#This Row],[Type]],1)&amp;LEFT(#REF!,1))</f>
        <v/>
      </c>
      <c r="R308" s="18"/>
      <c r="S308" s="7" t="str">
        <f>IF(Table246[[#This Row],[A Counter]]=1,"AI"&amp;#REF!+SUM($N$43:N308),IF(Table246[[#This Row],[B Counter]]=1,"BI"&amp;#REF!+SUM($O$43:O308),""))</f>
        <v/>
      </c>
      <c r="T308" s="18"/>
      <c r="U308" s="68"/>
    </row>
    <row r="309" spans="1:21" x14ac:dyDescent="0.25">
      <c r="A309">
        <f t="shared" si="8"/>
        <v>300</v>
      </c>
      <c r="B309" s="93" t="str">
        <f>IFERROR(RIGHT(Table246[[#This Row],[Controller Input '#]],3)*1,"")</f>
        <v/>
      </c>
      <c r="C309" s="99"/>
      <c r="D309" s="1"/>
      <c r="E309" s="11"/>
      <c r="F309" s="11"/>
      <c r="G309" s="11"/>
      <c r="H309" s="21"/>
      <c r="I309" s="11"/>
      <c r="J309" s="11"/>
      <c r="K309" s="11"/>
      <c r="L309" s="11"/>
      <c r="M309" s="1"/>
      <c r="N309" s="18" t="str">
        <f>IF(ISNUMBER(SEARCH("ANALOG",Table246[[#This Row],[Type]]))=TRUE,1,"")</f>
        <v/>
      </c>
      <c r="O309" s="18" t="str">
        <f>IF(ISNUMBER(SEARCH("BINARY",Table246[[#This Row],[Type]]))=TRUE,1,"")</f>
        <v/>
      </c>
      <c r="P309" s="7" t="str">
        <f>IF(Table246[[#This Row],[Type]]="","",LEFT(Table246[[#This Row],[Type]],1)&amp;LEFT(#REF!,1))</f>
        <v/>
      </c>
      <c r="Q309" s="18" t="str">
        <f>IF(Table246[[#This Row],[Type]]="","",LEFT(Table246[[#This Row],[Type]],1)&amp;LEFT(#REF!,1))</f>
        <v/>
      </c>
      <c r="R309" s="18"/>
      <c r="S309" s="7" t="str">
        <f>IF(Table246[[#This Row],[A Counter]]=1,"AI"&amp;#REF!+SUM($N$43:N309),IF(Table246[[#This Row],[B Counter]]=1,"BI"&amp;#REF!+SUM($O$43:O309),""))</f>
        <v/>
      </c>
      <c r="T309" s="18"/>
      <c r="U309" s="68"/>
    </row>
    <row r="310" spans="1:21" x14ac:dyDescent="0.25">
      <c r="A310">
        <f t="shared" si="8"/>
        <v>301</v>
      </c>
      <c r="B310" s="130" t="str">
        <f>IFERROR(RIGHT(Table246[[#This Row],[Controller Input '#]],3)*1,"")</f>
        <v/>
      </c>
      <c r="C310" s="99"/>
      <c r="D310" s="1"/>
      <c r="E310" s="11"/>
      <c r="F310" s="11"/>
      <c r="G310" s="11"/>
      <c r="H310" s="21"/>
      <c r="I310" s="11"/>
      <c r="J310" s="11"/>
      <c r="K310" s="11"/>
      <c r="L310" s="11"/>
      <c r="M310" s="1"/>
      <c r="N310" s="18" t="str">
        <f>IF(ISNUMBER(SEARCH("ANALOG",Table246[[#This Row],[Type]]))=TRUE,1,"")</f>
        <v/>
      </c>
      <c r="O310" s="18" t="str">
        <f>IF(ISNUMBER(SEARCH("BINARY",Table246[[#This Row],[Type]]))=TRUE,1,"")</f>
        <v/>
      </c>
      <c r="P310" s="7" t="str">
        <f>IF(Table246[[#This Row],[Type]]="","",LEFT(Table246[[#This Row],[Type]],1)&amp;LEFT(#REF!,1))</f>
        <v/>
      </c>
      <c r="Q310" s="18" t="str">
        <f>IF(Table246[[#This Row],[Type]]="","",LEFT(Table246[[#This Row],[Type]],1)&amp;LEFT(#REF!,1))</f>
        <v/>
      </c>
      <c r="R310" s="18"/>
      <c r="S310" s="7" t="str">
        <f>IF(Table246[[#This Row],[A Counter]]=1,"AI"&amp;#REF!+SUM($N$43:N310),IF(Table246[[#This Row],[B Counter]]=1,"BI"&amp;#REF!+SUM($O$43:O310),""))</f>
        <v/>
      </c>
      <c r="T310" s="18"/>
      <c r="U310" s="68"/>
    </row>
    <row r="311" spans="1:21" x14ac:dyDescent="0.25">
      <c r="A311">
        <f t="shared" si="8"/>
        <v>302</v>
      </c>
      <c r="B311" s="93" t="str">
        <f>IFERROR(RIGHT(Table246[[#This Row],[Controller Input '#]],3)*1,"")</f>
        <v/>
      </c>
      <c r="C311" s="98"/>
      <c r="D311" s="1"/>
      <c r="E311" s="1"/>
      <c r="F311" s="1"/>
      <c r="G311" s="1"/>
      <c r="H311" s="8"/>
      <c r="I311" s="1"/>
      <c r="J311" s="1"/>
      <c r="K311" s="3"/>
      <c r="L311" s="1"/>
      <c r="M311" s="18"/>
      <c r="N311" s="18" t="str">
        <f>IF(ISNUMBER(SEARCH("ANALOG",Table246[[#This Row],[Type]]))=TRUE,1,"")</f>
        <v/>
      </c>
      <c r="O311" s="18" t="str">
        <f>IF(ISNUMBER(SEARCH("BINARY",Table246[[#This Row],[Type]]))=TRUE,1,"")</f>
        <v/>
      </c>
      <c r="P311" s="7" t="str">
        <f>IF(Table246[[#This Row],[Type]]="","",LEFT(Table246[[#This Row],[Type]],1)&amp;LEFT(#REF!,1))</f>
        <v/>
      </c>
      <c r="Q311" s="18" t="str">
        <f>IF(Table246[[#This Row],[Type]]="","",LEFT(Table246[[#This Row],[Type]],1)&amp;LEFT(#REF!,1))</f>
        <v/>
      </c>
      <c r="R311" s="18"/>
      <c r="S311" s="7" t="str">
        <f>IF(Table246[[#This Row],[A Counter]]=1,"AI"&amp;#REF!+SUM($N$43:N311),IF(Table246[[#This Row],[B Counter]]=1,"BI"&amp;#REF!+SUM($O$43:O311),""))</f>
        <v/>
      </c>
      <c r="T311" s="18" t="s">
        <v>34</v>
      </c>
      <c r="U311" s="69"/>
    </row>
    <row r="312" spans="1:21" x14ac:dyDescent="0.25">
      <c r="A312">
        <f t="shared" si="8"/>
        <v>303</v>
      </c>
      <c r="B312" s="130" t="str">
        <f>IFERROR(RIGHT(Table246[[#This Row],[Controller Input '#]],3)*1,"")</f>
        <v/>
      </c>
      <c r="C312" s="99"/>
      <c r="D312" s="1"/>
      <c r="E312" s="1"/>
      <c r="F312" s="1"/>
      <c r="G312" s="1"/>
      <c r="H312" s="8"/>
      <c r="I312" s="1"/>
      <c r="J312" s="1"/>
      <c r="K312" s="3"/>
      <c r="L312" s="1"/>
      <c r="M312" s="1"/>
      <c r="N312" s="18" t="str">
        <f>IF(ISNUMBER(SEARCH("ANALOG",Table246[[#This Row],[Type]]))=TRUE,1,"")</f>
        <v/>
      </c>
      <c r="O312" s="18" t="str">
        <f>IF(ISNUMBER(SEARCH("BINARY",Table246[[#This Row],[Type]]))=TRUE,1,"")</f>
        <v/>
      </c>
      <c r="P312" s="7" t="str">
        <f>IF(Table246[[#This Row],[Type]]="","",LEFT(Table246[[#This Row],[Type]],1)&amp;LEFT(#REF!,1))</f>
        <v/>
      </c>
      <c r="Q312" s="18" t="str">
        <f>IF(Table246[[#This Row],[Type]]="","",LEFT(Table246[[#This Row],[Type]],1)&amp;LEFT(#REF!,1))</f>
        <v/>
      </c>
      <c r="R312" s="18"/>
      <c r="S312" s="7" t="str">
        <f>IF(Table246[[#This Row],[A Counter]]=1,"AI"&amp;#REF!+SUM($N$43:N312),IF(Table246[[#This Row],[B Counter]]=1,"BI"&amp;#REF!+SUM($O$43:O312),""))</f>
        <v/>
      </c>
      <c r="T312" s="18" t="s">
        <v>34</v>
      </c>
      <c r="U312" s="68"/>
    </row>
    <row r="313" spans="1:21" x14ac:dyDescent="0.25">
      <c r="A313">
        <f t="shared" si="8"/>
        <v>304</v>
      </c>
      <c r="B313" s="93" t="str">
        <f>IFERROR(RIGHT(Table246[[#This Row],[Controller Input '#]],3)*1,"")</f>
        <v/>
      </c>
      <c r="C313" s="99"/>
      <c r="D313" s="1"/>
      <c r="E313" s="1"/>
      <c r="F313" s="1"/>
      <c r="G313" s="1"/>
      <c r="H313" s="8"/>
      <c r="I313" s="1"/>
      <c r="J313" s="1"/>
      <c r="K313" s="3"/>
      <c r="L313" s="1"/>
      <c r="M313" s="1"/>
      <c r="N313" s="18" t="str">
        <f>IF(ISNUMBER(SEARCH("ANALOG",Table246[[#This Row],[Type]]))=TRUE,1,"")</f>
        <v/>
      </c>
      <c r="O313" s="18" t="str">
        <f>IF(ISNUMBER(SEARCH("BINARY",Table246[[#This Row],[Type]]))=TRUE,1,"")</f>
        <v/>
      </c>
      <c r="P313" s="7" t="str">
        <f>IF(Table246[[#This Row],[Type]]="","",LEFT(Table246[[#This Row],[Type]],1)&amp;LEFT(#REF!,1))</f>
        <v/>
      </c>
      <c r="Q313" s="18" t="str">
        <f>IF(Table246[[#This Row],[Type]]="","",LEFT(Table246[[#This Row],[Type]],1)&amp;LEFT(#REF!,1))</f>
        <v/>
      </c>
      <c r="R313" s="18"/>
      <c r="S313" s="7" t="str">
        <f>IF(Table246[[#This Row],[A Counter]]=1,"AI"&amp;#REF!+SUM($N$43:N313),IF(Table246[[#This Row],[B Counter]]=1,"BI"&amp;#REF!+SUM($O$43:O313),""))</f>
        <v/>
      </c>
      <c r="T313" s="18" t="s">
        <v>34</v>
      </c>
      <c r="U313" s="7"/>
    </row>
    <row r="314" spans="1:21" x14ac:dyDescent="0.25">
      <c r="A314">
        <f t="shared" si="8"/>
        <v>305</v>
      </c>
      <c r="B314" s="130" t="str">
        <f>IFERROR(RIGHT(Table246[[#This Row],[Controller Input '#]],3)*1,"")</f>
        <v/>
      </c>
      <c r="C314" s="99"/>
      <c r="D314" s="1"/>
      <c r="E314" s="1"/>
      <c r="F314" s="1"/>
      <c r="G314" s="1"/>
      <c r="H314" s="8"/>
      <c r="I314" s="1"/>
      <c r="J314" s="1"/>
      <c r="K314" s="1"/>
      <c r="L314" s="18"/>
      <c r="M314" s="1"/>
      <c r="N314" s="18" t="str">
        <f>IF(ISNUMBER(SEARCH("ANALOG",Table246[[#This Row],[Type]]))=TRUE,1,"")</f>
        <v/>
      </c>
      <c r="O314" s="18" t="str">
        <f>IF(ISNUMBER(SEARCH("BINARY",Table246[[#This Row],[Type]]))=TRUE,1,"")</f>
        <v/>
      </c>
      <c r="P314" s="7" t="str">
        <f>IF(Table246[[#This Row],[Type]]="","",LEFT(Table246[[#This Row],[Type]],1)&amp;LEFT(#REF!,1))</f>
        <v/>
      </c>
      <c r="Q314" s="18" t="str">
        <f>IF(Table246[[#This Row],[Type]]="","",LEFT(Table246[[#This Row],[Type]],1)&amp;LEFT(#REF!,1))</f>
        <v/>
      </c>
      <c r="R314" s="18"/>
      <c r="S314" s="7" t="str">
        <f>IF(Table246[[#This Row],[A Counter]]=1,"AI"&amp;#REF!+SUM($N$43:N314),IF(Table246[[#This Row],[B Counter]]=1,"BI"&amp;#REF!+SUM($O$43:O314),""))</f>
        <v/>
      </c>
      <c r="T314" s="18" t="s">
        <v>34</v>
      </c>
      <c r="U314" s="7"/>
    </row>
    <row r="315" spans="1:21" x14ac:dyDescent="0.25">
      <c r="A315">
        <f t="shared" si="8"/>
        <v>306</v>
      </c>
      <c r="B315" s="93" t="str">
        <f>IFERROR(RIGHT(Table246[[#This Row],[Controller Input '#]],3)*1,"")</f>
        <v/>
      </c>
      <c r="C315" s="99"/>
      <c r="D315" s="1"/>
      <c r="E315" s="1"/>
      <c r="F315" s="1"/>
      <c r="G315" s="1"/>
      <c r="H315" s="8"/>
      <c r="I315" s="1"/>
      <c r="J315" s="1"/>
      <c r="K315" s="1"/>
      <c r="L315" s="18"/>
      <c r="M315" s="1"/>
      <c r="N315" s="18" t="str">
        <f>IF(ISNUMBER(SEARCH("ANALOG",Table246[[#This Row],[Type]]))=TRUE,1,"")</f>
        <v/>
      </c>
      <c r="O315" s="18" t="str">
        <f>IF(ISNUMBER(SEARCH("BINARY",Table246[[#This Row],[Type]]))=TRUE,1,"")</f>
        <v/>
      </c>
      <c r="P315" s="7" t="str">
        <f>IF(Table246[[#This Row],[Type]]="","",LEFT(Table246[[#This Row],[Type]],1)&amp;LEFT(#REF!,1))</f>
        <v/>
      </c>
      <c r="Q315" s="18" t="str">
        <f>IF(Table246[[#This Row],[Type]]="","",LEFT(Table246[[#This Row],[Type]],1)&amp;LEFT(#REF!,1))</f>
        <v/>
      </c>
      <c r="R315" s="18"/>
      <c r="S315" s="7" t="str">
        <f>IF(Table246[[#This Row],[A Counter]]=1,"AI"&amp;#REF!+SUM($N$43:N315),IF(Table246[[#This Row],[B Counter]]=1,"BI"&amp;#REF!+SUM($O$43:O315),""))</f>
        <v/>
      </c>
      <c r="T315" s="18" t="s">
        <v>34</v>
      </c>
      <c r="U315" s="7"/>
    </row>
    <row r="316" spans="1:21" x14ac:dyDescent="0.25">
      <c r="A316">
        <f t="shared" si="8"/>
        <v>307</v>
      </c>
      <c r="B316" s="130" t="str">
        <f>IFERROR(RIGHT(Table246[[#This Row],[Controller Input '#]],3)*1,"")</f>
        <v/>
      </c>
      <c r="C316" s="99"/>
      <c r="D316" s="1"/>
      <c r="E316" s="1"/>
      <c r="F316" s="1"/>
      <c r="G316" s="1"/>
      <c r="H316" s="8"/>
      <c r="I316" s="1"/>
      <c r="J316" s="1"/>
      <c r="K316" s="1"/>
      <c r="L316" s="18"/>
      <c r="M316" s="1"/>
      <c r="N316" s="18" t="str">
        <f>IF(ISNUMBER(SEARCH("ANALOG",Table246[[#This Row],[Type]]))=TRUE,1,"")</f>
        <v/>
      </c>
      <c r="O316" s="18" t="str">
        <f>IF(ISNUMBER(SEARCH("BINARY",Table246[[#This Row],[Type]]))=TRUE,1,"")</f>
        <v/>
      </c>
      <c r="P316" s="7" t="str">
        <f>IF(Table246[[#This Row],[Type]]="","",LEFT(Table246[[#This Row],[Type]],1)&amp;LEFT(#REF!,1))</f>
        <v/>
      </c>
      <c r="Q316" s="18" t="str">
        <f>IF(Table246[[#This Row],[Type]]="","",LEFT(Table246[[#This Row],[Type]],1)&amp;LEFT(#REF!,1))</f>
        <v/>
      </c>
      <c r="R316" s="18"/>
      <c r="S316" s="7" t="str">
        <f>IF(Table246[[#This Row],[A Counter]]=1,"AI"&amp;#REF!+SUM($N$43:N316),IF(Table246[[#This Row],[B Counter]]=1,"BI"&amp;#REF!+SUM($O$43:O316),""))</f>
        <v/>
      </c>
      <c r="T316" s="18" t="s">
        <v>34</v>
      </c>
      <c r="U316" s="7"/>
    </row>
    <row r="317" spans="1:21" x14ac:dyDescent="0.25">
      <c r="A317">
        <f t="shared" si="8"/>
        <v>308</v>
      </c>
      <c r="B317" s="93" t="str">
        <f>IFERROR(RIGHT(Table246[[#This Row],[Controller Input '#]],3)*1,"")</f>
        <v/>
      </c>
      <c r="C317" s="99"/>
      <c r="D317" s="1"/>
      <c r="E317" s="1"/>
      <c r="F317" s="1"/>
      <c r="G317" s="1"/>
      <c r="H317" s="8"/>
      <c r="I317" s="1"/>
      <c r="J317" s="1"/>
      <c r="K317" s="1"/>
      <c r="L317" s="1"/>
      <c r="M317" s="1"/>
      <c r="N317" s="18" t="str">
        <f>IF(ISNUMBER(SEARCH("ANALOG",Table246[[#This Row],[Type]]))=TRUE,1,"")</f>
        <v/>
      </c>
      <c r="O317" s="18" t="str">
        <f>IF(ISNUMBER(SEARCH("BINARY",Table246[[#This Row],[Type]]))=TRUE,1,"")</f>
        <v/>
      </c>
      <c r="P317" s="7" t="str">
        <f>IF(Table246[[#This Row],[Type]]="","",LEFT(Table246[[#This Row],[Type]],1)&amp;LEFT(#REF!,1))</f>
        <v/>
      </c>
      <c r="Q317" s="18" t="str">
        <f>IF(Table246[[#This Row],[Type]]="","",LEFT(Table246[[#This Row],[Type]],1)&amp;LEFT(#REF!,1))</f>
        <v/>
      </c>
      <c r="R317" s="18"/>
      <c r="S317" s="7" t="str">
        <f>IF(Table246[[#This Row],[A Counter]]=1,"AI"&amp;#REF!+SUM($N$43:N317),IF(Table246[[#This Row],[B Counter]]=1,"BI"&amp;#REF!+SUM($O$43:O317),""))</f>
        <v/>
      </c>
      <c r="T317" s="18" t="s">
        <v>34</v>
      </c>
      <c r="U317" s="7"/>
    </row>
    <row r="318" spans="1:21" x14ac:dyDescent="0.25">
      <c r="A318">
        <f t="shared" si="8"/>
        <v>309</v>
      </c>
      <c r="B318" s="130" t="str">
        <f>IFERROR(RIGHT(Table246[[#This Row],[Controller Input '#]],3)*1,"")</f>
        <v/>
      </c>
      <c r="C318" s="99"/>
      <c r="D318" s="1"/>
      <c r="E318" s="1"/>
      <c r="F318" s="1"/>
      <c r="G318" s="1"/>
      <c r="H318" s="8"/>
      <c r="I318" s="1"/>
      <c r="J318" s="1"/>
      <c r="K318" s="1"/>
      <c r="L318" s="1"/>
      <c r="M318" s="1"/>
      <c r="N318" s="18" t="str">
        <f>IF(ISNUMBER(SEARCH("ANALOG",Table246[[#This Row],[Type]]))=TRUE,1,"")</f>
        <v/>
      </c>
      <c r="O318" s="18" t="str">
        <f>IF(ISNUMBER(SEARCH("BINARY",Table246[[#This Row],[Type]]))=TRUE,1,"")</f>
        <v/>
      </c>
      <c r="P318" s="7" t="str">
        <f>IF(Table246[[#This Row],[Type]]="","",LEFT(Table246[[#This Row],[Type]],1)&amp;LEFT(#REF!,1))</f>
        <v/>
      </c>
      <c r="Q318" s="18" t="str">
        <f>IF(Table246[[#This Row],[Type]]="","",LEFT(Table246[[#This Row],[Type]],1)&amp;LEFT(#REF!,1))</f>
        <v/>
      </c>
      <c r="R318" s="18"/>
      <c r="S318" s="7" t="str">
        <f>IF(Table246[[#This Row],[A Counter]]=1,"AI"&amp;#REF!+SUM($N$43:N318),IF(Table246[[#This Row],[B Counter]]=1,"BI"&amp;#REF!+SUM($O$43:O318),""))</f>
        <v/>
      </c>
      <c r="T318" s="18" t="s">
        <v>34</v>
      </c>
      <c r="U318" s="7"/>
    </row>
    <row r="319" spans="1:21" x14ac:dyDescent="0.25">
      <c r="A319">
        <f t="shared" si="8"/>
        <v>310</v>
      </c>
      <c r="B319" s="93" t="str">
        <f>IFERROR(RIGHT(Table246[[#This Row],[Controller Input '#]],3)*1,"")</f>
        <v/>
      </c>
      <c r="C319" s="99"/>
      <c r="D319" s="1"/>
      <c r="E319" s="1"/>
      <c r="F319" s="1"/>
      <c r="G319" s="1"/>
      <c r="H319" s="8"/>
      <c r="I319" s="1"/>
      <c r="J319" s="1"/>
      <c r="K319" s="1"/>
      <c r="L319" s="1"/>
      <c r="M319" s="1"/>
      <c r="N319" s="18" t="str">
        <f>IF(ISNUMBER(SEARCH("ANALOG",Table246[[#This Row],[Type]]))=TRUE,1,"")</f>
        <v/>
      </c>
      <c r="O319" s="18" t="str">
        <f>IF(ISNUMBER(SEARCH("BINARY",Table246[[#This Row],[Type]]))=TRUE,1,"")</f>
        <v/>
      </c>
      <c r="P319" s="7" t="str">
        <f>IF(Table246[[#This Row],[Type]]="","",LEFT(Table246[[#This Row],[Type]],1)&amp;LEFT(#REF!,1))</f>
        <v/>
      </c>
      <c r="Q319" s="18" t="str">
        <f>IF(Table246[[#This Row],[Type]]="","",LEFT(Table246[[#This Row],[Type]],1)&amp;LEFT(#REF!,1))</f>
        <v/>
      </c>
      <c r="R319" s="18"/>
      <c r="S319" s="7" t="str">
        <f>IF(Table246[[#This Row],[A Counter]]=1,"AI"&amp;#REF!+SUM($N$43:N319),IF(Table246[[#This Row],[B Counter]]=1,"BI"&amp;#REF!+SUM($O$43:O319),""))</f>
        <v/>
      </c>
      <c r="T319" s="18" t="s">
        <v>34</v>
      </c>
      <c r="U319" s="7"/>
    </row>
    <row r="320" spans="1:21" x14ac:dyDescent="0.25">
      <c r="A320">
        <f t="shared" si="8"/>
        <v>311</v>
      </c>
      <c r="B320" s="130" t="str">
        <f>IFERROR(RIGHT(Table246[[#This Row],[Controller Input '#]],3)*1,"")</f>
        <v/>
      </c>
      <c r="C320" s="99"/>
      <c r="D320" s="1"/>
      <c r="E320" s="1"/>
      <c r="F320" s="1"/>
      <c r="G320" s="1"/>
      <c r="H320" s="8"/>
      <c r="I320" s="1"/>
      <c r="J320" s="1"/>
      <c r="K320" s="1"/>
      <c r="L320" s="1"/>
      <c r="M320" s="1"/>
      <c r="N320" s="18" t="str">
        <f>IF(ISNUMBER(SEARCH("ANALOG",Table246[[#This Row],[Type]]))=TRUE,1,"")</f>
        <v/>
      </c>
      <c r="O320" s="18" t="str">
        <f>IF(ISNUMBER(SEARCH("BINARY",Table246[[#This Row],[Type]]))=TRUE,1,"")</f>
        <v/>
      </c>
      <c r="P320" s="7" t="str">
        <f>IF(Table246[[#This Row],[Type]]="","",LEFT(Table246[[#This Row],[Type]],1)&amp;LEFT(#REF!,1))</f>
        <v/>
      </c>
      <c r="Q320" s="18" t="str">
        <f>IF(Table246[[#This Row],[Type]]="","",LEFT(Table246[[#This Row],[Type]],1)&amp;LEFT(#REF!,1))</f>
        <v/>
      </c>
      <c r="R320" s="18"/>
      <c r="S320" s="7" t="str">
        <f>IF(Table246[[#This Row],[A Counter]]=1,"AI"&amp;#REF!+SUM($N$43:N320),IF(Table246[[#This Row],[B Counter]]=1,"BI"&amp;#REF!+SUM($O$43:O320),""))</f>
        <v/>
      </c>
      <c r="T320" s="18" t="s">
        <v>34</v>
      </c>
      <c r="U320" s="7"/>
    </row>
    <row r="321" spans="1:21" x14ac:dyDescent="0.25">
      <c r="A321">
        <f t="shared" si="8"/>
        <v>312</v>
      </c>
      <c r="B321" s="93" t="str">
        <f>IFERROR(RIGHT(Table246[[#This Row],[Controller Input '#]],3)*1,"")</f>
        <v/>
      </c>
      <c r="C321" s="99"/>
      <c r="D321" s="1"/>
      <c r="E321" s="1"/>
      <c r="F321" s="1"/>
      <c r="G321" s="1"/>
      <c r="H321" s="8"/>
      <c r="I321" s="1"/>
      <c r="J321" s="1"/>
      <c r="K321" s="1"/>
      <c r="L321" s="11"/>
      <c r="M321" s="11"/>
      <c r="N321" s="18" t="str">
        <f>IF(ISNUMBER(SEARCH("ANALOG",Table246[[#This Row],[Type]]))=TRUE,1,"")</f>
        <v/>
      </c>
      <c r="O321" s="18" t="str">
        <f>IF(ISNUMBER(SEARCH("BINARY",Table246[[#This Row],[Type]]))=TRUE,1,"")</f>
        <v/>
      </c>
      <c r="P321" s="7" t="str">
        <f>IF(Table246[[#This Row],[Type]]="","",LEFT(Table246[[#This Row],[Type]],1)&amp;LEFT(#REF!,1))</f>
        <v/>
      </c>
      <c r="Q321" s="18" t="str">
        <f>IF(Table246[[#This Row],[Type]]="","",LEFT(Table246[[#This Row],[Type]],1)&amp;LEFT(#REF!,1))</f>
        <v/>
      </c>
      <c r="R321" s="18"/>
      <c r="S321" s="7" t="str">
        <f>IF(Table246[[#This Row],[A Counter]]=1,"AI"&amp;#REF!+SUM($N$43:N321),IF(Table246[[#This Row],[B Counter]]=1,"BI"&amp;#REF!+SUM($O$43:O321),""))</f>
        <v/>
      </c>
      <c r="T321" s="18" t="s">
        <v>34</v>
      </c>
      <c r="U321" s="7"/>
    </row>
    <row r="322" spans="1:21" x14ac:dyDescent="0.25">
      <c r="A322">
        <f t="shared" si="8"/>
        <v>313</v>
      </c>
      <c r="B322" s="130" t="str">
        <f>IFERROR(RIGHT(Table246[[#This Row],[Controller Input '#]],3)*1,"")</f>
        <v/>
      </c>
      <c r="C322" s="99"/>
      <c r="D322" s="1"/>
      <c r="E322" s="1"/>
      <c r="F322" s="1"/>
      <c r="G322" s="1"/>
      <c r="H322" s="8"/>
      <c r="I322" s="1"/>
      <c r="J322" s="1"/>
      <c r="K322" s="1"/>
      <c r="L322" s="11"/>
      <c r="M322" s="11"/>
      <c r="N322" s="18" t="str">
        <f>IF(ISNUMBER(SEARCH("ANALOG",Table246[[#This Row],[Type]]))=TRUE,1,"")</f>
        <v/>
      </c>
      <c r="O322" s="18" t="str">
        <f>IF(ISNUMBER(SEARCH("BINARY",Table246[[#This Row],[Type]]))=TRUE,1,"")</f>
        <v/>
      </c>
      <c r="P322" s="7" t="str">
        <f>IF(Table246[[#This Row],[Type]]="","",LEFT(Table246[[#This Row],[Type]],1)&amp;LEFT(#REF!,1))</f>
        <v/>
      </c>
      <c r="Q322" s="18" t="str">
        <f>IF(Table246[[#This Row],[Type]]="","",LEFT(Table246[[#This Row],[Type]],1)&amp;LEFT(#REF!,1))</f>
        <v/>
      </c>
      <c r="R322" s="18"/>
      <c r="S322" s="7" t="str">
        <f>IF(Table246[[#This Row],[A Counter]]=1,"AI"&amp;#REF!+SUM($N$43:N322),IF(Table246[[#This Row],[B Counter]]=1,"BI"&amp;#REF!+SUM($O$43:O322),""))</f>
        <v/>
      </c>
      <c r="T322" s="18" t="s">
        <v>34</v>
      </c>
      <c r="U322" s="7"/>
    </row>
    <row r="323" spans="1:21" x14ac:dyDescent="0.25">
      <c r="A323">
        <f t="shared" si="8"/>
        <v>314</v>
      </c>
      <c r="B323" s="93" t="str">
        <f>IFERROR(RIGHT(Table246[[#This Row],[Controller Input '#]],3)*1,"")</f>
        <v/>
      </c>
      <c r="C323" s="99"/>
      <c r="D323" s="1"/>
      <c r="E323" s="1"/>
      <c r="F323" s="1"/>
      <c r="G323" s="11"/>
      <c r="H323" s="21"/>
      <c r="I323" s="1"/>
      <c r="J323" s="1"/>
      <c r="K323" s="1"/>
      <c r="L323" s="11"/>
      <c r="M323" s="11"/>
      <c r="N323" s="18" t="str">
        <f>IF(ISNUMBER(SEARCH("ANALOG",Table246[[#This Row],[Type]]))=TRUE,1,"")</f>
        <v/>
      </c>
      <c r="O323" s="18" t="str">
        <f>IF(ISNUMBER(SEARCH("BINARY",Table246[[#This Row],[Type]]))=TRUE,1,"")</f>
        <v/>
      </c>
      <c r="P323" s="7" t="str">
        <f>IF(Table246[[#This Row],[Type]]="","",LEFT(Table246[[#This Row],[Type]],1)&amp;LEFT(#REF!,1))</f>
        <v/>
      </c>
      <c r="Q323" s="18" t="str">
        <f>IF(Table246[[#This Row],[Type]]="","",LEFT(Table246[[#This Row],[Type]],1)&amp;LEFT(#REF!,1))</f>
        <v/>
      </c>
      <c r="R323" s="18"/>
      <c r="S323" s="7" t="str">
        <f>IF(Table246[[#This Row],[A Counter]]=1,"AI"&amp;#REF!+SUM($N$43:N323),IF(Table246[[#This Row],[B Counter]]=1,"BI"&amp;#REF!+SUM($O$43:O323),""))</f>
        <v/>
      </c>
      <c r="T323" s="18" t="s">
        <v>34</v>
      </c>
      <c r="U323" s="7"/>
    </row>
    <row r="324" spans="1:21" x14ac:dyDescent="0.25">
      <c r="A324">
        <f t="shared" si="8"/>
        <v>315</v>
      </c>
      <c r="B324" s="130" t="str">
        <f>IFERROR(RIGHT(Table246[[#This Row],[Controller Input '#]],3)*1,"")</f>
        <v/>
      </c>
      <c r="C324" s="99"/>
      <c r="D324" s="1"/>
      <c r="E324" s="1"/>
      <c r="F324" s="1"/>
      <c r="G324" s="1"/>
      <c r="H324" s="8"/>
      <c r="I324" s="1"/>
      <c r="J324" s="1"/>
      <c r="K324" s="1"/>
      <c r="L324" s="1"/>
      <c r="M324" s="1"/>
      <c r="N324" s="18" t="str">
        <f>IF(ISNUMBER(SEARCH("ANALOG",Table246[[#This Row],[Type]]))=TRUE,1,"")</f>
        <v/>
      </c>
      <c r="O324" s="18" t="str">
        <f>IF(ISNUMBER(SEARCH("BINARY",Table246[[#This Row],[Type]]))=TRUE,1,"")</f>
        <v/>
      </c>
      <c r="P324" s="7" t="str">
        <f>IF(Table246[[#This Row],[Type]]="","",LEFT(Table246[[#This Row],[Type]],1)&amp;LEFT(#REF!,1))</f>
        <v/>
      </c>
      <c r="Q324" s="18" t="str">
        <f>IF(Table246[[#This Row],[Type]]="","",LEFT(Table246[[#This Row],[Type]],1)&amp;LEFT(#REF!,1))</f>
        <v/>
      </c>
      <c r="R324" s="18"/>
      <c r="S324" s="7" t="str">
        <f>IF(Table246[[#This Row],[A Counter]]=1,"AI"&amp;#REF!+SUM($N$43:N324),IF(Table246[[#This Row],[B Counter]]=1,"BI"&amp;#REF!+SUM($O$43:O324),""))</f>
        <v/>
      </c>
      <c r="T324" s="18" t="s">
        <v>34</v>
      </c>
      <c r="U324" s="7"/>
    </row>
    <row r="325" spans="1:21" x14ac:dyDescent="0.25">
      <c r="A325">
        <f t="shared" si="8"/>
        <v>316</v>
      </c>
      <c r="B325" s="93" t="str">
        <f>IFERROR(RIGHT(Table246[[#This Row],[Controller Input '#]],3)*1,"")</f>
        <v/>
      </c>
      <c r="C325" s="99"/>
      <c r="D325" s="1"/>
      <c r="E325" s="1"/>
      <c r="F325" s="1"/>
      <c r="G325" s="1"/>
      <c r="H325" s="8"/>
      <c r="I325" s="1"/>
      <c r="J325" s="1"/>
      <c r="K325" s="1"/>
      <c r="L325" s="1"/>
      <c r="M325" s="1"/>
      <c r="N325" s="18" t="str">
        <f>IF(ISNUMBER(SEARCH("ANALOG",Table246[[#This Row],[Type]]))=TRUE,1,"")</f>
        <v/>
      </c>
      <c r="O325" s="18" t="str">
        <f>IF(ISNUMBER(SEARCH("BINARY",Table246[[#This Row],[Type]]))=TRUE,1,"")</f>
        <v/>
      </c>
      <c r="P325" s="7" t="str">
        <f>IF(Table246[[#This Row],[Type]]="","",LEFT(Table246[[#This Row],[Type]],1)&amp;LEFT(#REF!,1))</f>
        <v/>
      </c>
      <c r="Q325" s="18" t="str">
        <f>IF(Table246[[#This Row],[Type]]="","",LEFT(Table246[[#This Row],[Type]],1)&amp;LEFT(#REF!,1))</f>
        <v/>
      </c>
      <c r="R325" s="18"/>
      <c r="S325" s="7" t="str">
        <f>IF(Table246[[#This Row],[A Counter]]=1,"AI"&amp;#REF!+SUM($N$43:N325),IF(Table246[[#This Row],[B Counter]]=1,"BI"&amp;#REF!+SUM($O$43:O325),""))</f>
        <v/>
      </c>
      <c r="T325" s="18" t="s">
        <v>34</v>
      </c>
      <c r="U325" s="7"/>
    </row>
    <row r="326" spans="1:21" x14ac:dyDescent="0.25">
      <c r="A326">
        <f t="shared" si="8"/>
        <v>317</v>
      </c>
      <c r="B326" s="130" t="str">
        <f>IFERROR(RIGHT(Table246[[#This Row],[Controller Input '#]],3)*1,"")</f>
        <v/>
      </c>
      <c r="C326" s="99"/>
      <c r="D326" s="1"/>
      <c r="E326" s="11"/>
      <c r="F326" s="11"/>
      <c r="G326" s="11"/>
      <c r="H326" s="21"/>
      <c r="I326" s="11"/>
      <c r="J326" s="11"/>
      <c r="K326" s="11"/>
      <c r="L326" s="11"/>
      <c r="M326" s="11"/>
      <c r="N326" s="18" t="str">
        <f>IF(ISNUMBER(SEARCH("ANALOG",Table246[[#This Row],[Type]]))=TRUE,1,"")</f>
        <v/>
      </c>
      <c r="O326" s="18" t="str">
        <f>IF(ISNUMBER(SEARCH("BINARY",Table246[[#This Row],[Type]]))=TRUE,1,"")</f>
        <v/>
      </c>
      <c r="P326" s="7" t="str">
        <f>IF(Table246[[#This Row],[Type]]="","",LEFT(Table246[[#This Row],[Type]],1)&amp;LEFT(#REF!,1))</f>
        <v/>
      </c>
      <c r="Q326" s="18" t="str">
        <f>IF(Table246[[#This Row],[Type]]="","",LEFT(Table246[[#This Row],[Type]],1)&amp;LEFT(#REF!,1))</f>
        <v/>
      </c>
      <c r="R326" s="18"/>
      <c r="S326" s="7" t="str">
        <f>IF(Table246[[#This Row],[A Counter]]=1,"AI"&amp;#REF!+SUM($N$43:N326),IF(Table246[[#This Row],[B Counter]]=1,"BI"&amp;#REF!+SUM($O$43:O326),""))</f>
        <v/>
      </c>
      <c r="T326" s="26" t="s">
        <v>34</v>
      </c>
      <c r="U326" s="7"/>
    </row>
    <row r="327" spans="1:21" x14ac:dyDescent="0.25">
      <c r="A327">
        <f t="shared" si="8"/>
        <v>318</v>
      </c>
      <c r="B327" s="93" t="str">
        <f>IFERROR(RIGHT(Table246[[#This Row],[Controller Input '#]],3)*1,"")</f>
        <v/>
      </c>
      <c r="C327" s="99"/>
      <c r="D327" s="1"/>
      <c r="E327" s="11"/>
      <c r="F327" s="11"/>
      <c r="G327" s="11"/>
      <c r="H327" s="21"/>
      <c r="I327" s="11"/>
      <c r="J327" s="11"/>
      <c r="K327" s="11"/>
      <c r="L327" s="11"/>
      <c r="M327" s="11"/>
      <c r="N327" s="18" t="str">
        <f>IF(ISNUMBER(SEARCH("ANALOG",Table246[[#This Row],[Type]]))=TRUE,1,"")</f>
        <v/>
      </c>
      <c r="O327" s="18" t="str">
        <f>IF(ISNUMBER(SEARCH("BINARY",Table246[[#This Row],[Type]]))=TRUE,1,"")</f>
        <v/>
      </c>
      <c r="P327" s="7" t="str">
        <f>IF(Table246[[#This Row],[Type]]="","",LEFT(Table246[[#This Row],[Type]],1)&amp;LEFT(#REF!,1))</f>
        <v/>
      </c>
      <c r="Q327" s="18" t="str">
        <f>IF(Table246[[#This Row],[Type]]="","",LEFT(Table246[[#This Row],[Type]],1)&amp;LEFT(#REF!,1))</f>
        <v/>
      </c>
      <c r="R327" s="18"/>
      <c r="S327" s="7" t="str">
        <f>IF(Table246[[#This Row],[A Counter]]=1,"AI"&amp;#REF!+SUM($N$43:N327),IF(Table246[[#This Row],[B Counter]]=1,"BI"&amp;#REF!+SUM($O$43:O327),""))</f>
        <v/>
      </c>
      <c r="T327" s="26" t="s">
        <v>34</v>
      </c>
      <c r="U327" s="7"/>
    </row>
    <row r="328" spans="1:21" x14ac:dyDescent="0.25">
      <c r="A328">
        <f t="shared" si="8"/>
        <v>319</v>
      </c>
      <c r="B328" s="130" t="str">
        <f>IFERROR(RIGHT(Table246[[#This Row],[Controller Input '#]],3)*1,"")</f>
        <v/>
      </c>
      <c r="C328" s="99"/>
      <c r="D328" s="1"/>
      <c r="E328" s="11"/>
      <c r="F328" s="11"/>
      <c r="G328" s="11"/>
      <c r="H328" s="21"/>
      <c r="I328" s="11"/>
      <c r="J328" s="11"/>
      <c r="K328" s="11"/>
      <c r="L328" s="11"/>
      <c r="M328" s="11"/>
      <c r="N328" s="18" t="str">
        <f>IF(ISNUMBER(SEARCH("ANALOG",Table246[[#This Row],[Type]]))=TRUE,1,"")</f>
        <v/>
      </c>
      <c r="O328" s="18" t="str">
        <f>IF(ISNUMBER(SEARCH("BINARY",Table246[[#This Row],[Type]]))=TRUE,1,"")</f>
        <v/>
      </c>
      <c r="P328" s="7" t="str">
        <f>IF(Table246[[#This Row],[Type]]="","",LEFT(Table246[[#This Row],[Type]],1)&amp;LEFT(#REF!,1))</f>
        <v/>
      </c>
      <c r="Q328" s="18" t="str">
        <f>IF(Table246[[#This Row],[Type]]="","",LEFT(Table246[[#This Row],[Type]],1)&amp;LEFT(#REF!,1))</f>
        <v/>
      </c>
      <c r="R328" s="18"/>
      <c r="S328" s="7" t="str">
        <f>IF(Table246[[#This Row],[A Counter]]=1,"AI"&amp;#REF!+SUM($N$43:N328),IF(Table246[[#This Row],[B Counter]]=1,"BI"&amp;#REF!+SUM($O$43:O328),""))</f>
        <v/>
      </c>
      <c r="T328" s="26" t="s">
        <v>34</v>
      </c>
      <c r="U328" s="7"/>
    </row>
    <row r="329" spans="1:21" x14ac:dyDescent="0.25">
      <c r="A329">
        <f t="shared" si="8"/>
        <v>320</v>
      </c>
      <c r="B329" s="93" t="str">
        <f>IFERROR(RIGHT(Table246[[#This Row],[Controller Input '#]],3)*1,"")</f>
        <v/>
      </c>
      <c r="C329" s="99"/>
      <c r="D329" s="1"/>
      <c r="E329" s="23"/>
      <c r="F329" s="23"/>
      <c r="G329" s="23"/>
      <c r="H329" s="27"/>
      <c r="I329" s="23"/>
      <c r="J329" s="23"/>
      <c r="K329" s="23"/>
      <c r="L329" s="23"/>
      <c r="M329" s="23"/>
      <c r="N329" s="18" t="str">
        <f>IF(ISNUMBER(SEARCH("ANALOG",Table246[[#This Row],[Type]]))=TRUE,1,"")</f>
        <v/>
      </c>
      <c r="O329" s="18" t="str">
        <f>IF(ISNUMBER(SEARCH("BINARY",Table246[[#This Row],[Type]]))=TRUE,1,"")</f>
        <v/>
      </c>
      <c r="P329" s="7" t="str">
        <f>IF(Table246[[#This Row],[Type]]="","",LEFT(Table246[[#This Row],[Type]],1)&amp;LEFT(#REF!,1))</f>
        <v/>
      </c>
      <c r="Q329" s="18" t="str">
        <f>IF(Table246[[#This Row],[Type]]="","",LEFT(Table246[[#This Row],[Type]],1)&amp;LEFT(#REF!,1))</f>
        <v/>
      </c>
      <c r="R329" s="18"/>
      <c r="S329" s="7" t="str">
        <f>IF(Table246[[#This Row],[A Counter]]=1,"AI"&amp;#REF!+SUM($N$43:N329),IF(Table246[[#This Row],[B Counter]]=1,"BI"&amp;#REF!+SUM($O$43:O329),""))</f>
        <v/>
      </c>
      <c r="T329" s="28" t="s">
        <v>34</v>
      </c>
      <c r="U329" s="7"/>
    </row>
    <row r="330" spans="1:21" x14ac:dyDescent="0.25">
      <c r="A330">
        <f t="shared" si="8"/>
        <v>321</v>
      </c>
      <c r="B330" s="130" t="str">
        <f>IFERROR(RIGHT(Table246[[#This Row],[Controller Input '#]],3)*1,"")</f>
        <v/>
      </c>
      <c r="C330" s="99"/>
      <c r="D330" s="1"/>
      <c r="E330" s="11"/>
      <c r="F330" s="11"/>
      <c r="G330" s="11"/>
      <c r="H330" s="21"/>
      <c r="I330" s="11"/>
      <c r="J330" s="11"/>
      <c r="K330" s="11"/>
      <c r="L330" s="11"/>
      <c r="M330" s="11"/>
      <c r="N330" s="18" t="str">
        <f>IF(ISNUMBER(SEARCH("ANALOG",Table246[[#This Row],[Type]]))=TRUE,1,"")</f>
        <v/>
      </c>
      <c r="O330" s="18" t="str">
        <f>IF(ISNUMBER(SEARCH("BINARY",Table246[[#This Row],[Type]]))=TRUE,1,"")</f>
        <v/>
      </c>
      <c r="P330" s="7" t="str">
        <f>IF(Table246[[#This Row],[Type]]="","",LEFT(Table246[[#This Row],[Type]],1)&amp;LEFT(#REF!,1))</f>
        <v/>
      </c>
      <c r="Q330" s="18" t="str">
        <f>IF(Table246[[#This Row],[Type]]="","",LEFT(Table246[[#This Row],[Type]],1)&amp;LEFT(#REF!,1))</f>
        <v/>
      </c>
      <c r="R330" s="18"/>
      <c r="S330" s="7" t="str">
        <f>IF(Table246[[#This Row],[A Counter]]=1,"AI"&amp;#REF!+SUM($N$43:N330),IF(Table246[[#This Row],[B Counter]]=1,"BI"&amp;#REF!+SUM($O$43:O330),""))</f>
        <v/>
      </c>
      <c r="T330" s="26" t="s">
        <v>34</v>
      </c>
      <c r="U330" s="7"/>
    </row>
    <row r="331" spans="1:21" x14ac:dyDescent="0.25">
      <c r="A331">
        <f t="shared" si="8"/>
        <v>322</v>
      </c>
      <c r="B331" s="93" t="str">
        <f>IFERROR(RIGHT(Table246[[#This Row],[Controller Input '#]],3)*1,"")</f>
        <v/>
      </c>
      <c r="C331" s="99"/>
      <c r="D331" s="1"/>
      <c r="E331" s="11"/>
      <c r="F331" s="11"/>
      <c r="G331" s="11"/>
      <c r="H331" s="21"/>
      <c r="I331" s="11"/>
      <c r="J331" s="11"/>
      <c r="K331" s="11"/>
      <c r="L331" s="11"/>
      <c r="M331" s="11"/>
      <c r="N331" s="18" t="str">
        <f>IF(ISNUMBER(SEARCH("ANALOG",Table246[[#This Row],[Type]]))=TRUE,1,"")</f>
        <v/>
      </c>
      <c r="O331" s="18" t="str">
        <f>IF(ISNUMBER(SEARCH("BINARY",Table246[[#This Row],[Type]]))=TRUE,1,"")</f>
        <v/>
      </c>
      <c r="P331" s="7" t="str">
        <f>IF(Table246[[#This Row],[Type]]="","",LEFT(Table246[[#This Row],[Type]],1)&amp;LEFT(#REF!,1))</f>
        <v/>
      </c>
      <c r="Q331" s="18" t="str">
        <f>IF(Table246[[#This Row],[Type]]="","",LEFT(Table246[[#This Row],[Type]],1)&amp;LEFT(#REF!,1))</f>
        <v/>
      </c>
      <c r="R331" s="18"/>
      <c r="S331" s="7" t="str">
        <f>IF(Table246[[#This Row],[A Counter]]=1,"AI"&amp;#REF!+SUM($N$43:N331),IF(Table246[[#This Row],[B Counter]]=1,"BI"&amp;#REF!+SUM($O$43:O331),""))</f>
        <v/>
      </c>
      <c r="T331" s="26" t="s">
        <v>34</v>
      </c>
      <c r="U331" s="7"/>
    </row>
    <row r="332" spans="1:21" x14ac:dyDescent="0.25">
      <c r="A332">
        <f t="shared" si="8"/>
        <v>323</v>
      </c>
      <c r="B332" s="130" t="str">
        <f>IFERROR(RIGHT(Table246[[#This Row],[Controller Input '#]],3)*1,"")</f>
        <v/>
      </c>
      <c r="C332" s="99"/>
      <c r="D332" s="1"/>
      <c r="E332" s="11"/>
      <c r="F332" s="11"/>
      <c r="G332" s="11"/>
      <c r="H332" s="21"/>
      <c r="I332" s="11"/>
      <c r="J332" s="11"/>
      <c r="K332" s="11"/>
      <c r="L332" s="11"/>
      <c r="M332" s="11"/>
      <c r="N332" s="18" t="str">
        <f>IF(ISNUMBER(SEARCH("ANALOG",Table246[[#This Row],[Type]]))=TRUE,1,"")</f>
        <v/>
      </c>
      <c r="O332" s="18" t="str">
        <f>IF(ISNUMBER(SEARCH("BINARY",Table246[[#This Row],[Type]]))=TRUE,1,"")</f>
        <v/>
      </c>
      <c r="P332" s="7" t="str">
        <f>IF(Table246[[#This Row],[Type]]="","",LEFT(Table246[[#This Row],[Type]],1)&amp;LEFT(#REF!,1))</f>
        <v/>
      </c>
      <c r="Q332" s="18" t="str">
        <f>IF(Table246[[#This Row],[Type]]="","",LEFT(Table246[[#This Row],[Type]],1)&amp;LEFT(#REF!,1))</f>
        <v/>
      </c>
      <c r="R332" s="18"/>
      <c r="S332" s="7" t="str">
        <f>IF(Table246[[#This Row],[A Counter]]=1,"AI"&amp;#REF!+SUM($N$43:N332),IF(Table246[[#This Row],[B Counter]]=1,"BI"&amp;#REF!+SUM($O$43:O332),""))</f>
        <v/>
      </c>
      <c r="T332" s="26" t="s">
        <v>34</v>
      </c>
      <c r="U332" s="7"/>
    </row>
    <row r="333" spans="1:21" x14ac:dyDescent="0.25">
      <c r="A333">
        <f t="shared" si="8"/>
        <v>324</v>
      </c>
      <c r="B333" s="93" t="str">
        <f>IFERROR(RIGHT(Table246[[#This Row],[Controller Input '#]],3)*1,"")</f>
        <v/>
      </c>
      <c r="C333" s="99"/>
      <c r="D333" s="1"/>
      <c r="E333" s="11"/>
      <c r="F333" s="11"/>
      <c r="G333" s="11"/>
      <c r="H333" s="21"/>
      <c r="I333" s="11"/>
      <c r="J333" s="11"/>
      <c r="K333" s="11"/>
      <c r="L333" s="11"/>
      <c r="M333" s="11"/>
      <c r="N333" s="18" t="str">
        <f>IF(ISNUMBER(SEARCH("ANALOG",Table246[[#This Row],[Type]]))=TRUE,1,"")</f>
        <v/>
      </c>
      <c r="O333" s="18" t="str">
        <f>IF(ISNUMBER(SEARCH("BINARY",Table246[[#This Row],[Type]]))=TRUE,1,"")</f>
        <v/>
      </c>
      <c r="P333" s="7" t="str">
        <f>IF(Table246[[#This Row],[Type]]="","",LEFT(Table246[[#This Row],[Type]],1)&amp;LEFT(#REF!,1))</f>
        <v/>
      </c>
      <c r="Q333" s="18" t="str">
        <f>IF(Table246[[#This Row],[Type]]="","",LEFT(Table246[[#This Row],[Type]],1)&amp;LEFT(#REF!,1))</f>
        <v/>
      </c>
      <c r="R333" s="18"/>
      <c r="S333" s="7" t="str">
        <f>IF(Table246[[#This Row],[A Counter]]=1,"AI"&amp;#REF!+SUM($N$43:N333),IF(Table246[[#This Row],[B Counter]]=1,"BI"&amp;#REF!+SUM($O$43:O333),""))</f>
        <v/>
      </c>
      <c r="T333" s="26" t="s">
        <v>34</v>
      </c>
      <c r="U333" s="7"/>
    </row>
    <row r="334" spans="1:21" x14ac:dyDescent="0.25">
      <c r="A334">
        <f t="shared" si="8"/>
        <v>325</v>
      </c>
      <c r="B334" s="130" t="str">
        <f>IFERROR(RIGHT(Table246[[#This Row],[Controller Input '#]],3)*1,"")</f>
        <v/>
      </c>
      <c r="C334" s="99"/>
      <c r="D334" s="1"/>
      <c r="E334" s="23"/>
      <c r="F334" s="23"/>
      <c r="G334" s="23"/>
      <c r="H334" s="27"/>
      <c r="I334" s="23"/>
      <c r="J334" s="23"/>
      <c r="K334" s="23"/>
      <c r="L334" s="23"/>
      <c r="M334" s="23"/>
      <c r="N334" s="18" t="str">
        <f>IF(ISNUMBER(SEARCH("ANALOG",Table246[[#This Row],[Type]]))=TRUE,1,"")</f>
        <v/>
      </c>
      <c r="O334" s="18" t="str">
        <f>IF(ISNUMBER(SEARCH("BINARY",Table246[[#This Row],[Type]]))=TRUE,1,"")</f>
        <v/>
      </c>
      <c r="P334" s="7" t="str">
        <f>IF(Table246[[#This Row],[Type]]="","",LEFT(Table246[[#This Row],[Type]],1)&amp;LEFT(#REF!,1))</f>
        <v/>
      </c>
      <c r="Q334" s="18" t="str">
        <f>IF(Table246[[#This Row],[Type]]="","",LEFT(Table246[[#This Row],[Type]],1)&amp;LEFT(#REF!,1))</f>
        <v/>
      </c>
      <c r="R334" s="18"/>
      <c r="S334" s="7" t="str">
        <f>IF(Table246[[#This Row],[A Counter]]=1,"AI"&amp;#REF!+SUM($N$43:N334),IF(Table246[[#This Row],[B Counter]]=1,"BI"&amp;#REF!+SUM($O$43:O334),""))</f>
        <v/>
      </c>
      <c r="T334" s="28" t="s">
        <v>34</v>
      </c>
      <c r="U334" s="7"/>
    </row>
    <row r="335" spans="1:21" x14ac:dyDescent="0.25">
      <c r="A335">
        <f t="shared" si="8"/>
        <v>326</v>
      </c>
      <c r="B335" s="93" t="str">
        <f>IFERROR(RIGHT(Table246[[#This Row],[Controller Input '#]],3)*1,"")</f>
        <v/>
      </c>
      <c r="C335" s="99"/>
      <c r="D335" s="1"/>
      <c r="E335" s="11"/>
      <c r="F335" s="11"/>
      <c r="G335" s="11"/>
      <c r="H335" s="21"/>
      <c r="I335" s="11"/>
      <c r="J335" s="11"/>
      <c r="K335" s="11"/>
      <c r="L335" s="11"/>
      <c r="M335" s="11"/>
      <c r="N335" s="18" t="str">
        <f>IF(ISNUMBER(SEARCH("ANALOG",Table246[[#This Row],[Type]]))=TRUE,1,"")</f>
        <v/>
      </c>
      <c r="O335" s="18" t="str">
        <f>IF(ISNUMBER(SEARCH("BINARY",Table246[[#This Row],[Type]]))=TRUE,1,"")</f>
        <v/>
      </c>
      <c r="P335" s="7" t="str">
        <f>IF(Table246[[#This Row],[Type]]="","",LEFT(Table246[[#This Row],[Type]],1)&amp;LEFT(#REF!,1))</f>
        <v/>
      </c>
      <c r="Q335" s="18" t="str">
        <f>IF(Table246[[#This Row],[Type]]="","",LEFT(Table246[[#This Row],[Type]],1)&amp;LEFT(#REF!,1))</f>
        <v/>
      </c>
      <c r="R335" s="18"/>
      <c r="S335" s="7" t="str">
        <f>IF(Table246[[#This Row],[A Counter]]=1,"AI"&amp;#REF!+SUM($N$43:N335),IF(Table246[[#This Row],[B Counter]]=1,"BI"&amp;#REF!+SUM($O$43:O335),""))</f>
        <v/>
      </c>
      <c r="T335" s="26" t="s">
        <v>34</v>
      </c>
      <c r="U335" s="7"/>
    </row>
    <row r="336" spans="1:21" x14ac:dyDescent="0.25">
      <c r="A336">
        <f t="shared" si="8"/>
        <v>327</v>
      </c>
      <c r="B336" s="130" t="str">
        <f>IFERROR(RIGHT(Table246[[#This Row],[Controller Input '#]],3)*1,"")</f>
        <v/>
      </c>
      <c r="C336" s="99"/>
      <c r="D336" s="1"/>
      <c r="E336" s="11"/>
      <c r="F336" s="11"/>
      <c r="G336" s="11"/>
      <c r="H336" s="21"/>
      <c r="I336" s="11"/>
      <c r="J336" s="11"/>
      <c r="K336" s="11"/>
      <c r="L336" s="11"/>
      <c r="M336" s="11"/>
      <c r="N336" s="18" t="str">
        <f>IF(ISNUMBER(SEARCH("ANALOG",Table246[[#This Row],[Type]]))=TRUE,1,"")</f>
        <v/>
      </c>
      <c r="O336" s="18" t="str">
        <f>IF(ISNUMBER(SEARCH("BINARY",Table246[[#This Row],[Type]]))=TRUE,1,"")</f>
        <v/>
      </c>
      <c r="P336" s="7" t="str">
        <f>IF(Table246[[#This Row],[Type]]="","",LEFT(Table246[[#This Row],[Type]],1)&amp;LEFT(#REF!,1))</f>
        <v/>
      </c>
      <c r="Q336" s="18" t="str">
        <f>IF(Table246[[#This Row],[Type]]="","",LEFT(Table246[[#This Row],[Type]],1)&amp;LEFT(#REF!,1))</f>
        <v/>
      </c>
      <c r="R336" s="18"/>
      <c r="S336" s="7" t="str">
        <f>IF(Table246[[#This Row],[A Counter]]=1,"AI"&amp;#REF!+SUM($N$43:N336),IF(Table246[[#This Row],[B Counter]]=1,"BI"&amp;#REF!+SUM($O$43:O336),""))</f>
        <v/>
      </c>
      <c r="T336" s="26" t="s">
        <v>34</v>
      </c>
      <c r="U336" s="7"/>
    </row>
    <row r="337" spans="1:21" x14ac:dyDescent="0.25">
      <c r="A337">
        <f t="shared" si="8"/>
        <v>328</v>
      </c>
      <c r="B337" s="93" t="str">
        <f>IFERROR(RIGHT(Table246[[#This Row],[Controller Input '#]],3)*1,"")</f>
        <v/>
      </c>
      <c r="C337" s="99"/>
      <c r="D337" s="1"/>
      <c r="E337" s="11"/>
      <c r="F337" s="11"/>
      <c r="G337" s="11"/>
      <c r="H337" s="21"/>
      <c r="I337" s="11"/>
      <c r="J337" s="11"/>
      <c r="K337" s="11"/>
      <c r="L337" s="11"/>
      <c r="M337" s="11"/>
      <c r="N337" s="18" t="str">
        <f>IF(ISNUMBER(SEARCH("ANALOG",Table246[[#This Row],[Type]]))=TRUE,1,"")</f>
        <v/>
      </c>
      <c r="O337" s="18" t="str">
        <f>IF(ISNUMBER(SEARCH("BINARY",Table246[[#This Row],[Type]]))=TRUE,1,"")</f>
        <v/>
      </c>
      <c r="P337" s="7" t="str">
        <f>IF(Table246[[#This Row],[Type]]="","",LEFT(Table246[[#This Row],[Type]],1)&amp;LEFT(#REF!,1))</f>
        <v/>
      </c>
      <c r="Q337" s="18" t="str">
        <f>IF(Table246[[#This Row],[Type]]="","",LEFT(Table246[[#This Row],[Type]],1)&amp;LEFT(#REF!,1))</f>
        <v/>
      </c>
      <c r="R337" s="18"/>
      <c r="S337" s="7" t="str">
        <f>IF(Table246[[#This Row],[A Counter]]=1,"AI"&amp;#REF!+SUM($N$43:N337),IF(Table246[[#This Row],[B Counter]]=1,"BI"&amp;#REF!+SUM($O$43:O337),""))</f>
        <v/>
      </c>
      <c r="T337" s="26" t="s">
        <v>34</v>
      </c>
      <c r="U337" s="7"/>
    </row>
    <row r="338" spans="1:21" x14ac:dyDescent="0.25">
      <c r="A338">
        <f t="shared" si="8"/>
        <v>329</v>
      </c>
      <c r="B338" s="130" t="str">
        <f>IFERROR(RIGHT(Table246[[#This Row],[Controller Input '#]],3)*1,"")</f>
        <v/>
      </c>
      <c r="C338" s="99"/>
      <c r="D338" s="1"/>
      <c r="E338" s="11"/>
      <c r="F338" s="11"/>
      <c r="G338" s="11"/>
      <c r="H338" s="21"/>
      <c r="I338" s="11"/>
      <c r="J338" s="11"/>
      <c r="K338" s="11"/>
      <c r="L338" s="11"/>
      <c r="M338" s="11"/>
      <c r="N338" s="18" t="str">
        <f>IF(ISNUMBER(SEARCH("ANALOG",Table246[[#This Row],[Type]]))=TRUE,1,"")</f>
        <v/>
      </c>
      <c r="O338" s="18" t="str">
        <f>IF(ISNUMBER(SEARCH("BINARY",Table246[[#This Row],[Type]]))=TRUE,1,"")</f>
        <v/>
      </c>
      <c r="P338" s="7" t="str">
        <f>IF(Table246[[#This Row],[Type]]="","",LEFT(Table246[[#This Row],[Type]],1)&amp;LEFT(#REF!,1))</f>
        <v/>
      </c>
      <c r="Q338" s="18" t="str">
        <f>IF(Table246[[#This Row],[Type]]="","",LEFT(Table246[[#This Row],[Type]],1)&amp;LEFT(#REF!,1))</f>
        <v/>
      </c>
      <c r="R338" s="18"/>
      <c r="S338" s="7" t="str">
        <f>IF(Table246[[#This Row],[A Counter]]=1,"AI"&amp;#REF!+SUM($N$43:N338),IF(Table246[[#This Row],[B Counter]]=1,"BI"&amp;#REF!+SUM($O$43:O338),""))</f>
        <v/>
      </c>
      <c r="T338" s="26" t="s">
        <v>34</v>
      </c>
      <c r="U338" s="7"/>
    </row>
    <row r="339" spans="1:21" x14ac:dyDescent="0.25">
      <c r="A339">
        <f t="shared" si="8"/>
        <v>330</v>
      </c>
      <c r="B339" s="93" t="str">
        <f>IFERROR(RIGHT(Table246[[#This Row],[Controller Input '#]],3)*1,"")</f>
        <v/>
      </c>
      <c r="C339" s="99"/>
      <c r="D339" s="1"/>
      <c r="E339" s="23"/>
      <c r="F339" s="23"/>
      <c r="G339" s="23"/>
      <c r="H339" s="27"/>
      <c r="I339" s="23"/>
      <c r="J339" s="23"/>
      <c r="K339" s="23"/>
      <c r="L339" s="23"/>
      <c r="M339" s="23"/>
      <c r="N339" s="18" t="str">
        <f>IF(ISNUMBER(SEARCH("ANALOG",Table246[[#This Row],[Type]]))=TRUE,1,"")</f>
        <v/>
      </c>
      <c r="O339" s="18" t="str">
        <f>IF(ISNUMBER(SEARCH("BINARY",Table246[[#This Row],[Type]]))=TRUE,1,"")</f>
        <v/>
      </c>
      <c r="P339" s="7" t="str">
        <f>IF(Table246[[#This Row],[Type]]="","",LEFT(Table246[[#This Row],[Type]],1)&amp;LEFT(#REF!,1))</f>
        <v/>
      </c>
      <c r="Q339" s="18" t="str">
        <f>IF(Table246[[#This Row],[Type]]="","",LEFT(Table246[[#This Row],[Type]],1)&amp;LEFT(#REF!,1))</f>
        <v/>
      </c>
      <c r="R339" s="18"/>
      <c r="S339" s="7" t="str">
        <f>IF(Table246[[#This Row],[A Counter]]=1,"AI"&amp;#REF!+SUM($N$43:N339),IF(Table246[[#This Row],[B Counter]]=1,"BI"&amp;#REF!+SUM($O$43:O339),""))</f>
        <v/>
      </c>
      <c r="T339" s="28" t="s">
        <v>34</v>
      </c>
      <c r="U339" s="7"/>
    </row>
    <row r="340" spans="1:21" x14ac:dyDescent="0.25">
      <c r="A340">
        <f t="shared" si="8"/>
        <v>331</v>
      </c>
      <c r="B340" s="130" t="str">
        <f>IFERROR(RIGHT(Table246[[#This Row],[Controller Input '#]],3)*1,"")</f>
        <v/>
      </c>
      <c r="C340" s="99"/>
      <c r="D340" s="1"/>
      <c r="E340" s="11"/>
      <c r="F340" s="11"/>
      <c r="G340" s="11"/>
      <c r="H340" s="21"/>
      <c r="I340" s="11"/>
      <c r="J340" s="11"/>
      <c r="K340" s="11"/>
      <c r="L340" s="11"/>
      <c r="M340" s="11"/>
      <c r="N340" s="18" t="str">
        <f>IF(ISNUMBER(SEARCH("ANALOG",Table246[[#This Row],[Type]]))=TRUE,1,"")</f>
        <v/>
      </c>
      <c r="O340" s="18" t="str">
        <f>IF(ISNUMBER(SEARCH("BINARY",Table246[[#This Row],[Type]]))=TRUE,1,"")</f>
        <v/>
      </c>
      <c r="P340" s="7" t="str">
        <f>IF(Table246[[#This Row],[Type]]="","",LEFT(Table246[[#This Row],[Type]],1)&amp;LEFT(#REF!,1))</f>
        <v/>
      </c>
      <c r="Q340" s="18" t="str">
        <f>IF(Table246[[#This Row],[Type]]="","",LEFT(Table246[[#This Row],[Type]],1)&amp;LEFT(#REF!,1))</f>
        <v/>
      </c>
      <c r="R340" s="18"/>
      <c r="S340" s="7" t="str">
        <f>IF(Table246[[#This Row],[A Counter]]=1,"AI"&amp;#REF!+SUM($N$43:N340),IF(Table246[[#This Row],[B Counter]]=1,"BI"&amp;#REF!+SUM($O$43:O340),""))</f>
        <v/>
      </c>
      <c r="T340" s="26" t="s">
        <v>34</v>
      </c>
      <c r="U340" s="7"/>
    </row>
    <row r="341" spans="1:21" x14ac:dyDescent="0.25">
      <c r="A341">
        <f t="shared" si="8"/>
        <v>332</v>
      </c>
      <c r="B341" s="93" t="str">
        <f>IFERROR(RIGHT(Table246[[#This Row],[Controller Input '#]],3)*1,"")</f>
        <v/>
      </c>
      <c r="C341" s="99"/>
      <c r="D341" s="1"/>
      <c r="E341" s="1"/>
      <c r="F341" s="1"/>
      <c r="G341" s="1"/>
      <c r="H341" s="8"/>
      <c r="I341" s="1"/>
      <c r="J341" s="1"/>
      <c r="K341" s="1"/>
      <c r="L341" s="1"/>
      <c r="M341" s="1"/>
      <c r="N341" s="18" t="str">
        <f>IF(ISNUMBER(SEARCH("ANALOG",Table246[[#This Row],[Type]]))=TRUE,1,"")</f>
        <v/>
      </c>
      <c r="O341" s="18" t="str">
        <f>IF(ISNUMBER(SEARCH("BINARY",Table246[[#This Row],[Type]]))=TRUE,1,"")</f>
        <v/>
      </c>
      <c r="P341" s="7" t="str">
        <f>IF(Table246[[#This Row],[Type]]="","",LEFT(Table246[[#This Row],[Type]],1)&amp;LEFT(#REF!,1))</f>
        <v/>
      </c>
      <c r="Q341" s="18" t="str">
        <f>IF(Table246[[#This Row],[Type]]="","",LEFT(Table246[[#This Row],[Type]],1)&amp;LEFT(#REF!,1))</f>
        <v/>
      </c>
      <c r="R341" s="18"/>
      <c r="S341" s="7" t="str">
        <f>IF(Table246[[#This Row],[A Counter]]=1,"AI"&amp;#REF!+SUM($N$43:N341),IF(Table246[[#This Row],[B Counter]]=1,"BI"&amp;#REF!+SUM($O$43:O341),""))</f>
        <v/>
      </c>
      <c r="T341" s="18" t="s">
        <v>34</v>
      </c>
      <c r="U341" s="7"/>
    </row>
    <row r="342" spans="1:21" x14ac:dyDescent="0.25">
      <c r="A342">
        <f t="shared" si="8"/>
        <v>333</v>
      </c>
      <c r="B342" s="130" t="str">
        <f>IFERROR(RIGHT(Table246[[#This Row],[Controller Input '#]],3)*1,"")</f>
        <v/>
      </c>
      <c r="C342" s="99"/>
      <c r="D342" s="1"/>
      <c r="E342" s="1"/>
      <c r="F342" s="1"/>
      <c r="G342" s="1"/>
      <c r="H342" s="8"/>
      <c r="I342" s="1"/>
      <c r="J342" s="1"/>
      <c r="K342" s="1"/>
      <c r="L342" s="1"/>
      <c r="M342" s="1"/>
      <c r="N342" s="18" t="str">
        <f>IF(ISNUMBER(SEARCH("ANALOG",Table246[[#This Row],[Type]]))=TRUE,1,"")</f>
        <v/>
      </c>
      <c r="O342" s="18" t="str">
        <f>IF(ISNUMBER(SEARCH("BINARY",Table246[[#This Row],[Type]]))=TRUE,1,"")</f>
        <v/>
      </c>
      <c r="P342" s="7" t="str">
        <f>IF(Table246[[#This Row],[Type]]="","",LEFT(Table246[[#This Row],[Type]],1)&amp;LEFT(#REF!,1))</f>
        <v/>
      </c>
      <c r="Q342" s="18" t="str">
        <f>IF(Table246[[#This Row],[Type]]="","",LEFT(Table246[[#This Row],[Type]],1)&amp;LEFT(#REF!,1))</f>
        <v/>
      </c>
      <c r="R342" s="18"/>
      <c r="S342" s="7" t="str">
        <f>IF(Table246[[#This Row],[A Counter]]=1,"AI"&amp;#REF!+SUM($N$43:N342),IF(Table246[[#This Row],[B Counter]]=1,"BI"&amp;#REF!+SUM($O$43:O342),""))</f>
        <v/>
      </c>
      <c r="T342" s="18" t="s">
        <v>34</v>
      </c>
      <c r="U342" s="7"/>
    </row>
    <row r="343" spans="1:21" x14ac:dyDescent="0.25">
      <c r="A343">
        <f t="shared" si="8"/>
        <v>334</v>
      </c>
      <c r="B343" s="93" t="str">
        <f>IFERROR(RIGHT(Table246[[#This Row],[Controller Input '#]],3)*1,"")</f>
        <v/>
      </c>
      <c r="C343" s="98"/>
      <c r="D343" s="1"/>
      <c r="E343" s="1"/>
      <c r="F343" s="1"/>
      <c r="G343" s="1"/>
      <c r="H343" s="8"/>
      <c r="I343" s="1"/>
      <c r="J343" s="1"/>
      <c r="K343" s="1"/>
      <c r="L343" s="1"/>
      <c r="M343" s="1"/>
      <c r="N343" s="18" t="str">
        <f>IF(ISNUMBER(SEARCH("ANALOG",Table246[[#This Row],[Type]]))=TRUE,1,"")</f>
        <v/>
      </c>
      <c r="O343" s="18" t="str">
        <f>IF(ISNUMBER(SEARCH("BINARY",Table246[[#This Row],[Type]]))=TRUE,1,"")</f>
        <v/>
      </c>
      <c r="P343" s="7" t="str">
        <f>IF(Table246[[#This Row],[Type]]="","",LEFT(Table246[[#This Row],[Type]],1)&amp;LEFT(#REF!,1))</f>
        <v/>
      </c>
      <c r="Q343" s="18" t="str">
        <f>IF(Table246[[#This Row],[Type]]="","",LEFT(Table246[[#This Row],[Type]],1)&amp;LEFT(#REF!,1))</f>
        <v/>
      </c>
      <c r="R343" s="18"/>
      <c r="S343" s="7" t="str">
        <f>IF(Table246[[#This Row],[A Counter]]=1,"AI"&amp;#REF!+SUM($N$43:N343),IF(Table246[[#This Row],[B Counter]]=1,"BI"&amp;#REF!+SUM($O$43:O343),""))</f>
        <v/>
      </c>
      <c r="T343" s="18" t="s">
        <v>34</v>
      </c>
      <c r="U343" s="7"/>
    </row>
    <row r="344" spans="1:21" x14ac:dyDescent="0.25">
      <c r="A344">
        <f t="shared" si="8"/>
        <v>335</v>
      </c>
      <c r="B344" s="130" t="str">
        <f>IFERROR(RIGHT(Table246[[#This Row],[Controller Input '#]],3)*1,"")</f>
        <v/>
      </c>
      <c r="C344" s="98"/>
      <c r="D344" s="1"/>
      <c r="E344" s="1"/>
      <c r="F344" s="1"/>
      <c r="G344" s="11"/>
      <c r="H344" s="21"/>
      <c r="I344" s="1"/>
      <c r="J344" s="1"/>
      <c r="K344" s="1"/>
      <c r="L344" s="1"/>
      <c r="M344" s="1"/>
      <c r="N344" s="18" t="str">
        <f>IF(ISNUMBER(SEARCH("ANALOG",Table246[[#This Row],[Type]]))=TRUE,1,"")</f>
        <v/>
      </c>
      <c r="O344" s="18" t="str">
        <f>IF(ISNUMBER(SEARCH("BINARY",Table246[[#This Row],[Type]]))=TRUE,1,"")</f>
        <v/>
      </c>
      <c r="P344" s="7" t="str">
        <f>IF(Table246[[#This Row],[Type]]="","",LEFT(Table246[[#This Row],[Type]],1)&amp;LEFT(#REF!,1))</f>
        <v/>
      </c>
      <c r="Q344" s="18" t="str">
        <f>IF(Table246[[#This Row],[Type]]="","",LEFT(Table246[[#This Row],[Type]],1)&amp;LEFT(#REF!,1))</f>
        <v/>
      </c>
      <c r="R344" s="18"/>
      <c r="S344" s="7" t="str">
        <f>IF(Table246[[#This Row],[A Counter]]=1,"AI"&amp;#REF!+SUM($N$43:N344),IF(Table246[[#This Row],[B Counter]]=1,"BI"&amp;#REF!+SUM($O$43:O344),""))</f>
        <v/>
      </c>
      <c r="T344" s="18" t="s">
        <v>34</v>
      </c>
      <c r="U344" s="7"/>
    </row>
    <row r="345" spans="1:21" x14ac:dyDescent="0.25">
      <c r="A345">
        <f t="shared" si="8"/>
        <v>336</v>
      </c>
      <c r="B345" s="93" t="str">
        <f>IFERROR(RIGHT(Table246[[#This Row],[Controller Input '#]],3)*1,"")</f>
        <v/>
      </c>
      <c r="C345" s="98"/>
      <c r="D345" s="1"/>
      <c r="E345" s="1"/>
      <c r="F345" s="1"/>
      <c r="G345" s="11"/>
      <c r="H345" s="21"/>
      <c r="I345" s="1"/>
      <c r="J345" s="1"/>
      <c r="K345" s="1"/>
      <c r="L345" s="1"/>
      <c r="M345" s="1"/>
      <c r="N345" s="18" t="str">
        <f>IF(ISNUMBER(SEARCH("ANALOG",Table246[[#This Row],[Type]]))=TRUE,1,"")</f>
        <v/>
      </c>
      <c r="O345" s="18" t="str">
        <f>IF(ISNUMBER(SEARCH("BINARY",Table246[[#This Row],[Type]]))=TRUE,1,"")</f>
        <v/>
      </c>
      <c r="P345" s="7" t="str">
        <f>IF(Table246[[#This Row],[Type]]="","",LEFT(Table246[[#This Row],[Type]],1)&amp;LEFT(#REF!,1))</f>
        <v/>
      </c>
      <c r="Q345" s="18" t="str">
        <f>IF(Table246[[#This Row],[Type]]="","",LEFT(Table246[[#This Row],[Type]],1)&amp;LEFT(#REF!,1))</f>
        <v/>
      </c>
      <c r="R345" s="18"/>
      <c r="S345" s="7" t="str">
        <f>IF(Table246[[#This Row],[A Counter]]=1,"AI"&amp;#REF!+SUM($N$43:N345),IF(Table246[[#This Row],[B Counter]]=1,"BI"&amp;#REF!+SUM($O$43:O345),""))</f>
        <v/>
      </c>
      <c r="T345" s="18" t="s">
        <v>34</v>
      </c>
      <c r="U345" s="7"/>
    </row>
    <row r="346" spans="1:21" x14ac:dyDescent="0.25">
      <c r="A346">
        <f t="shared" si="8"/>
        <v>337</v>
      </c>
      <c r="B346" s="130" t="str">
        <f>IFERROR(RIGHT(Table246[[#This Row],[Controller Input '#]],3)*1,"")</f>
        <v/>
      </c>
      <c r="C346" s="98"/>
      <c r="D346" s="1"/>
      <c r="E346" s="1"/>
      <c r="F346" s="1"/>
      <c r="G346" s="11"/>
      <c r="H346" s="21"/>
      <c r="I346" s="1"/>
      <c r="J346" s="1"/>
      <c r="K346" s="1"/>
      <c r="L346" s="1"/>
      <c r="M346" s="1"/>
      <c r="N346" s="18" t="str">
        <f>IF(ISNUMBER(SEARCH("ANALOG",Table246[[#This Row],[Type]]))=TRUE,1,"")</f>
        <v/>
      </c>
      <c r="O346" s="18" t="str">
        <f>IF(ISNUMBER(SEARCH("BINARY",Table246[[#This Row],[Type]]))=TRUE,1,"")</f>
        <v/>
      </c>
      <c r="P346" s="7" t="str">
        <f>IF(Table246[[#This Row],[Type]]="","",LEFT(Table246[[#This Row],[Type]],1)&amp;LEFT(#REF!,1))</f>
        <v/>
      </c>
      <c r="Q346" s="18" t="str">
        <f>IF(Table246[[#This Row],[Type]]="","",LEFT(Table246[[#This Row],[Type]],1)&amp;LEFT(#REF!,1))</f>
        <v/>
      </c>
      <c r="R346" s="18"/>
      <c r="S346" s="7" t="str">
        <f>IF(Table246[[#This Row],[A Counter]]=1,"AI"&amp;#REF!+SUM($N$43:N346),IF(Table246[[#This Row],[B Counter]]=1,"BI"&amp;#REF!+SUM($O$43:O346),""))</f>
        <v/>
      </c>
      <c r="T346" s="18" t="s">
        <v>34</v>
      </c>
      <c r="U346" s="7"/>
    </row>
    <row r="347" spans="1:21" x14ac:dyDescent="0.25">
      <c r="A347">
        <f t="shared" si="8"/>
        <v>338</v>
      </c>
      <c r="B347" s="93" t="str">
        <f>IFERROR(RIGHT(Table246[[#This Row],[Controller Input '#]],3)*1,"")</f>
        <v/>
      </c>
      <c r="C347" s="98"/>
      <c r="D347" s="1"/>
      <c r="E347" s="1"/>
      <c r="F347" s="1"/>
      <c r="G347" s="11"/>
      <c r="H347" s="21"/>
      <c r="I347" s="1"/>
      <c r="J347" s="1"/>
      <c r="K347" s="1"/>
      <c r="L347" s="1"/>
      <c r="M347" s="1"/>
      <c r="N347" s="18" t="str">
        <f>IF(ISNUMBER(SEARCH("ANALOG",Table246[[#This Row],[Type]]))=TRUE,1,"")</f>
        <v/>
      </c>
      <c r="O347" s="18" t="str">
        <f>IF(ISNUMBER(SEARCH("BINARY",Table246[[#This Row],[Type]]))=TRUE,1,"")</f>
        <v/>
      </c>
      <c r="P347" s="7" t="str">
        <f>IF(Table246[[#This Row],[Type]]="","",LEFT(Table246[[#This Row],[Type]],1)&amp;LEFT(#REF!,1))</f>
        <v/>
      </c>
      <c r="Q347" s="18" t="str">
        <f>IF(Table246[[#This Row],[Type]]="","",LEFT(Table246[[#This Row],[Type]],1)&amp;LEFT(#REF!,1))</f>
        <v/>
      </c>
      <c r="R347" s="18"/>
      <c r="S347" s="7" t="str">
        <f>IF(Table246[[#This Row],[A Counter]]=1,"AI"&amp;#REF!+SUM($N$43:N347),IF(Table246[[#This Row],[B Counter]]=1,"BI"&amp;#REF!+SUM($O$43:O347),""))</f>
        <v/>
      </c>
      <c r="T347" s="18" t="s">
        <v>34</v>
      </c>
      <c r="U347" s="7"/>
    </row>
    <row r="348" spans="1:21" x14ac:dyDescent="0.25">
      <c r="A348">
        <f t="shared" si="8"/>
        <v>339</v>
      </c>
      <c r="B348" s="130" t="str">
        <f>IFERROR(RIGHT(Table246[[#This Row],[Controller Input '#]],3)*1,"")</f>
        <v/>
      </c>
      <c r="C348" s="98"/>
      <c r="D348" s="1"/>
      <c r="E348" s="1"/>
      <c r="F348" s="1"/>
      <c r="G348" s="1"/>
      <c r="H348" s="8"/>
      <c r="I348" s="1"/>
      <c r="J348" s="1"/>
      <c r="K348" s="1"/>
      <c r="L348" s="1"/>
      <c r="M348" s="1"/>
      <c r="N348" s="18" t="str">
        <f>IF(ISNUMBER(SEARCH("ANALOG",Table246[[#This Row],[Type]]))=TRUE,1,"")</f>
        <v/>
      </c>
      <c r="O348" s="18" t="str">
        <f>IF(ISNUMBER(SEARCH("BINARY",Table246[[#This Row],[Type]]))=TRUE,1,"")</f>
        <v/>
      </c>
      <c r="P348" s="7" t="str">
        <f>IF(Table246[[#This Row],[Type]]="","",LEFT(Table246[[#This Row],[Type]],1)&amp;LEFT(#REF!,1))</f>
        <v/>
      </c>
      <c r="Q348" s="18" t="str">
        <f>IF(Table246[[#This Row],[Type]]="","",LEFT(Table246[[#This Row],[Type]],1)&amp;LEFT(#REF!,1))</f>
        <v/>
      </c>
      <c r="R348" s="18"/>
      <c r="S348" s="7" t="str">
        <f>IF(Table246[[#This Row],[A Counter]]=1,"AI"&amp;#REF!+SUM($N$43:N348),IF(Table246[[#This Row],[B Counter]]=1,"BI"&amp;#REF!+SUM($O$43:O348),""))</f>
        <v/>
      </c>
      <c r="T348" s="18" t="s">
        <v>34</v>
      </c>
      <c r="U348" s="7"/>
    </row>
    <row r="349" spans="1:21" x14ac:dyDescent="0.25">
      <c r="A349">
        <f t="shared" si="8"/>
        <v>340</v>
      </c>
      <c r="B349" s="93" t="str">
        <f>IFERROR(RIGHT(Table246[[#This Row],[Controller Input '#]],3)*1,"")</f>
        <v/>
      </c>
      <c r="C349" s="99"/>
      <c r="D349" s="1"/>
      <c r="E349" s="1"/>
      <c r="F349" s="1"/>
      <c r="G349" s="1"/>
      <c r="H349" s="8"/>
      <c r="I349" s="1"/>
      <c r="J349" s="1"/>
      <c r="K349" s="1"/>
      <c r="L349" s="1"/>
      <c r="M349" s="1"/>
      <c r="N349" s="18" t="str">
        <f>IF(ISNUMBER(SEARCH("ANALOG",Table246[[#This Row],[Type]]))=TRUE,1,"")</f>
        <v/>
      </c>
      <c r="O349" s="18" t="str">
        <f>IF(ISNUMBER(SEARCH("BINARY",Table246[[#This Row],[Type]]))=TRUE,1,"")</f>
        <v/>
      </c>
      <c r="P349" s="7" t="str">
        <f>IF(Table246[[#This Row],[Type]]="","",LEFT(Table246[[#This Row],[Type]],1)&amp;LEFT(#REF!,1))</f>
        <v/>
      </c>
      <c r="Q349" s="18" t="str">
        <f>IF(Table246[[#This Row],[Type]]="","",LEFT(Table246[[#This Row],[Type]],1)&amp;LEFT(#REF!,1))</f>
        <v/>
      </c>
      <c r="R349" s="18"/>
      <c r="S349" s="7" t="str">
        <f>IF(Table246[[#This Row],[A Counter]]=1,"AI"&amp;#REF!+SUM($N$43:N349),IF(Table246[[#This Row],[B Counter]]=1,"BI"&amp;#REF!+SUM($O$43:O349),""))</f>
        <v/>
      </c>
      <c r="T349" s="18" t="s">
        <v>34</v>
      </c>
      <c r="U349" s="7"/>
    </row>
    <row r="350" spans="1:21" x14ac:dyDescent="0.25">
      <c r="A350">
        <f t="shared" si="8"/>
        <v>341</v>
      </c>
      <c r="B350" s="130" t="str">
        <f>IFERROR(RIGHT(Table246[[#This Row],[Controller Input '#]],3)*1,"")</f>
        <v/>
      </c>
      <c r="C350" s="99"/>
      <c r="D350" s="1"/>
      <c r="E350" s="1"/>
      <c r="F350" s="1"/>
      <c r="G350" s="1"/>
      <c r="H350" s="8"/>
      <c r="I350" s="1"/>
      <c r="J350" s="1"/>
      <c r="K350" s="1"/>
      <c r="L350" s="1"/>
      <c r="M350" s="1"/>
      <c r="N350" s="18" t="str">
        <f>IF(ISNUMBER(SEARCH("ANALOG",Table246[[#This Row],[Type]]))=TRUE,1,"")</f>
        <v/>
      </c>
      <c r="O350" s="18" t="str">
        <f>IF(ISNUMBER(SEARCH("BINARY",Table246[[#This Row],[Type]]))=TRUE,1,"")</f>
        <v/>
      </c>
      <c r="P350" s="7" t="str">
        <f>IF(Table246[[#This Row],[Type]]="","",LEFT(Table246[[#This Row],[Type]],1)&amp;LEFT(#REF!,1))</f>
        <v/>
      </c>
      <c r="Q350" s="18" t="str">
        <f>IF(Table246[[#This Row],[Type]]="","",LEFT(Table246[[#This Row],[Type]],1)&amp;LEFT(#REF!,1))</f>
        <v/>
      </c>
      <c r="R350" s="18"/>
      <c r="S350" s="7" t="str">
        <f>IF(Table246[[#This Row],[A Counter]]=1,"AI"&amp;#REF!+SUM($N$43:N350),IF(Table246[[#This Row],[B Counter]]=1,"BI"&amp;#REF!+SUM($O$43:O350),""))</f>
        <v/>
      </c>
      <c r="T350" s="18" t="s">
        <v>34</v>
      </c>
      <c r="U350" s="7"/>
    </row>
    <row r="351" spans="1:21" x14ac:dyDescent="0.25">
      <c r="A351">
        <f t="shared" si="8"/>
        <v>342</v>
      </c>
      <c r="B351" s="93" t="str">
        <f>IFERROR(RIGHT(Table246[[#This Row],[Controller Input '#]],3)*1,"")</f>
        <v/>
      </c>
      <c r="C351" s="98"/>
      <c r="D351" s="1"/>
      <c r="E351" s="11"/>
      <c r="F351" s="11"/>
      <c r="G351" s="11"/>
      <c r="H351" s="21"/>
      <c r="I351" s="11"/>
      <c r="J351" s="11"/>
      <c r="K351" s="11"/>
      <c r="L351" s="11"/>
      <c r="M351" s="1"/>
      <c r="N351" s="18" t="str">
        <f>IF(ISNUMBER(SEARCH("ANALOG",Table246[[#This Row],[Type]]))=TRUE,1,"")</f>
        <v/>
      </c>
      <c r="O351" s="18" t="str">
        <f>IF(ISNUMBER(SEARCH("BINARY",Table246[[#This Row],[Type]]))=TRUE,1,"")</f>
        <v/>
      </c>
      <c r="P351" s="7" t="str">
        <f>IF(Table246[[#This Row],[Type]]="","",LEFT(Table246[[#This Row],[Type]],1)&amp;LEFT(#REF!,1))</f>
        <v/>
      </c>
      <c r="Q351" s="18" t="str">
        <f>IF(Table246[[#This Row],[Type]]="","",LEFT(Table246[[#This Row],[Type]],1)&amp;LEFT(#REF!,1))</f>
        <v/>
      </c>
      <c r="R351" s="18"/>
      <c r="S351" s="7" t="str">
        <f>IF(Table246[[#This Row],[A Counter]]=1,"AI"&amp;#REF!+SUM($N$43:N351),IF(Table246[[#This Row],[B Counter]]=1,"BI"&amp;#REF!+SUM($O$43:O351),""))</f>
        <v/>
      </c>
      <c r="T351" s="18" t="s">
        <v>34</v>
      </c>
      <c r="U351" s="7"/>
    </row>
    <row r="352" spans="1:21" x14ac:dyDescent="0.25">
      <c r="A352">
        <f t="shared" si="8"/>
        <v>343</v>
      </c>
      <c r="B352" s="130" t="str">
        <f>IFERROR(RIGHT(Table246[[#This Row],[Controller Input '#]],3)*1,"")</f>
        <v/>
      </c>
      <c r="C352" s="98"/>
      <c r="D352" s="1"/>
      <c r="E352" s="11"/>
      <c r="F352" s="11"/>
      <c r="G352" s="11"/>
      <c r="H352" s="21"/>
      <c r="I352" s="11"/>
      <c r="J352" s="11"/>
      <c r="K352" s="11"/>
      <c r="L352" s="11"/>
      <c r="M352" s="1"/>
      <c r="N352" s="18" t="str">
        <f>IF(ISNUMBER(SEARCH("ANALOG",Table246[[#This Row],[Type]]))=TRUE,1,"")</f>
        <v/>
      </c>
      <c r="O352" s="18" t="str">
        <f>IF(ISNUMBER(SEARCH("BINARY",Table246[[#This Row],[Type]]))=TRUE,1,"")</f>
        <v/>
      </c>
      <c r="P352" s="7" t="str">
        <f>IF(Table246[[#This Row],[Type]]="","",LEFT(Table246[[#This Row],[Type]],1)&amp;LEFT(#REF!,1))</f>
        <v/>
      </c>
      <c r="Q352" s="18" t="str">
        <f>IF(Table246[[#This Row],[Type]]="","",LEFT(Table246[[#This Row],[Type]],1)&amp;LEFT(#REF!,1))</f>
        <v/>
      </c>
      <c r="R352" s="18"/>
      <c r="S352" s="7" t="str">
        <f>IF(Table246[[#This Row],[A Counter]]=1,"AI"&amp;#REF!+SUM($N$43:N352),IF(Table246[[#This Row],[B Counter]]=1,"BI"&amp;#REF!+SUM($O$43:O352),""))</f>
        <v/>
      </c>
      <c r="T352" s="18" t="s">
        <v>34</v>
      </c>
      <c r="U352" s="7"/>
    </row>
    <row r="353" spans="1:21" x14ac:dyDescent="0.25">
      <c r="A353">
        <f t="shared" si="8"/>
        <v>344</v>
      </c>
      <c r="B353" s="93" t="str">
        <f>IFERROR(RIGHT(Table246[[#This Row],[Controller Input '#]],3)*1,"")</f>
        <v/>
      </c>
      <c r="C353" s="99"/>
      <c r="D353" s="1"/>
      <c r="E353" s="11"/>
      <c r="F353" s="11"/>
      <c r="G353" s="11"/>
      <c r="H353" s="21"/>
      <c r="I353" s="11"/>
      <c r="J353" s="11"/>
      <c r="K353" s="11"/>
      <c r="L353" s="11"/>
      <c r="M353" s="1"/>
      <c r="N353" s="18" t="str">
        <f>IF(ISNUMBER(SEARCH("ANALOG",Table246[[#This Row],[Type]]))=TRUE,1,"")</f>
        <v/>
      </c>
      <c r="O353" s="18" t="str">
        <f>IF(ISNUMBER(SEARCH("BINARY",Table246[[#This Row],[Type]]))=TRUE,1,"")</f>
        <v/>
      </c>
      <c r="P353" s="7" t="str">
        <f>IF(Table246[[#This Row],[Type]]="","",LEFT(Table246[[#This Row],[Type]],1)&amp;LEFT(#REF!,1))</f>
        <v/>
      </c>
      <c r="Q353" s="18" t="str">
        <f>IF(Table246[[#This Row],[Type]]="","",LEFT(Table246[[#This Row],[Type]],1)&amp;LEFT(#REF!,1))</f>
        <v/>
      </c>
      <c r="R353" s="18"/>
      <c r="S353" s="7" t="str">
        <f>IF(Table246[[#This Row],[A Counter]]=1,"AI"&amp;#REF!+SUM($N$43:N353),IF(Table246[[#This Row],[B Counter]]=1,"BI"&amp;#REF!+SUM($O$43:O353),""))</f>
        <v/>
      </c>
      <c r="T353" s="18" t="s">
        <v>34</v>
      </c>
      <c r="U353" s="7"/>
    </row>
    <row r="354" spans="1:21" x14ac:dyDescent="0.25">
      <c r="A354">
        <f t="shared" si="8"/>
        <v>345</v>
      </c>
      <c r="B354" s="130" t="str">
        <f>IFERROR(RIGHT(Table246[[#This Row],[Controller Input '#]],3)*1,"")</f>
        <v/>
      </c>
      <c r="C354" s="99"/>
      <c r="D354" s="1"/>
      <c r="E354" s="11"/>
      <c r="F354" s="11"/>
      <c r="G354" s="11"/>
      <c r="H354" s="21"/>
      <c r="I354" s="11"/>
      <c r="J354" s="11"/>
      <c r="K354" s="11"/>
      <c r="L354" s="11"/>
      <c r="M354" s="1" t="s">
        <v>142</v>
      </c>
      <c r="N354" s="18" t="str">
        <f>IF(ISNUMBER(SEARCH("ANALOG",Table246[[#This Row],[Type]]))=TRUE,1,"")</f>
        <v/>
      </c>
      <c r="O354" s="18" t="str">
        <f>IF(ISNUMBER(SEARCH("BINARY",Table246[[#This Row],[Type]]))=TRUE,1,"")</f>
        <v/>
      </c>
      <c r="P354" s="7" t="str">
        <f>IF(Table246[[#This Row],[Type]]="","",LEFT(Table246[[#This Row],[Type]],1)&amp;LEFT(#REF!,1))</f>
        <v/>
      </c>
      <c r="Q354" s="18" t="str">
        <f>IF(Table246[[#This Row],[Type]]="","",LEFT(Table246[[#This Row],[Type]],1)&amp;LEFT(#REF!,1))</f>
        <v/>
      </c>
      <c r="R354" s="18"/>
      <c r="S354" s="7" t="str">
        <f>IF(Table246[[#This Row],[A Counter]]=1,"AI"&amp;#REF!+SUM($N$43:N354),IF(Table246[[#This Row],[B Counter]]=1,"BI"&amp;#REF!+SUM($O$43:O354),""))</f>
        <v/>
      </c>
      <c r="T354" s="18" t="s">
        <v>34</v>
      </c>
      <c r="U354" s="7"/>
    </row>
    <row r="355" spans="1:21" x14ac:dyDescent="0.25">
      <c r="A355">
        <f t="shared" ref="A355:A418" si="9">A354+1</f>
        <v>346</v>
      </c>
      <c r="B355" s="93" t="str">
        <f>IFERROR(RIGHT(Table246[[#This Row],[Controller Input '#]],3)*1,"")</f>
        <v/>
      </c>
      <c r="C355" s="99"/>
      <c r="D355" s="1"/>
      <c r="E355" s="11"/>
      <c r="F355" s="11"/>
      <c r="G355" s="11"/>
      <c r="H355" s="21"/>
      <c r="I355" s="11"/>
      <c r="J355" s="11"/>
      <c r="K355" s="11"/>
      <c r="L355" s="11"/>
      <c r="M355" s="1" t="s">
        <v>142</v>
      </c>
      <c r="N355" s="18" t="str">
        <f>IF(ISNUMBER(SEARCH("ANALOG",Table246[[#This Row],[Type]]))=TRUE,1,"")</f>
        <v/>
      </c>
      <c r="O355" s="18" t="str">
        <f>IF(ISNUMBER(SEARCH("BINARY",Table246[[#This Row],[Type]]))=TRUE,1,"")</f>
        <v/>
      </c>
      <c r="P355" s="7" t="str">
        <f>IF(Table246[[#This Row],[Type]]="","",LEFT(Table246[[#This Row],[Type]],1)&amp;LEFT(#REF!,1))</f>
        <v/>
      </c>
      <c r="Q355" s="18" t="str">
        <f>IF(Table246[[#This Row],[Type]]="","",LEFT(Table246[[#This Row],[Type]],1)&amp;LEFT(#REF!,1))</f>
        <v/>
      </c>
      <c r="R355" s="18"/>
      <c r="S355" s="7" t="str">
        <f>IF(Table246[[#This Row],[A Counter]]=1,"AI"&amp;#REF!+SUM($N$43:N355),IF(Table246[[#This Row],[B Counter]]=1,"BI"&amp;#REF!+SUM($O$43:O355),""))</f>
        <v/>
      </c>
      <c r="T355" s="18" t="s">
        <v>34</v>
      </c>
      <c r="U355" s="7"/>
    </row>
    <row r="356" spans="1:21" x14ac:dyDescent="0.25">
      <c r="A356">
        <f t="shared" si="9"/>
        <v>347</v>
      </c>
      <c r="B356" s="130" t="str">
        <f>IFERROR(RIGHT(Table246[[#This Row],[Controller Input '#]],3)*1,"")</f>
        <v/>
      </c>
      <c r="C356" s="99"/>
      <c r="D356" s="1"/>
      <c r="E356" s="11"/>
      <c r="F356" s="11"/>
      <c r="G356" s="11"/>
      <c r="H356" s="21"/>
      <c r="I356" s="11"/>
      <c r="J356" s="11"/>
      <c r="K356" s="11"/>
      <c r="L356" s="11"/>
      <c r="M356" s="1"/>
      <c r="N356" s="18" t="str">
        <f>IF(ISNUMBER(SEARCH("ANALOG",Table246[[#This Row],[Type]]))=TRUE,1,"")</f>
        <v/>
      </c>
      <c r="O356" s="18" t="str">
        <f>IF(ISNUMBER(SEARCH("BINARY",Table246[[#This Row],[Type]]))=TRUE,1,"")</f>
        <v/>
      </c>
      <c r="P356" s="7" t="str">
        <f>IF(Table246[[#This Row],[Type]]="","",LEFT(Table246[[#This Row],[Type]],1)&amp;LEFT(#REF!,1))</f>
        <v/>
      </c>
      <c r="Q356" s="18" t="str">
        <f>IF(Table246[[#This Row],[Type]]="","",LEFT(Table246[[#This Row],[Type]],1)&amp;LEFT(#REF!,1))</f>
        <v/>
      </c>
      <c r="R356" s="18"/>
      <c r="S356" s="7" t="str">
        <f>IF(Table246[[#This Row],[A Counter]]=1,"AI"&amp;#REF!+SUM($N$43:N356),IF(Table246[[#This Row],[B Counter]]=1,"BI"&amp;#REF!+SUM($O$43:O356),""))</f>
        <v/>
      </c>
      <c r="T356" s="18"/>
      <c r="U356" s="7"/>
    </row>
    <row r="357" spans="1:21" x14ac:dyDescent="0.25">
      <c r="A357">
        <f t="shared" si="9"/>
        <v>348</v>
      </c>
      <c r="B357" s="93" t="str">
        <f>IFERROR(RIGHT(Table246[[#This Row],[Controller Input '#]],3)*1,"")</f>
        <v/>
      </c>
      <c r="C357" s="99"/>
      <c r="D357" s="1"/>
      <c r="E357" s="11"/>
      <c r="F357" s="11"/>
      <c r="G357" s="11"/>
      <c r="H357" s="21"/>
      <c r="I357" s="11"/>
      <c r="J357" s="11"/>
      <c r="K357" s="11"/>
      <c r="L357" s="11"/>
      <c r="M357" s="1"/>
      <c r="N357" s="18" t="str">
        <f>IF(ISNUMBER(SEARCH("ANALOG",Table246[[#This Row],[Type]]))=TRUE,1,"")</f>
        <v/>
      </c>
      <c r="O357" s="18" t="str">
        <f>IF(ISNUMBER(SEARCH("BINARY",Table246[[#This Row],[Type]]))=TRUE,1,"")</f>
        <v/>
      </c>
      <c r="P357" s="7" t="str">
        <f>IF(Table246[[#This Row],[Type]]="","",LEFT(Table246[[#This Row],[Type]],1)&amp;LEFT(#REF!,1))</f>
        <v/>
      </c>
      <c r="Q357" s="18" t="str">
        <f>IF(Table246[[#This Row],[Type]]="","",LEFT(Table246[[#This Row],[Type]],1)&amp;LEFT(#REF!,1))</f>
        <v/>
      </c>
      <c r="R357" s="18"/>
      <c r="S357" s="7" t="str">
        <f>IF(Table246[[#This Row],[A Counter]]=1,"AI"&amp;#REF!+SUM($N$43:N357),IF(Table246[[#This Row],[B Counter]]=1,"BI"&amp;#REF!+SUM($O$43:O357),""))</f>
        <v/>
      </c>
      <c r="T357" s="18"/>
      <c r="U357" s="7"/>
    </row>
    <row r="358" spans="1:21" x14ac:dyDescent="0.25">
      <c r="A358">
        <f t="shared" si="9"/>
        <v>349</v>
      </c>
      <c r="B358" s="130" t="str">
        <f>IFERROR(RIGHT(Table246[[#This Row],[Controller Input '#]],3)*1,"")</f>
        <v/>
      </c>
      <c r="C358" s="99"/>
      <c r="D358" s="1"/>
      <c r="E358" s="11"/>
      <c r="F358" s="11"/>
      <c r="G358" s="11"/>
      <c r="H358" s="21"/>
      <c r="I358" s="11"/>
      <c r="J358" s="11"/>
      <c r="K358" s="11"/>
      <c r="L358" s="11"/>
      <c r="M358" s="1"/>
      <c r="N358" s="18" t="str">
        <f>IF(ISNUMBER(SEARCH("ANALOG",Table246[[#This Row],[Type]]))=TRUE,1,"")</f>
        <v/>
      </c>
      <c r="O358" s="18" t="str">
        <f>IF(ISNUMBER(SEARCH("BINARY",Table246[[#This Row],[Type]]))=TRUE,1,"")</f>
        <v/>
      </c>
      <c r="P358" s="7" t="str">
        <f>IF(Table246[[#This Row],[Type]]="","",LEFT(Table246[[#This Row],[Type]],1)&amp;LEFT(#REF!,1))</f>
        <v/>
      </c>
      <c r="Q358" s="18" t="str">
        <f>IF(Table246[[#This Row],[Type]]="","",LEFT(Table246[[#This Row],[Type]],1)&amp;LEFT(#REF!,1))</f>
        <v/>
      </c>
      <c r="R358" s="18"/>
      <c r="S358" s="7" t="str">
        <f>IF(Table246[[#This Row],[A Counter]]=1,"AI"&amp;#REF!+SUM($N$43:N358),IF(Table246[[#This Row],[B Counter]]=1,"BI"&amp;#REF!+SUM($O$43:O358),""))</f>
        <v/>
      </c>
      <c r="T358" s="18"/>
      <c r="U358" s="68"/>
    </row>
    <row r="359" spans="1:21" x14ac:dyDescent="0.25">
      <c r="A359">
        <f t="shared" si="9"/>
        <v>350</v>
      </c>
      <c r="B359" s="93" t="str">
        <f>IFERROR(RIGHT(Table246[[#This Row],[Controller Input '#]],3)*1,"")</f>
        <v/>
      </c>
      <c r="C359" s="99"/>
      <c r="D359" s="1"/>
      <c r="E359" s="11"/>
      <c r="F359" s="11"/>
      <c r="G359" s="11"/>
      <c r="H359" s="21"/>
      <c r="I359" s="11"/>
      <c r="J359" s="11"/>
      <c r="K359" s="11"/>
      <c r="L359" s="11"/>
      <c r="M359" s="1"/>
      <c r="N359" s="18" t="str">
        <f>IF(ISNUMBER(SEARCH("ANALOG",Table246[[#This Row],[Type]]))=TRUE,1,"")</f>
        <v/>
      </c>
      <c r="O359" s="18" t="str">
        <f>IF(ISNUMBER(SEARCH("BINARY",Table246[[#This Row],[Type]]))=TRUE,1,"")</f>
        <v/>
      </c>
      <c r="P359" s="7" t="str">
        <f>IF(Table246[[#This Row],[Type]]="","",LEFT(Table246[[#This Row],[Type]],1)&amp;LEFT(#REF!,1))</f>
        <v/>
      </c>
      <c r="Q359" s="18" t="str">
        <f>IF(Table246[[#This Row],[Type]]="","",LEFT(Table246[[#This Row],[Type]],1)&amp;LEFT(#REF!,1))</f>
        <v/>
      </c>
      <c r="R359" s="18"/>
      <c r="S359" s="7" t="str">
        <f>IF(Table246[[#This Row],[A Counter]]=1,"AI"&amp;#REF!+SUM($N$43:N359),IF(Table246[[#This Row],[B Counter]]=1,"BI"&amp;#REF!+SUM($O$43:O359),""))</f>
        <v/>
      </c>
      <c r="T359" s="18"/>
      <c r="U359" s="68"/>
    </row>
    <row r="360" spans="1:21" x14ac:dyDescent="0.25">
      <c r="A360">
        <f t="shared" si="9"/>
        <v>351</v>
      </c>
      <c r="B360" s="130" t="str">
        <f>IFERROR(RIGHT(Table246[[#This Row],[Controller Input '#]],3)*1,"")</f>
        <v/>
      </c>
      <c r="C360" s="99"/>
      <c r="D360" s="1"/>
      <c r="E360" s="11"/>
      <c r="F360" s="11"/>
      <c r="G360" s="11"/>
      <c r="H360" s="21"/>
      <c r="I360" s="11"/>
      <c r="J360" s="11"/>
      <c r="K360" s="11"/>
      <c r="L360" s="11"/>
      <c r="M360" s="1"/>
      <c r="N360" s="18" t="str">
        <f>IF(ISNUMBER(SEARCH("ANALOG",Table246[[#This Row],[Type]]))=TRUE,1,"")</f>
        <v/>
      </c>
      <c r="O360" s="18" t="str">
        <f>IF(ISNUMBER(SEARCH("BINARY",Table246[[#This Row],[Type]]))=TRUE,1,"")</f>
        <v/>
      </c>
      <c r="P360" s="7" t="str">
        <f>IF(Table246[[#This Row],[Type]]="","",LEFT(Table246[[#This Row],[Type]],1)&amp;LEFT(#REF!,1))</f>
        <v/>
      </c>
      <c r="Q360" s="18" t="str">
        <f>IF(Table246[[#This Row],[Type]]="","",LEFT(Table246[[#This Row],[Type]],1)&amp;LEFT(#REF!,1))</f>
        <v/>
      </c>
      <c r="R360" s="18"/>
      <c r="S360" s="7" t="str">
        <f>IF(Table246[[#This Row],[A Counter]]=1,"AI"&amp;#REF!+SUM($N$43:N360),IF(Table246[[#This Row],[B Counter]]=1,"BI"&amp;#REF!+SUM($O$43:O360),""))</f>
        <v/>
      </c>
      <c r="T360" s="18"/>
      <c r="U360" s="68"/>
    </row>
    <row r="361" spans="1:21" x14ac:dyDescent="0.25">
      <c r="A361">
        <f t="shared" si="9"/>
        <v>352</v>
      </c>
      <c r="B361" s="93" t="str">
        <f>IFERROR(RIGHT(Table246[[#This Row],[Controller Input '#]],3)*1,"")</f>
        <v/>
      </c>
      <c r="C361" s="98"/>
      <c r="D361" s="1"/>
      <c r="E361" s="11"/>
      <c r="F361" s="11"/>
      <c r="G361" s="11"/>
      <c r="H361" s="21"/>
      <c r="I361" s="11"/>
      <c r="J361" s="11"/>
      <c r="K361" s="11"/>
      <c r="L361" s="11"/>
      <c r="M361" s="1"/>
      <c r="N361" s="18" t="str">
        <f>IF(ISNUMBER(SEARCH("ANALOG",Table246[[#This Row],[Type]]))=TRUE,1,"")</f>
        <v/>
      </c>
      <c r="O361" s="18" t="str">
        <f>IF(ISNUMBER(SEARCH("BINARY",Table246[[#This Row],[Type]]))=TRUE,1,"")</f>
        <v/>
      </c>
      <c r="P361" s="7" t="str">
        <f>IF(Table246[[#This Row],[Type]]="","",LEFT(Table246[[#This Row],[Type]],1)&amp;LEFT(#REF!,1))</f>
        <v/>
      </c>
      <c r="Q361" s="18" t="str">
        <f>IF(Table246[[#This Row],[Type]]="","",LEFT(Table246[[#This Row],[Type]],1)&amp;LEFT(#REF!,1))</f>
        <v/>
      </c>
      <c r="R361" s="18"/>
      <c r="S361" s="7" t="str">
        <f>IF(Table246[[#This Row],[A Counter]]=1,"AI"&amp;#REF!+SUM($N$43:N361),IF(Table246[[#This Row],[B Counter]]=1,"BI"&amp;#REF!+SUM($O$43:O361),""))</f>
        <v/>
      </c>
      <c r="T361" s="18"/>
      <c r="U361" s="69"/>
    </row>
    <row r="362" spans="1:21" x14ac:dyDescent="0.25">
      <c r="A362">
        <f t="shared" si="9"/>
        <v>353</v>
      </c>
      <c r="B362" s="130" t="str">
        <f>IFERROR(RIGHT(Table246[[#This Row],[Controller Input '#]],3)*1,"")</f>
        <v/>
      </c>
      <c r="C362" s="99"/>
      <c r="D362" s="1"/>
      <c r="E362" s="11"/>
      <c r="F362" s="11"/>
      <c r="G362" s="11"/>
      <c r="H362" s="21"/>
      <c r="I362" s="11"/>
      <c r="J362" s="11"/>
      <c r="K362" s="11"/>
      <c r="L362" s="11"/>
      <c r="M362" s="1"/>
      <c r="N362" s="18" t="str">
        <f>IF(ISNUMBER(SEARCH("ANALOG",Table246[[#This Row],[Type]]))=TRUE,1,"")</f>
        <v/>
      </c>
      <c r="O362" s="18" t="str">
        <f>IF(ISNUMBER(SEARCH("BINARY",Table246[[#This Row],[Type]]))=TRUE,1,"")</f>
        <v/>
      </c>
      <c r="P362" s="7" t="str">
        <f>IF(Table246[[#This Row],[Type]]="","",LEFT(Table246[[#This Row],[Type]],1)&amp;LEFT(#REF!,1))</f>
        <v/>
      </c>
      <c r="Q362" s="18" t="str">
        <f>IF(Table246[[#This Row],[Type]]="","",LEFT(Table246[[#This Row],[Type]],1)&amp;LEFT(#REF!,1))</f>
        <v/>
      </c>
      <c r="R362" s="18"/>
      <c r="S362" s="7" t="str">
        <f>IF(Table246[[#This Row],[A Counter]]=1,"AI"&amp;#REF!+SUM($N$43:N362),IF(Table246[[#This Row],[B Counter]]=1,"BI"&amp;#REF!+SUM($O$43:O362),""))</f>
        <v/>
      </c>
      <c r="T362" s="18"/>
      <c r="U362" s="68"/>
    </row>
    <row r="363" spans="1:21" x14ac:dyDescent="0.25">
      <c r="A363">
        <f t="shared" si="9"/>
        <v>354</v>
      </c>
      <c r="B363" s="93" t="str">
        <f>IFERROR(RIGHT(Table246[[#This Row],[Controller Input '#]],3)*1,"")</f>
        <v/>
      </c>
      <c r="C363" s="99"/>
      <c r="D363" s="1"/>
      <c r="E363" s="11"/>
      <c r="F363" s="11"/>
      <c r="G363" s="11"/>
      <c r="H363" s="21"/>
      <c r="I363" s="11"/>
      <c r="J363" s="11"/>
      <c r="K363" s="11"/>
      <c r="L363" s="11"/>
      <c r="M363" s="1"/>
      <c r="N363" s="18" t="str">
        <f>IF(ISNUMBER(SEARCH("ANALOG",Table246[[#This Row],[Type]]))=TRUE,1,"")</f>
        <v/>
      </c>
      <c r="O363" s="18" t="str">
        <f>IF(ISNUMBER(SEARCH("BINARY",Table246[[#This Row],[Type]]))=TRUE,1,"")</f>
        <v/>
      </c>
      <c r="P363" s="7" t="str">
        <f>IF(Table246[[#This Row],[Type]]="","",LEFT(Table246[[#This Row],[Type]],1)&amp;LEFT(#REF!,1))</f>
        <v/>
      </c>
      <c r="Q363" s="18" t="str">
        <f>IF(Table246[[#This Row],[Type]]="","",LEFT(Table246[[#This Row],[Type]],1)&amp;LEFT(#REF!,1))</f>
        <v/>
      </c>
      <c r="R363" s="18"/>
      <c r="S363" s="7" t="str">
        <f>IF(Table246[[#This Row],[A Counter]]=1,"AI"&amp;#REF!+SUM($N$43:N363),IF(Table246[[#This Row],[B Counter]]=1,"BI"&amp;#REF!+SUM($O$43:O363),""))</f>
        <v/>
      </c>
      <c r="T363" s="18"/>
      <c r="U363" s="68"/>
    </row>
    <row r="364" spans="1:21" x14ac:dyDescent="0.25">
      <c r="A364">
        <f t="shared" si="9"/>
        <v>355</v>
      </c>
      <c r="B364" s="130" t="str">
        <f>IFERROR(RIGHT(Table246[[#This Row],[Controller Input '#]],3)*1,"")</f>
        <v/>
      </c>
      <c r="C364" s="99"/>
      <c r="D364" s="1"/>
      <c r="E364" s="11"/>
      <c r="F364" s="11"/>
      <c r="G364" s="11"/>
      <c r="H364" s="21"/>
      <c r="I364" s="11"/>
      <c r="J364" s="11"/>
      <c r="K364" s="11"/>
      <c r="L364" s="11"/>
      <c r="M364" s="1"/>
      <c r="N364" s="18" t="str">
        <f>IF(ISNUMBER(SEARCH("ANALOG",Table246[[#This Row],[Type]]))=TRUE,1,"")</f>
        <v/>
      </c>
      <c r="O364" s="18" t="str">
        <f>IF(ISNUMBER(SEARCH("BINARY",Table246[[#This Row],[Type]]))=TRUE,1,"")</f>
        <v/>
      </c>
      <c r="P364" s="7" t="str">
        <f>IF(Table246[[#This Row],[Type]]="","",LEFT(Table246[[#This Row],[Type]],1)&amp;LEFT(#REF!,1))</f>
        <v/>
      </c>
      <c r="Q364" s="18" t="str">
        <f>IF(Table246[[#This Row],[Type]]="","",LEFT(Table246[[#This Row],[Type]],1)&amp;LEFT(#REF!,1))</f>
        <v/>
      </c>
      <c r="R364" s="18"/>
      <c r="S364" s="7" t="str">
        <f>IF(Table246[[#This Row],[A Counter]]=1,"AI"&amp;#REF!+SUM($N$43:N364),IF(Table246[[#This Row],[B Counter]]=1,"BI"&amp;#REF!+SUM($O$43:O364),""))</f>
        <v/>
      </c>
      <c r="T364" s="18"/>
      <c r="U364" s="68"/>
    </row>
    <row r="365" spans="1:21" x14ac:dyDescent="0.25">
      <c r="A365">
        <f t="shared" si="9"/>
        <v>356</v>
      </c>
      <c r="B365" s="93" t="str">
        <f>IFERROR(RIGHT(Table246[[#This Row],[Controller Input '#]],3)*1,"")</f>
        <v/>
      </c>
      <c r="C365" s="99"/>
      <c r="D365" s="1"/>
      <c r="E365" s="11"/>
      <c r="F365" s="11"/>
      <c r="G365" s="11"/>
      <c r="H365" s="21"/>
      <c r="I365" s="11"/>
      <c r="J365" s="11"/>
      <c r="K365" s="11"/>
      <c r="L365" s="11"/>
      <c r="M365" s="1"/>
      <c r="N365" s="18" t="str">
        <f>IF(ISNUMBER(SEARCH("ANALOG",Table246[[#This Row],[Type]]))=TRUE,1,"")</f>
        <v/>
      </c>
      <c r="O365" s="18" t="str">
        <f>IF(ISNUMBER(SEARCH("BINARY",Table246[[#This Row],[Type]]))=TRUE,1,"")</f>
        <v/>
      </c>
      <c r="P365" s="7" t="str">
        <f>IF(Table246[[#This Row],[Type]]="","",LEFT(Table246[[#This Row],[Type]],1)&amp;LEFT(#REF!,1))</f>
        <v/>
      </c>
      <c r="Q365" s="18" t="str">
        <f>IF(Table246[[#This Row],[Type]]="","",LEFT(Table246[[#This Row],[Type]],1)&amp;LEFT(#REF!,1))</f>
        <v/>
      </c>
      <c r="R365" s="18"/>
      <c r="S365" s="7" t="str">
        <f>IF(Table246[[#This Row],[A Counter]]=1,"AI"&amp;#REF!+SUM($N$43:N365),IF(Table246[[#This Row],[B Counter]]=1,"BI"&amp;#REF!+SUM($O$43:O365),""))</f>
        <v/>
      </c>
      <c r="T365" s="18"/>
      <c r="U365" s="68"/>
    </row>
    <row r="366" spans="1:21" x14ac:dyDescent="0.25">
      <c r="A366">
        <f t="shared" si="9"/>
        <v>357</v>
      </c>
      <c r="B366" s="130" t="str">
        <f>IFERROR(RIGHT(Table246[[#This Row],[Controller Input '#]],3)*1,"")</f>
        <v/>
      </c>
      <c r="C366" s="98"/>
      <c r="D366" s="1"/>
      <c r="E366" s="11"/>
      <c r="F366" s="11"/>
      <c r="G366" s="11"/>
      <c r="H366" s="21"/>
      <c r="I366" s="11"/>
      <c r="J366" s="11"/>
      <c r="K366" s="11"/>
      <c r="L366" s="11"/>
      <c r="M366" s="1"/>
      <c r="N366" s="18" t="str">
        <f>IF(ISNUMBER(SEARCH("ANALOG",Table246[[#This Row],[Type]]))=TRUE,1,"")</f>
        <v/>
      </c>
      <c r="O366" s="18" t="str">
        <f>IF(ISNUMBER(SEARCH("BINARY",Table246[[#This Row],[Type]]))=TRUE,1,"")</f>
        <v/>
      </c>
      <c r="P366" s="7" t="str">
        <f>IF(Table246[[#This Row],[Type]]="","",LEFT(Table246[[#This Row],[Type]],1)&amp;LEFT(#REF!,1))</f>
        <v/>
      </c>
      <c r="Q366" s="18" t="str">
        <f>IF(Table246[[#This Row],[Type]]="","",LEFT(Table246[[#This Row],[Type]],1)&amp;LEFT(#REF!,1))</f>
        <v/>
      </c>
      <c r="R366" s="18"/>
      <c r="S366" s="7" t="str">
        <f>IF(Table246[[#This Row],[A Counter]]=1,"AI"&amp;#REF!+SUM($N$43:N366),IF(Table246[[#This Row],[B Counter]]=1,"BI"&amp;#REF!+SUM($O$43:O366),""))</f>
        <v/>
      </c>
      <c r="T366" s="18"/>
      <c r="U366" s="69"/>
    </row>
    <row r="367" spans="1:21" x14ac:dyDescent="0.25">
      <c r="A367">
        <f t="shared" si="9"/>
        <v>358</v>
      </c>
      <c r="B367" s="93" t="str">
        <f>IFERROR(RIGHT(Table246[[#This Row],[Controller Input '#]],3)*1,"")</f>
        <v/>
      </c>
      <c r="C367" s="99"/>
      <c r="D367" s="1"/>
      <c r="E367" s="11"/>
      <c r="F367" s="11"/>
      <c r="G367" s="11"/>
      <c r="H367" s="21"/>
      <c r="I367" s="11"/>
      <c r="J367" s="11"/>
      <c r="K367" s="11"/>
      <c r="L367" s="11"/>
      <c r="M367" s="1"/>
      <c r="N367" s="18" t="str">
        <f>IF(ISNUMBER(SEARCH("ANALOG",Table246[[#This Row],[Type]]))=TRUE,1,"")</f>
        <v/>
      </c>
      <c r="O367" s="18" t="str">
        <f>IF(ISNUMBER(SEARCH("BINARY",Table246[[#This Row],[Type]]))=TRUE,1,"")</f>
        <v/>
      </c>
      <c r="P367" s="7" t="str">
        <f>IF(Table246[[#This Row],[Type]]="","",LEFT(Table246[[#This Row],[Type]],1)&amp;LEFT(#REF!,1))</f>
        <v/>
      </c>
      <c r="Q367" s="18" t="str">
        <f>IF(Table246[[#This Row],[Type]]="","",LEFT(Table246[[#This Row],[Type]],1)&amp;LEFT(#REF!,1))</f>
        <v/>
      </c>
      <c r="R367" s="18"/>
      <c r="S367" s="7" t="str">
        <f>IF(Table246[[#This Row],[A Counter]]=1,"AI"&amp;#REF!+SUM($N$43:N367),IF(Table246[[#This Row],[B Counter]]=1,"BI"&amp;#REF!+SUM($O$43:O367),""))</f>
        <v/>
      </c>
      <c r="T367" s="18"/>
      <c r="U367" s="68"/>
    </row>
    <row r="368" spans="1:21" x14ac:dyDescent="0.25">
      <c r="A368">
        <f t="shared" si="9"/>
        <v>359</v>
      </c>
      <c r="B368" s="130" t="str">
        <f>IFERROR(RIGHT(Table246[[#This Row],[Controller Input '#]],3)*1,"")</f>
        <v/>
      </c>
      <c r="C368" s="99"/>
      <c r="D368" s="1"/>
      <c r="E368" s="11"/>
      <c r="F368" s="11"/>
      <c r="G368" s="11"/>
      <c r="H368" s="21"/>
      <c r="I368" s="11"/>
      <c r="J368" s="11"/>
      <c r="K368" s="11"/>
      <c r="L368" s="11"/>
      <c r="M368" s="1"/>
      <c r="N368" s="18" t="str">
        <f>IF(ISNUMBER(SEARCH("ANALOG",Table246[[#This Row],[Type]]))=TRUE,1,"")</f>
        <v/>
      </c>
      <c r="O368" s="18" t="str">
        <f>IF(ISNUMBER(SEARCH("BINARY",Table246[[#This Row],[Type]]))=TRUE,1,"")</f>
        <v/>
      </c>
      <c r="P368" s="7" t="str">
        <f>IF(Table246[[#This Row],[Type]]="","",LEFT(Table246[[#This Row],[Type]],1)&amp;LEFT(#REF!,1))</f>
        <v/>
      </c>
      <c r="Q368" s="18" t="str">
        <f>IF(Table246[[#This Row],[Type]]="","",LEFT(Table246[[#This Row],[Type]],1)&amp;LEFT(#REF!,1))</f>
        <v/>
      </c>
      <c r="R368" s="18"/>
      <c r="S368" s="7" t="str">
        <f>IF(Table246[[#This Row],[A Counter]]=1,"AI"&amp;#REF!+SUM($N$43:N368),IF(Table246[[#This Row],[B Counter]]=1,"BI"&amp;#REF!+SUM($O$43:O368),""))</f>
        <v/>
      </c>
      <c r="T368" s="18"/>
      <c r="U368" s="68"/>
    </row>
    <row r="369" spans="1:21" x14ac:dyDescent="0.25">
      <c r="A369">
        <f t="shared" si="9"/>
        <v>360</v>
      </c>
      <c r="B369" s="93" t="str">
        <f>IFERROR(RIGHT(Table246[[#This Row],[Controller Input '#]],3)*1,"")</f>
        <v/>
      </c>
      <c r="C369" s="99"/>
      <c r="D369" s="1"/>
      <c r="E369" s="11"/>
      <c r="F369" s="11"/>
      <c r="G369" s="11"/>
      <c r="H369" s="21"/>
      <c r="I369" s="11"/>
      <c r="J369" s="11"/>
      <c r="K369" s="11"/>
      <c r="L369" s="11"/>
      <c r="M369" s="1"/>
      <c r="N369" s="18" t="str">
        <f>IF(ISNUMBER(SEARCH("ANALOG",Table246[[#This Row],[Type]]))=TRUE,1,"")</f>
        <v/>
      </c>
      <c r="O369" s="18" t="str">
        <f>IF(ISNUMBER(SEARCH("BINARY",Table246[[#This Row],[Type]]))=TRUE,1,"")</f>
        <v/>
      </c>
      <c r="P369" s="7" t="str">
        <f>IF(Table246[[#This Row],[Type]]="","",LEFT(Table246[[#This Row],[Type]],1)&amp;LEFT(#REF!,1))</f>
        <v/>
      </c>
      <c r="Q369" s="18" t="str">
        <f>IF(Table246[[#This Row],[Type]]="","",LEFT(Table246[[#This Row],[Type]],1)&amp;LEFT(#REF!,1))</f>
        <v/>
      </c>
      <c r="R369" s="18"/>
      <c r="S369" s="7" t="str">
        <f>IF(Table246[[#This Row],[A Counter]]=1,"AI"&amp;#REF!+SUM($N$43:N369),IF(Table246[[#This Row],[B Counter]]=1,"BI"&amp;#REF!+SUM($O$43:O369),""))</f>
        <v/>
      </c>
      <c r="T369" s="18"/>
      <c r="U369" s="68"/>
    </row>
    <row r="370" spans="1:21" x14ac:dyDescent="0.25">
      <c r="A370">
        <f t="shared" si="9"/>
        <v>361</v>
      </c>
      <c r="B370" s="130" t="str">
        <f>IFERROR(RIGHT(Table246[[#This Row],[Controller Input '#]],3)*1,"")</f>
        <v/>
      </c>
      <c r="C370" s="99"/>
      <c r="D370" s="1"/>
      <c r="E370" s="11"/>
      <c r="F370" s="11"/>
      <c r="G370" s="11"/>
      <c r="H370" s="21"/>
      <c r="I370" s="11"/>
      <c r="J370" s="11"/>
      <c r="K370" s="11"/>
      <c r="L370" s="11"/>
      <c r="M370" s="1"/>
      <c r="N370" s="18" t="str">
        <f>IF(ISNUMBER(SEARCH("ANALOG",Table246[[#This Row],[Type]]))=TRUE,1,"")</f>
        <v/>
      </c>
      <c r="O370" s="18" t="str">
        <f>IF(ISNUMBER(SEARCH("BINARY",Table246[[#This Row],[Type]]))=TRUE,1,"")</f>
        <v/>
      </c>
      <c r="P370" s="7" t="str">
        <f>IF(Table246[[#This Row],[Type]]="","",LEFT(Table246[[#This Row],[Type]],1)&amp;LEFT(#REF!,1))</f>
        <v/>
      </c>
      <c r="Q370" s="18" t="str">
        <f>IF(Table246[[#This Row],[Type]]="","",LEFT(Table246[[#This Row],[Type]],1)&amp;LEFT(#REF!,1))</f>
        <v/>
      </c>
      <c r="R370" s="18"/>
      <c r="S370" s="7" t="str">
        <f>IF(Table246[[#This Row],[A Counter]]=1,"AI"&amp;#REF!+SUM($N$43:N370),IF(Table246[[#This Row],[B Counter]]=1,"BI"&amp;#REF!+SUM($O$43:O370),""))</f>
        <v/>
      </c>
      <c r="T370" s="18"/>
      <c r="U370" s="68"/>
    </row>
    <row r="371" spans="1:21" x14ac:dyDescent="0.25">
      <c r="A371">
        <f t="shared" si="9"/>
        <v>362</v>
      </c>
      <c r="B371" s="93" t="str">
        <f>IFERROR(RIGHT(Table246[[#This Row],[Controller Input '#]],3)*1,"")</f>
        <v/>
      </c>
      <c r="C371" s="98"/>
      <c r="D371" s="1"/>
      <c r="E371" s="1"/>
      <c r="F371" s="1"/>
      <c r="G371" s="1"/>
      <c r="H371" s="8"/>
      <c r="I371" s="1"/>
      <c r="J371" s="1"/>
      <c r="K371" s="3"/>
      <c r="L371" s="1"/>
      <c r="M371" s="18"/>
      <c r="N371" s="18" t="str">
        <f>IF(ISNUMBER(SEARCH("ANALOG",Table246[[#This Row],[Type]]))=TRUE,1,"")</f>
        <v/>
      </c>
      <c r="O371" s="18" t="str">
        <f>IF(ISNUMBER(SEARCH("BINARY",Table246[[#This Row],[Type]]))=TRUE,1,"")</f>
        <v/>
      </c>
      <c r="P371" s="7" t="str">
        <f>IF(Table246[[#This Row],[Type]]="","",LEFT(Table246[[#This Row],[Type]],1)&amp;LEFT(#REF!,1))</f>
        <v/>
      </c>
      <c r="Q371" s="18" t="str">
        <f>IF(Table246[[#This Row],[Type]]="","",LEFT(Table246[[#This Row],[Type]],1)&amp;LEFT(#REF!,1))</f>
        <v/>
      </c>
      <c r="R371" s="18"/>
      <c r="S371" s="7" t="str">
        <f>IF(Table246[[#This Row],[A Counter]]=1,"AI"&amp;#REF!+SUM($N$43:N371),IF(Table246[[#This Row],[B Counter]]=1,"BI"&amp;#REF!+SUM($O$43:O371),""))</f>
        <v/>
      </c>
      <c r="T371" s="18" t="s">
        <v>34</v>
      </c>
      <c r="U371" s="69"/>
    </row>
    <row r="372" spans="1:21" x14ac:dyDescent="0.25">
      <c r="A372">
        <f t="shared" si="9"/>
        <v>363</v>
      </c>
      <c r="B372" s="130" t="str">
        <f>IFERROR(RIGHT(Table246[[#This Row],[Controller Input '#]],3)*1,"")</f>
        <v/>
      </c>
      <c r="C372" s="99"/>
      <c r="D372" s="1"/>
      <c r="E372" s="1"/>
      <c r="F372" s="1"/>
      <c r="G372" s="1"/>
      <c r="H372" s="8"/>
      <c r="I372" s="1"/>
      <c r="J372" s="1"/>
      <c r="K372" s="3"/>
      <c r="L372" s="1"/>
      <c r="M372" s="1"/>
      <c r="N372" s="18" t="str">
        <f>IF(ISNUMBER(SEARCH("ANALOG",Table246[[#This Row],[Type]]))=TRUE,1,"")</f>
        <v/>
      </c>
      <c r="O372" s="18" t="str">
        <f>IF(ISNUMBER(SEARCH("BINARY",Table246[[#This Row],[Type]]))=TRUE,1,"")</f>
        <v/>
      </c>
      <c r="P372" s="7" t="str">
        <f>IF(Table246[[#This Row],[Type]]="","",LEFT(Table246[[#This Row],[Type]],1)&amp;LEFT(#REF!,1))</f>
        <v/>
      </c>
      <c r="Q372" s="18" t="str">
        <f>IF(Table246[[#This Row],[Type]]="","",LEFT(Table246[[#This Row],[Type]],1)&amp;LEFT(#REF!,1))</f>
        <v/>
      </c>
      <c r="R372" s="18"/>
      <c r="S372" s="7" t="str">
        <f>IF(Table246[[#This Row],[A Counter]]=1,"AI"&amp;#REF!+SUM($N$43:N372),IF(Table246[[#This Row],[B Counter]]=1,"BI"&amp;#REF!+SUM($O$43:O372),""))</f>
        <v/>
      </c>
      <c r="T372" s="18" t="s">
        <v>34</v>
      </c>
      <c r="U372" s="68"/>
    </row>
    <row r="373" spans="1:21" x14ac:dyDescent="0.25">
      <c r="A373">
        <f t="shared" si="9"/>
        <v>364</v>
      </c>
      <c r="B373" s="93" t="str">
        <f>IFERROR(RIGHT(Table246[[#This Row],[Controller Input '#]],3)*1,"")</f>
        <v/>
      </c>
      <c r="C373" s="99"/>
      <c r="D373" s="1"/>
      <c r="E373" s="1"/>
      <c r="F373" s="1"/>
      <c r="G373" s="1"/>
      <c r="H373" s="8"/>
      <c r="I373" s="1"/>
      <c r="J373" s="1"/>
      <c r="K373" s="3"/>
      <c r="L373" s="1"/>
      <c r="M373" s="1"/>
      <c r="N373" s="18" t="str">
        <f>IF(ISNUMBER(SEARCH("ANALOG",Table246[[#This Row],[Type]]))=TRUE,1,"")</f>
        <v/>
      </c>
      <c r="O373" s="18" t="str">
        <f>IF(ISNUMBER(SEARCH("BINARY",Table246[[#This Row],[Type]]))=TRUE,1,"")</f>
        <v/>
      </c>
      <c r="P373" s="7" t="str">
        <f>IF(Table246[[#This Row],[Type]]="","",LEFT(Table246[[#This Row],[Type]],1)&amp;LEFT(#REF!,1))</f>
        <v/>
      </c>
      <c r="Q373" s="18" t="str">
        <f>IF(Table246[[#This Row],[Type]]="","",LEFT(Table246[[#This Row],[Type]],1)&amp;LEFT(#REF!,1))</f>
        <v/>
      </c>
      <c r="R373" s="18"/>
      <c r="S373" s="7" t="str">
        <f>IF(Table246[[#This Row],[A Counter]]=1,"AI"&amp;#REF!+SUM($N$43:N373),IF(Table246[[#This Row],[B Counter]]=1,"BI"&amp;#REF!+SUM($O$43:O373),""))</f>
        <v/>
      </c>
      <c r="T373" s="18" t="s">
        <v>34</v>
      </c>
      <c r="U373" s="7"/>
    </row>
    <row r="374" spans="1:21" x14ac:dyDescent="0.25">
      <c r="A374">
        <f t="shared" si="9"/>
        <v>365</v>
      </c>
      <c r="B374" s="130" t="str">
        <f>IFERROR(RIGHT(Table246[[#This Row],[Controller Input '#]],3)*1,"")</f>
        <v/>
      </c>
      <c r="C374" s="99"/>
      <c r="D374" s="1"/>
      <c r="E374" s="1"/>
      <c r="F374" s="1"/>
      <c r="G374" s="1"/>
      <c r="H374" s="8"/>
      <c r="I374" s="1"/>
      <c r="J374" s="1"/>
      <c r="K374" s="1"/>
      <c r="L374" s="18"/>
      <c r="M374" s="1"/>
      <c r="N374" s="18" t="str">
        <f>IF(ISNUMBER(SEARCH("ANALOG",Table246[[#This Row],[Type]]))=TRUE,1,"")</f>
        <v/>
      </c>
      <c r="O374" s="18" t="str">
        <f>IF(ISNUMBER(SEARCH("BINARY",Table246[[#This Row],[Type]]))=TRUE,1,"")</f>
        <v/>
      </c>
      <c r="P374" s="7" t="str">
        <f>IF(Table246[[#This Row],[Type]]="","",LEFT(Table246[[#This Row],[Type]],1)&amp;LEFT(#REF!,1))</f>
        <v/>
      </c>
      <c r="Q374" s="18" t="str">
        <f>IF(Table246[[#This Row],[Type]]="","",LEFT(Table246[[#This Row],[Type]],1)&amp;LEFT(#REF!,1))</f>
        <v/>
      </c>
      <c r="R374" s="18"/>
      <c r="S374" s="7" t="str">
        <f>IF(Table246[[#This Row],[A Counter]]=1,"AI"&amp;#REF!+SUM($N$43:N374),IF(Table246[[#This Row],[B Counter]]=1,"BI"&amp;#REF!+SUM($O$43:O374),""))</f>
        <v/>
      </c>
      <c r="T374" s="18" t="s">
        <v>34</v>
      </c>
      <c r="U374" s="7"/>
    </row>
    <row r="375" spans="1:21" x14ac:dyDescent="0.25">
      <c r="A375">
        <f t="shared" si="9"/>
        <v>366</v>
      </c>
      <c r="B375" s="93" t="str">
        <f>IFERROR(RIGHT(Table246[[#This Row],[Controller Input '#]],3)*1,"")</f>
        <v/>
      </c>
      <c r="C375" s="99"/>
      <c r="D375" s="1"/>
      <c r="E375" s="1"/>
      <c r="F375" s="1"/>
      <c r="G375" s="1"/>
      <c r="H375" s="8"/>
      <c r="I375" s="1"/>
      <c r="J375" s="1"/>
      <c r="K375" s="1"/>
      <c r="L375" s="18"/>
      <c r="M375" s="1"/>
      <c r="N375" s="18" t="str">
        <f>IF(ISNUMBER(SEARCH("ANALOG",Table246[[#This Row],[Type]]))=TRUE,1,"")</f>
        <v/>
      </c>
      <c r="O375" s="18" t="str">
        <f>IF(ISNUMBER(SEARCH("BINARY",Table246[[#This Row],[Type]]))=TRUE,1,"")</f>
        <v/>
      </c>
      <c r="P375" s="7" t="str">
        <f>IF(Table246[[#This Row],[Type]]="","",LEFT(Table246[[#This Row],[Type]],1)&amp;LEFT(#REF!,1))</f>
        <v/>
      </c>
      <c r="Q375" s="18" t="str">
        <f>IF(Table246[[#This Row],[Type]]="","",LEFT(Table246[[#This Row],[Type]],1)&amp;LEFT(#REF!,1))</f>
        <v/>
      </c>
      <c r="R375" s="18"/>
      <c r="S375" s="7" t="str">
        <f>IF(Table246[[#This Row],[A Counter]]=1,"AI"&amp;#REF!+SUM($N$43:N375),IF(Table246[[#This Row],[B Counter]]=1,"BI"&amp;#REF!+SUM($O$43:O375),""))</f>
        <v/>
      </c>
      <c r="T375" s="18" t="s">
        <v>34</v>
      </c>
      <c r="U375" s="7"/>
    </row>
    <row r="376" spans="1:21" x14ac:dyDescent="0.25">
      <c r="A376">
        <f t="shared" si="9"/>
        <v>367</v>
      </c>
      <c r="B376" s="130" t="str">
        <f>IFERROR(RIGHT(Table246[[#This Row],[Controller Input '#]],3)*1,"")</f>
        <v/>
      </c>
      <c r="C376" s="99"/>
      <c r="D376" s="1"/>
      <c r="E376" s="1"/>
      <c r="F376" s="1"/>
      <c r="G376" s="1"/>
      <c r="H376" s="8"/>
      <c r="I376" s="1"/>
      <c r="J376" s="1"/>
      <c r="K376" s="1"/>
      <c r="L376" s="18"/>
      <c r="M376" s="1"/>
      <c r="N376" s="18" t="str">
        <f>IF(ISNUMBER(SEARCH("ANALOG",Table246[[#This Row],[Type]]))=TRUE,1,"")</f>
        <v/>
      </c>
      <c r="O376" s="18" t="str">
        <f>IF(ISNUMBER(SEARCH("BINARY",Table246[[#This Row],[Type]]))=TRUE,1,"")</f>
        <v/>
      </c>
      <c r="P376" s="7" t="str">
        <f>IF(Table246[[#This Row],[Type]]="","",LEFT(Table246[[#This Row],[Type]],1)&amp;LEFT(#REF!,1))</f>
        <v/>
      </c>
      <c r="Q376" s="18" t="str">
        <f>IF(Table246[[#This Row],[Type]]="","",LEFT(Table246[[#This Row],[Type]],1)&amp;LEFT(#REF!,1))</f>
        <v/>
      </c>
      <c r="R376" s="18"/>
      <c r="S376" s="7" t="str">
        <f>IF(Table246[[#This Row],[A Counter]]=1,"AI"&amp;#REF!+SUM($N$43:N376),IF(Table246[[#This Row],[B Counter]]=1,"BI"&amp;#REF!+SUM($O$43:O376),""))</f>
        <v/>
      </c>
      <c r="T376" s="18" t="s">
        <v>34</v>
      </c>
      <c r="U376" s="7"/>
    </row>
    <row r="377" spans="1:21" x14ac:dyDescent="0.25">
      <c r="A377">
        <f t="shared" si="9"/>
        <v>368</v>
      </c>
      <c r="B377" s="93" t="str">
        <f>IFERROR(RIGHT(Table246[[#This Row],[Controller Input '#]],3)*1,"")</f>
        <v/>
      </c>
      <c r="C377" s="99"/>
      <c r="D377" s="1"/>
      <c r="E377" s="1"/>
      <c r="F377" s="1"/>
      <c r="G377" s="1"/>
      <c r="H377" s="8"/>
      <c r="I377" s="1"/>
      <c r="J377" s="1"/>
      <c r="K377" s="1"/>
      <c r="L377" s="1"/>
      <c r="M377" s="1"/>
      <c r="N377" s="18" t="str">
        <f>IF(ISNUMBER(SEARCH("ANALOG",Table246[[#This Row],[Type]]))=TRUE,1,"")</f>
        <v/>
      </c>
      <c r="O377" s="18" t="str">
        <f>IF(ISNUMBER(SEARCH("BINARY",Table246[[#This Row],[Type]]))=TRUE,1,"")</f>
        <v/>
      </c>
      <c r="P377" s="7" t="str">
        <f>IF(Table246[[#This Row],[Type]]="","",LEFT(Table246[[#This Row],[Type]],1)&amp;LEFT(#REF!,1))</f>
        <v/>
      </c>
      <c r="Q377" s="18" t="str">
        <f>IF(Table246[[#This Row],[Type]]="","",LEFT(Table246[[#This Row],[Type]],1)&amp;LEFT(#REF!,1))</f>
        <v/>
      </c>
      <c r="R377" s="18"/>
      <c r="S377" s="7" t="str">
        <f>IF(Table246[[#This Row],[A Counter]]=1,"AI"&amp;#REF!+SUM($N$43:N377),IF(Table246[[#This Row],[B Counter]]=1,"BI"&amp;#REF!+SUM($O$43:O377),""))</f>
        <v/>
      </c>
      <c r="T377" s="18" t="s">
        <v>34</v>
      </c>
      <c r="U377" s="7"/>
    </row>
    <row r="378" spans="1:21" x14ac:dyDescent="0.25">
      <c r="A378">
        <f t="shared" si="9"/>
        <v>369</v>
      </c>
      <c r="B378" s="130" t="str">
        <f>IFERROR(RIGHT(Table246[[#This Row],[Controller Input '#]],3)*1,"")</f>
        <v/>
      </c>
      <c r="C378" s="99"/>
      <c r="D378" s="1"/>
      <c r="E378" s="1"/>
      <c r="F378" s="1"/>
      <c r="G378" s="1"/>
      <c r="H378" s="8"/>
      <c r="I378" s="1"/>
      <c r="J378" s="1"/>
      <c r="K378" s="1"/>
      <c r="L378" s="1"/>
      <c r="M378" s="1"/>
      <c r="N378" s="18" t="str">
        <f>IF(ISNUMBER(SEARCH("ANALOG",Table246[[#This Row],[Type]]))=TRUE,1,"")</f>
        <v/>
      </c>
      <c r="O378" s="18" t="str">
        <f>IF(ISNUMBER(SEARCH("BINARY",Table246[[#This Row],[Type]]))=TRUE,1,"")</f>
        <v/>
      </c>
      <c r="P378" s="7" t="str">
        <f>IF(Table246[[#This Row],[Type]]="","",LEFT(Table246[[#This Row],[Type]],1)&amp;LEFT(#REF!,1))</f>
        <v/>
      </c>
      <c r="Q378" s="18" t="str">
        <f>IF(Table246[[#This Row],[Type]]="","",LEFT(Table246[[#This Row],[Type]],1)&amp;LEFT(#REF!,1))</f>
        <v/>
      </c>
      <c r="R378" s="18"/>
      <c r="S378" s="7" t="str">
        <f>IF(Table246[[#This Row],[A Counter]]=1,"AI"&amp;#REF!+SUM($N$43:N378),IF(Table246[[#This Row],[B Counter]]=1,"BI"&amp;#REF!+SUM($O$43:O378),""))</f>
        <v/>
      </c>
      <c r="T378" s="18" t="s">
        <v>34</v>
      </c>
      <c r="U378" s="7"/>
    </row>
    <row r="379" spans="1:21" x14ac:dyDescent="0.25">
      <c r="A379">
        <f t="shared" si="9"/>
        <v>370</v>
      </c>
      <c r="B379" s="93" t="str">
        <f>IFERROR(RIGHT(Table246[[#This Row],[Controller Input '#]],3)*1,"")</f>
        <v/>
      </c>
      <c r="C379" s="99"/>
      <c r="D379" s="1"/>
      <c r="E379" s="1"/>
      <c r="F379" s="1"/>
      <c r="G379" s="1"/>
      <c r="H379" s="8"/>
      <c r="I379" s="1"/>
      <c r="J379" s="1"/>
      <c r="K379" s="1"/>
      <c r="L379" s="1"/>
      <c r="M379" s="1"/>
      <c r="N379" s="18" t="str">
        <f>IF(ISNUMBER(SEARCH("ANALOG",Table246[[#This Row],[Type]]))=TRUE,1,"")</f>
        <v/>
      </c>
      <c r="O379" s="18" t="str">
        <f>IF(ISNUMBER(SEARCH("BINARY",Table246[[#This Row],[Type]]))=TRUE,1,"")</f>
        <v/>
      </c>
      <c r="P379" s="7" t="str">
        <f>IF(Table246[[#This Row],[Type]]="","",LEFT(Table246[[#This Row],[Type]],1)&amp;LEFT(#REF!,1))</f>
        <v/>
      </c>
      <c r="Q379" s="18" t="str">
        <f>IF(Table246[[#This Row],[Type]]="","",LEFT(Table246[[#This Row],[Type]],1)&amp;LEFT(#REF!,1))</f>
        <v/>
      </c>
      <c r="R379" s="18"/>
      <c r="S379" s="7" t="str">
        <f>IF(Table246[[#This Row],[A Counter]]=1,"AI"&amp;#REF!+SUM($N$43:N379),IF(Table246[[#This Row],[B Counter]]=1,"BI"&amp;#REF!+SUM($O$43:O379),""))</f>
        <v/>
      </c>
      <c r="T379" s="18" t="s">
        <v>34</v>
      </c>
      <c r="U379" s="7"/>
    </row>
    <row r="380" spans="1:21" x14ac:dyDescent="0.25">
      <c r="A380">
        <f t="shared" si="9"/>
        <v>371</v>
      </c>
      <c r="B380" s="130" t="str">
        <f>IFERROR(RIGHT(Table246[[#This Row],[Controller Input '#]],3)*1,"")</f>
        <v/>
      </c>
      <c r="C380" s="99"/>
      <c r="D380" s="1"/>
      <c r="E380" s="1"/>
      <c r="F380" s="1"/>
      <c r="G380" s="1"/>
      <c r="H380" s="8"/>
      <c r="I380" s="1"/>
      <c r="J380" s="1"/>
      <c r="K380" s="1"/>
      <c r="L380" s="1"/>
      <c r="M380" s="1"/>
      <c r="N380" s="18" t="str">
        <f>IF(ISNUMBER(SEARCH("ANALOG",Table246[[#This Row],[Type]]))=TRUE,1,"")</f>
        <v/>
      </c>
      <c r="O380" s="18" t="str">
        <f>IF(ISNUMBER(SEARCH("BINARY",Table246[[#This Row],[Type]]))=TRUE,1,"")</f>
        <v/>
      </c>
      <c r="P380" s="7" t="str">
        <f>IF(Table246[[#This Row],[Type]]="","",LEFT(Table246[[#This Row],[Type]],1)&amp;LEFT(#REF!,1))</f>
        <v/>
      </c>
      <c r="Q380" s="18" t="str">
        <f>IF(Table246[[#This Row],[Type]]="","",LEFT(Table246[[#This Row],[Type]],1)&amp;LEFT(#REF!,1))</f>
        <v/>
      </c>
      <c r="R380" s="18"/>
      <c r="S380" s="7" t="str">
        <f>IF(Table246[[#This Row],[A Counter]]=1,"AI"&amp;#REF!+SUM($N$43:N380),IF(Table246[[#This Row],[B Counter]]=1,"BI"&amp;#REF!+SUM($O$43:O380),""))</f>
        <v/>
      </c>
      <c r="T380" s="18" t="s">
        <v>34</v>
      </c>
      <c r="U380" s="7"/>
    </row>
    <row r="381" spans="1:21" x14ac:dyDescent="0.25">
      <c r="A381">
        <f t="shared" si="9"/>
        <v>372</v>
      </c>
      <c r="B381" s="93" t="str">
        <f>IFERROR(RIGHT(Table246[[#This Row],[Controller Input '#]],3)*1,"")</f>
        <v/>
      </c>
      <c r="C381" s="99"/>
      <c r="D381" s="1"/>
      <c r="E381" s="1"/>
      <c r="F381" s="1"/>
      <c r="G381" s="1"/>
      <c r="H381" s="8"/>
      <c r="I381" s="1"/>
      <c r="J381" s="1"/>
      <c r="K381" s="1"/>
      <c r="L381" s="11"/>
      <c r="M381" s="11"/>
      <c r="N381" s="18" t="str">
        <f>IF(ISNUMBER(SEARCH("ANALOG",Table246[[#This Row],[Type]]))=TRUE,1,"")</f>
        <v/>
      </c>
      <c r="O381" s="18" t="str">
        <f>IF(ISNUMBER(SEARCH("BINARY",Table246[[#This Row],[Type]]))=TRUE,1,"")</f>
        <v/>
      </c>
      <c r="P381" s="7" t="str">
        <f>IF(Table246[[#This Row],[Type]]="","",LEFT(Table246[[#This Row],[Type]],1)&amp;LEFT(#REF!,1))</f>
        <v/>
      </c>
      <c r="Q381" s="18" t="str">
        <f>IF(Table246[[#This Row],[Type]]="","",LEFT(Table246[[#This Row],[Type]],1)&amp;LEFT(#REF!,1))</f>
        <v/>
      </c>
      <c r="R381" s="18"/>
      <c r="S381" s="7" t="str">
        <f>IF(Table246[[#This Row],[A Counter]]=1,"AI"&amp;#REF!+SUM($N$43:N381),IF(Table246[[#This Row],[B Counter]]=1,"BI"&amp;#REF!+SUM($O$43:O381),""))</f>
        <v/>
      </c>
      <c r="T381" s="18" t="s">
        <v>34</v>
      </c>
      <c r="U381" s="7"/>
    </row>
    <row r="382" spans="1:21" x14ac:dyDescent="0.25">
      <c r="A382">
        <f t="shared" si="9"/>
        <v>373</v>
      </c>
      <c r="B382" s="130" t="str">
        <f>IFERROR(RIGHT(Table246[[#This Row],[Controller Input '#]],3)*1,"")</f>
        <v/>
      </c>
      <c r="C382" s="99"/>
      <c r="D382" s="1"/>
      <c r="E382" s="1"/>
      <c r="F382" s="1"/>
      <c r="G382" s="1"/>
      <c r="H382" s="8"/>
      <c r="I382" s="1"/>
      <c r="J382" s="1"/>
      <c r="K382" s="1"/>
      <c r="L382" s="11"/>
      <c r="M382" s="11"/>
      <c r="N382" s="18" t="str">
        <f>IF(ISNUMBER(SEARCH("ANALOG",Table246[[#This Row],[Type]]))=TRUE,1,"")</f>
        <v/>
      </c>
      <c r="O382" s="18" t="str">
        <f>IF(ISNUMBER(SEARCH("BINARY",Table246[[#This Row],[Type]]))=TRUE,1,"")</f>
        <v/>
      </c>
      <c r="P382" s="7" t="str">
        <f>IF(Table246[[#This Row],[Type]]="","",LEFT(Table246[[#This Row],[Type]],1)&amp;LEFT(#REF!,1))</f>
        <v/>
      </c>
      <c r="Q382" s="18" t="str">
        <f>IF(Table246[[#This Row],[Type]]="","",LEFT(Table246[[#This Row],[Type]],1)&amp;LEFT(#REF!,1))</f>
        <v/>
      </c>
      <c r="R382" s="18"/>
      <c r="S382" s="7" t="str">
        <f>IF(Table246[[#This Row],[A Counter]]=1,"AI"&amp;#REF!+SUM($N$43:N382),IF(Table246[[#This Row],[B Counter]]=1,"BI"&amp;#REF!+SUM($O$43:O382),""))</f>
        <v/>
      </c>
      <c r="T382" s="18" t="s">
        <v>34</v>
      </c>
      <c r="U382" s="7"/>
    </row>
    <row r="383" spans="1:21" x14ac:dyDescent="0.25">
      <c r="A383">
        <f t="shared" si="9"/>
        <v>374</v>
      </c>
      <c r="B383" s="93" t="str">
        <f>IFERROR(RIGHT(Table246[[#This Row],[Controller Input '#]],3)*1,"")</f>
        <v/>
      </c>
      <c r="C383" s="99"/>
      <c r="D383" s="1"/>
      <c r="E383" s="1"/>
      <c r="F383" s="1"/>
      <c r="G383" s="11"/>
      <c r="H383" s="21"/>
      <c r="I383" s="1"/>
      <c r="J383" s="1"/>
      <c r="K383" s="1"/>
      <c r="L383" s="11"/>
      <c r="M383" s="11"/>
      <c r="N383" s="18" t="str">
        <f>IF(ISNUMBER(SEARCH("ANALOG",Table246[[#This Row],[Type]]))=TRUE,1,"")</f>
        <v/>
      </c>
      <c r="O383" s="18" t="str">
        <f>IF(ISNUMBER(SEARCH("BINARY",Table246[[#This Row],[Type]]))=TRUE,1,"")</f>
        <v/>
      </c>
      <c r="P383" s="7" t="str">
        <f>IF(Table246[[#This Row],[Type]]="","",LEFT(Table246[[#This Row],[Type]],1)&amp;LEFT(#REF!,1))</f>
        <v/>
      </c>
      <c r="Q383" s="18" t="str">
        <f>IF(Table246[[#This Row],[Type]]="","",LEFT(Table246[[#This Row],[Type]],1)&amp;LEFT(#REF!,1))</f>
        <v/>
      </c>
      <c r="R383" s="18"/>
      <c r="S383" s="7" t="str">
        <f>IF(Table246[[#This Row],[A Counter]]=1,"AI"&amp;#REF!+SUM($N$43:N383),IF(Table246[[#This Row],[B Counter]]=1,"BI"&amp;#REF!+SUM($O$43:O383),""))</f>
        <v/>
      </c>
      <c r="T383" s="18" t="s">
        <v>34</v>
      </c>
      <c r="U383" s="7"/>
    </row>
    <row r="384" spans="1:21" x14ac:dyDescent="0.25">
      <c r="A384">
        <f t="shared" si="9"/>
        <v>375</v>
      </c>
      <c r="B384" s="130" t="str">
        <f>IFERROR(RIGHT(Table246[[#This Row],[Controller Input '#]],3)*1,"")</f>
        <v/>
      </c>
      <c r="C384" s="99"/>
      <c r="D384" s="1"/>
      <c r="E384" s="1"/>
      <c r="F384" s="1"/>
      <c r="G384" s="1"/>
      <c r="H384" s="8"/>
      <c r="I384" s="1"/>
      <c r="J384" s="1"/>
      <c r="K384" s="1"/>
      <c r="L384" s="1"/>
      <c r="M384" s="1"/>
      <c r="N384" s="18" t="str">
        <f>IF(ISNUMBER(SEARCH("ANALOG",Table246[[#This Row],[Type]]))=TRUE,1,"")</f>
        <v/>
      </c>
      <c r="O384" s="18" t="str">
        <f>IF(ISNUMBER(SEARCH("BINARY",Table246[[#This Row],[Type]]))=TRUE,1,"")</f>
        <v/>
      </c>
      <c r="P384" s="7" t="str">
        <f>IF(Table246[[#This Row],[Type]]="","",LEFT(Table246[[#This Row],[Type]],1)&amp;LEFT(#REF!,1))</f>
        <v/>
      </c>
      <c r="Q384" s="18" t="str">
        <f>IF(Table246[[#This Row],[Type]]="","",LEFT(Table246[[#This Row],[Type]],1)&amp;LEFT(#REF!,1))</f>
        <v/>
      </c>
      <c r="R384" s="18"/>
      <c r="S384" s="7" t="str">
        <f>IF(Table246[[#This Row],[A Counter]]=1,"AI"&amp;#REF!+SUM($N$43:N384),IF(Table246[[#This Row],[B Counter]]=1,"BI"&amp;#REF!+SUM($O$43:O384),""))</f>
        <v/>
      </c>
      <c r="T384" s="18" t="s">
        <v>34</v>
      </c>
      <c r="U384" s="7"/>
    </row>
    <row r="385" spans="1:21" x14ac:dyDescent="0.25">
      <c r="A385">
        <f t="shared" si="9"/>
        <v>376</v>
      </c>
      <c r="B385" s="93" t="str">
        <f>IFERROR(RIGHT(Table246[[#This Row],[Controller Input '#]],3)*1,"")</f>
        <v/>
      </c>
      <c r="C385" s="99"/>
      <c r="D385" s="1"/>
      <c r="E385" s="1"/>
      <c r="F385" s="1"/>
      <c r="G385" s="1"/>
      <c r="H385" s="8"/>
      <c r="I385" s="1"/>
      <c r="J385" s="1"/>
      <c r="K385" s="1"/>
      <c r="L385" s="1"/>
      <c r="M385" s="1"/>
      <c r="N385" s="18" t="str">
        <f>IF(ISNUMBER(SEARCH("ANALOG",Table246[[#This Row],[Type]]))=TRUE,1,"")</f>
        <v/>
      </c>
      <c r="O385" s="18" t="str">
        <f>IF(ISNUMBER(SEARCH("BINARY",Table246[[#This Row],[Type]]))=TRUE,1,"")</f>
        <v/>
      </c>
      <c r="P385" s="7" t="str">
        <f>IF(Table246[[#This Row],[Type]]="","",LEFT(Table246[[#This Row],[Type]],1)&amp;LEFT(#REF!,1))</f>
        <v/>
      </c>
      <c r="Q385" s="18" t="str">
        <f>IF(Table246[[#This Row],[Type]]="","",LEFT(Table246[[#This Row],[Type]],1)&amp;LEFT(#REF!,1))</f>
        <v/>
      </c>
      <c r="R385" s="18"/>
      <c r="S385" s="7" t="str">
        <f>IF(Table246[[#This Row],[A Counter]]=1,"AI"&amp;#REF!+SUM($N$43:N385),IF(Table246[[#This Row],[B Counter]]=1,"BI"&amp;#REF!+SUM($O$43:O385),""))</f>
        <v/>
      </c>
      <c r="T385" s="18" t="s">
        <v>34</v>
      </c>
      <c r="U385" s="7"/>
    </row>
    <row r="386" spans="1:21" x14ac:dyDescent="0.25">
      <c r="A386">
        <f t="shared" si="9"/>
        <v>377</v>
      </c>
      <c r="B386" s="130" t="str">
        <f>IFERROR(RIGHT(Table246[[#This Row],[Controller Input '#]],3)*1,"")</f>
        <v/>
      </c>
      <c r="C386" s="99"/>
      <c r="D386" s="1"/>
      <c r="E386" s="11"/>
      <c r="F386" s="11"/>
      <c r="G386" s="11"/>
      <c r="H386" s="21"/>
      <c r="I386" s="11"/>
      <c r="J386" s="11"/>
      <c r="K386" s="11"/>
      <c r="L386" s="11"/>
      <c r="M386" s="11"/>
      <c r="N386" s="18" t="str">
        <f>IF(ISNUMBER(SEARCH("ANALOG",Table246[[#This Row],[Type]]))=TRUE,1,"")</f>
        <v/>
      </c>
      <c r="O386" s="18" t="str">
        <f>IF(ISNUMBER(SEARCH("BINARY",Table246[[#This Row],[Type]]))=TRUE,1,"")</f>
        <v/>
      </c>
      <c r="P386" s="7" t="str">
        <f>IF(Table246[[#This Row],[Type]]="","",LEFT(Table246[[#This Row],[Type]],1)&amp;LEFT(#REF!,1))</f>
        <v/>
      </c>
      <c r="Q386" s="18" t="str">
        <f>IF(Table246[[#This Row],[Type]]="","",LEFT(Table246[[#This Row],[Type]],1)&amp;LEFT(#REF!,1))</f>
        <v/>
      </c>
      <c r="R386" s="18"/>
      <c r="S386" s="7" t="str">
        <f>IF(Table246[[#This Row],[A Counter]]=1,"AI"&amp;#REF!+SUM($N$43:N386),IF(Table246[[#This Row],[B Counter]]=1,"BI"&amp;#REF!+SUM($O$43:O386),""))</f>
        <v/>
      </c>
      <c r="T386" s="26" t="s">
        <v>34</v>
      </c>
      <c r="U386" s="7"/>
    </row>
    <row r="387" spans="1:21" x14ac:dyDescent="0.25">
      <c r="A387">
        <f t="shared" si="9"/>
        <v>378</v>
      </c>
      <c r="B387" s="93" t="str">
        <f>IFERROR(RIGHT(Table246[[#This Row],[Controller Input '#]],3)*1,"")</f>
        <v/>
      </c>
      <c r="C387" s="99"/>
      <c r="D387" s="1"/>
      <c r="E387" s="11"/>
      <c r="F387" s="11"/>
      <c r="G387" s="11"/>
      <c r="H387" s="21"/>
      <c r="I387" s="11"/>
      <c r="J387" s="11"/>
      <c r="K387" s="11"/>
      <c r="L387" s="11"/>
      <c r="M387" s="11"/>
      <c r="N387" s="18" t="str">
        <f>IF(ISNUMBER(SEARCH("ANALOG",Table246[[#This Row],[Type]]))=TRUE,1,"")</f>
        <v/>
      </c>
      <c r="O387" s="18" t="str">
        <f>IF(ISNUMBER(SEARCH("BINARY",Table246[[#This Row],[Type]]))=TRUE,1,"")</f>
        <v/>
      </c>
      <c r="P387" s="7" t="str">
        <f>IF(Table246[[#This Row],[Type]]="","",LEFT(Table246[[#This Row],[Type]],1)&amp;LEFT(#REF!,1))</f>
        <v/>
      </c>
      <c r="Q387" s="18" t="str">
        <f>IF(Table246[[#This Row],[Type]]="","",LEFT(Table246[[#This Row],[Type]],1)&amp;LEFT(#REF!,1))</f>
        <v/>
      </c>
      <c r="R387" s="18"/>
      <c r="S387" s="7" t="str">
        <f>IF(Table246[[#This Row],[A Counter]]=1,"AI"&amp;#REF!+SUM($N$43:N387),IF(Table246[[#This Row],[B Counter]]=1,"BI"&amp;#REF!+SUM($O$43:O387),""))</f>
        <v/>
      </c>
      <c r="T387" s="26" t="s">
        <v>34</v>
      </c>
      <c r="U387" s="7"/>
    </row>
    <row r="388" spans="1:21" x14ac:dyDescent="0.25">
      <c r="A388">
        <f t="shared" si="9"/>
        <v>379</v>
      </c>
      <c r="B388" s="130" t="str">
        <f>IFERROR(RIGHT(Table246[[#This Row],[Controller Input '#]],3)*1,"")</f>
        <v/>
      </c>
      <c r="C388" s="99"/>
      <c r="D388" s="1"/>
      <c r="E388" s="11"/>
      <c r="F388" s="11"/>
      <c r="G388" s="11"/>
      <c r="H388" s="21"/>
      <c r="I388" s="11"/>
      <c r="J388" s="11"/>
      <c r="K388" s="11"/>
      <c r="L388" s="11"/>
      <c r="M388" s="11"/>
      <c r="N388" s="18" t="str">
        <f>IF(ISNUMBER(SEARCH("ANALOG",Table246[[#This Row],[Type]]))=TRUE,1,"")</f>
        <v/>
      </c>
      <c r="O388" s="18" t="str">
        <f>IF(ISNUMBER(SEARCH("BINARY",Table246[[#This Row],[Type]]))=TRUE,1,"")</f>
        <v/>
      </c>
      <c r="P388" s="7" t="str">
        <f>IF(Table246[[#This Row],[Type]]="","",LEFT(Table246[[#This Row],[Type]],1)&amp;LEFT(#REF!,1))</f>
        <v/>
      </c>
      <c r="Q388" s="18" t="str">
        <f>IF(Table246[[#This Row],[Type]]="","",LEFT(Table246[[#This Row],[Type]],1)&amp;LEFT(#REF!,1))</f>
        <v/>
      </c>
      <c r="R388" s="18"/>
      <c r="S388" s="7" t="str">
        <f>IF(Table246[[#This Row],[A Counter]]=1,"AI"&amp;#REF!+SUM($N$43:N388),IF(Table246[[#This Row],[B Counter]]=1,"BI"&amp;#REF!+SUM($O$43:O388),""))</f>
        <v/>
      </c>
      <c r="T388" s="26" t="s">
        <v>34</v>
      </c>
    </row>
    <row r="389" spans="1:21" x14ac:dyDescent="0.25">
      <c r="A389">
        <f t="shared" si="9"/>
        <v>380</v>
      </c>
      <c r="B389" s="93" t="str">
        <f>IFERROR(RIGHT(Table246[[#This Row],[Controller Input '#]],3)*1,"")</f>
        <v/>
      </c>
      <c r="C389" s="101"/>
      <c r="D389" s="1"/>
      <c r="E389" s="23"/>
      <c r="F389" s="23"/>
      <c r="G389" s="23"/>
      <c r="H389" s="27"/>
      <c r="I389" s="23"/>
      <c r="J389" s="23"/>
      <c r="K389" s="23"/>
      <c r="L389" s="23"/>
      <c r="M389" s="23"/>
      <c r="N389" s="18" t="str">
        <f>IF(ISNUMBER(SEARCH("ANALOG",Table246[[#This Row],[Type]]))=TRUE,1,"")</f>
        <v/>
      </c>
      <c r="O389" s="18" t="str">
        <f>IF(ISNUMBER(SEARCH("BINARY",Table246[[#This Row],[Type]]))=TRUE,1,"")</f>
        <v/>
      </c>
      <c r="P389" s="7" t="str">
        <f>IF(Table246[[#This Row],[Type]]="","",LEFT(Table246[[#This Row],[Type]],1)&amp;LEFT(#REF!,1))</f>
        <v/>
      </c>
      <c r="Q389" s="18" t="str">
        <f>IF(Table246[[#This Row],[Type]]="","",LEFT(Table246[[#This Row],[Type]],1)&amp;LEFT(#REF!,1))</f>
        <v/>
      </c>
      <c r="R389" s="18"/>
      <c r="S389" s="7" t="str">
        <f>IF(Table246[[#This Row],[A Counter]]=1,"AI"&amp;#REF!+SUM($N$43:N389),IF(Table246[[#This Row],[B Counter]]=1,"BI"&amp;#REF!+SUM($O$43:O389),""))</f>
        <v/>
      </c>
      <c r="T389" s="28" t="s">
        <v>34</v>
      </c>
    </row>
    <row r="390" spans="1:21" x14ac:dyDescent="0.25">
      <c r="A390">
        <f t="shared" si="9"/>
        <v>381</v>
      </c>
      <c r="B390" s="130" t="str">
        <f>IFERROR(RIGHT(Table246[[#This Row],[Controller Input '#]],3)*1,"")</f>
        <v/>
      </c>
      <c r="C390" s="101"/>
      <c r="D390" s="1"/>
      <c r="E390" s="11"/>
      <c r="F390" s="11"/>
      <c r="G390" s="11"/>
      <c r="H390" s="21"/>
      <c r="I390" s="11"/>
      <c r="J390" s="11"/>
      <c r="K390" s="11"/>
      <c r="L390" s="11"/>
      <c r="M390" s="11"/>
      <c r="N390" s="18" t="str">
        <f>IF(ISNUMBER(SEARCH("ANALOG",Table246[[#This Row],[Type]]))=TRUE,1,"")</f>
        <v/>
      </c>
      <c r="O390" s="18" t="str">
        <f>IF(ISNUMBER(SEARCH("BINARY",Table246[[#This Row],[Type]]))=TRUE,1,"")</f>
        <v/>
      </c>
      <c r="P390" s="7" t="str">
        <f>IF(Table246[[#This Row],[Type]]="","",LEFT(Table246[[#This Row],[Type]],1)&amp;LEFT(#REF!,1))</f>
        <v/>
      </c>
      <c r="Q390" s="18" t="str">
        <f>IF(Table246[[#This Row],[Type]]="","",LEFT(Table246[[#This Row],[Type]],1)&amp;LEFT(#REF!,1))</f>
        <v/>
      </c>
      <c r="R390" s="18"/>
      <c r="S390" s="7" t="str">
        <f>IF(Table246[[#This Row],[A Counter]]=1,"AI"&amp;#REF!+SUM($N$43:N390),IF(Table246[[#This Row],[B Counter]]=1,"BI"&amp;#REF!+SUM($O$43:O390),""))</f>
        <v/>
      </c>
      <c r="T390" s="26" t="s">
        <v>34</v>
      </c>
    </row>
    <row r="391" spans="1:21" x14ac:dyDescent="0.25">
      <c r="A391">
        <f t="shared" si="9"/>
        <v>382</v>
      </c>
      <c r="B391" s="93" t="str">
        <f>IFERROR(RIGHT(Table246[[#This Row],[Controller Input '#]],3)*1,"")</f>
        <v/>
      </c>
      <c r="C391" s="101"/>
      <c r="D391" s="1"/>
      <c r="E391" s="11"/>
      <c r="F391" s="11"/>
      <c r="G391" s="11"/>
      <c r="H391" s="21"/>
      <c r="I391" s="11"/>
      <c r="J391" s="11"/>
      <c r="K391" s="11"/>
      <c r="L391" s="11"/>
      <c r="M391" s="11"/>
      <c r="N391" s="18" t="str">
        <f>IF(ISNUMBER(SEARCH("ANALOG",Table246[[#This Row],[Type]]))=TRUE,1,"")</f>
        <v/>
      </c>
      <c r="O391" s="18" t="str">
        <f>IF(ISNUMBER(SEARCH("BINARY",Table246[[#This Row],[Type]]))=TRUE,1,"")</f>
        <v/>
      </c>
      <c r="P391" s="7" t="str">
        <f>IF(Table246[[#This Row],[Type]]="","",LEFT(Table246[[#This Row],[Type]],1)&amp;LEFT(#REF!,1))</f>
        <v/>
      </c>
      <c r="Q391" s="18" t="str">
        <f>IF(Table246[[#This Row],[Type]]="","",LEFT(Table246[[#This Row],[Type]],1)&amp;LEFT(#REF!,1))</f>
        <v/>
      </c>
      <c r="R391" s="18"/>
      <c r="S391" s="7" t="str">
        <f>IF(Table246[[#This Row],[A Counter]]=1,"AI"&amp;#REF!+SUM($N$43:N391),IF(Table246[[#This Row],[B Counter]]=1,"BI"&amp;#REF!+SUM($O$43:O391),""))</f>
        <v/>
      </c>
      <c r="T391" s="26" t="s">
        <v>34</v>
      </c>
    </row>
    <row r="392" spans="1:21" x14ac:dyDescent="0.25">
      <c r="A392">
        <f t="shared" si="9"/>
        <v>383</v>
      </c>
      <c r="B392" s="130" t="str">
        <f>IFERROR(RIGHT(Table246[[#This Row],[Controller Input '#]],3)*1,"")</f>
        <v/>
      </c>
      <c r="C392" s="99"/>
      <c r="D392" s="1"/>
      <c r="E392" s="11"/>
      <c r="F392" s="11"/>
      <c r="G392" s="11"/>
      <c r="H392" s="21"/>
      <c r="I392" s="11"/>
      <c r="J392" s="11"/>
      <c r="K392" s="11"/>
      <c r="L392" s="11"/>
      <c r="M392" s="11"/>
      <c r="N392" s="18" t="str">
        <f>IF(ISNUMBER(SEARCH("ANALOG",Table246[[#This Row],[Type]]))=TRUE,1,"")</f>
        <v/>
      </c>
      <c r="O392" s="18" t="str">
        <f>IF(ISNUMBER(SEARCH("BINARY",Table246[[#This Row],[Type]]))=TRUE,1,"")</f>
        <v/>
      </c>
      <c r="P392" s="7" t="str">
        <f>IF(Table246[[#This Row],[Type]]="","",LEFT(Table246[[#This Row],[Type]],1)&amp;LEFT(#REF!,1))</f>
        <v/>
      </c>
      <c r="Q392" s="18" t="str">
        <f>IF(Table246[[#This Row],[Type]]="","",LEFT(Table246[[#This Row],[Type]],1)&amp;LEFT(#REF!,1))</f>
        <v/>
      </c>
      <c r="R392" s="18"/>
      <c r="S392" s="7" t="str">
        <f>IF(Table246[[#This Row],[A Counter]]=1,"AI"&amp;#REF!+SUM($N$43:N392),IF(Table246[[#This Row],[B Counter]]=1,"BI"&amp;#REF!+SUM($O$43:O392),""))</f>
        <v/>
      </c>
      <c r="T392" s="26" t="s">
        <v>34</v>
      </c>
    </row>
    <row r="393" spans="1:21" x14ac:dyDescent="0.25">
      <c r="A393">
        <f t="shared" si="9"/>
        <v>384</v>
      </c>
      <c r="B393" s="93" t="str">
        <f>IFERROR(RIGHT(Table246[[#This Row],[Controller Input '#]],3)*1,"")</f>
        <v/>
      </c>
      <c r="C393" s="99"/>
      <c r="D393" s="1"/>
      <c r="E393" s="11"/>
      <c r="F393" s="11"/>
      <c r="G393" s="11"/>
      <c r="H393" s="21"/>
      <c r="I393" s="11"/>
      <c r="J393" s="11"/>
      <c r="K393" s="11"/>
      <c r="L393" s="11"/>
      <c r="M393" s="11"/>
      <c r="N393" s="18" t="str">
        <f>IF(ISNUMBER(SEARCH("ANALOG",Table246[[#This Row],[Type]]))=TRUE,1,"")</f>
        <v/>
      </c>
      <c r="O393" s="18" t="str">
        <f>IF(ISNUMBER(SEARCH("BINARY",Table246[[#This Row],[Type]]))=TRUE,1,"")</f>
        <v/>
      </c>
      <c r="P393" s="7" t="str">
        <f>IF(Table246[[#This Row],[Type]]="","",LEFT(Table246[[#This Row],[Type]],1)&amp;LEFT(#REF!,1))</f>
        <v/>
      </c>
      <c r="Q393" s="18" t="str">
        <f>IF(Table246[[#This Row],[Type]]="","",LEFT(Table246[[#This Row],[Type]],1)&amp;LEFT(#REF!,1))</f>
        <v/>
      </c>
      <c r="R393" s="18"/>
      <c r="S393" s="7" t="str">
        <f>IF(Table246[[#This Row],[A Counter]]=1,"AI"&amp;#REF!+SUM($N$43:N393),IF(Table246[[#This Row],[B Counter]]=1,"BI"&amp;#REF!+SUM($O$43:O393),""))</f>
        <v/>
      </c>
      <c r="T393" s="26" t="s">
        <v>34</v>
      </c>
    </row>
    <row r="394" spans="1:21" x14ac:dyDescent="0.25">
      <c r="A394">
        <f t="shared" si="9"/>
        <v>385</v>
      </c>
      <c r="B394" s="130" t="str">
        <f>IFERROR(RIGHT(Table246[[#This Row],[Controller Input '#]],3)*1,"")</f>
        <v/>
      </c>
      <c r="C394" s="99"/>
      <c r="D394" s="1"/>
      <c r="E394" s="23"/>
      <c r="F394" s="23"/>
      <c r="G394" s="23"/>
      <c r="H394" s="27"/>
      <c r="I394" s="23"/>
      <c r="J394" s="23"/>
      <c r="K394" s="23"/>
      <c r="L394" s="23"/>
      <c r="M394" s="23"/>
      <c r="N394" s="18" t="str">
        <f>IF(ISNUMBER(SEARCH("ANALOG",Table246[[#This Row],[Type]]))=TRUE,1,"")</f>
        <v/>
      </c>
      <c r="O394" s="18" t="str">
        <f>IF(ISNUMBER(SEARCH("BINARY",Table246[[#This Row],[Type]]))=TRUE,1,"")</f>
        <v/>
      </c>
      <c r="P394" s="7" t="str">
        <f>IF(Table246[[#This Row],[Type]]="","",LEFT(Table246[[#This Row],[Type]],1)&amp;LEFT(#REF!,1))</f>
        <v/>
      </c>
      <c r="Q394" s="18" t="str">
        <f>IF(Table246[[#This Row],[Type]]="","",LEFT(Table246[[#This Row],[Type]],1)&amp;LEFT(#REF!,1))</f>
        <v/>
      </c>
      <c r="R394" s="18"/>
      <c r="S394" s="7" t="str">
        <f>IF(Table246[[#This Row],[A Counter]]=1,"AI"&amp;#REF!+SUM($N$43:N394),IF(Table246[[#This Row],[B Counter]]=1,"BI"&amp;#REF!+SUM($O$43:O394),""))</f>
        <v/>
      </c>
      <c r="T394" s="28" t="s">
        <v>34</v>
      </c>
    </row>
    <row r="395" spans="1:21" x14ac:dyDescent="0.25">
      <c r="A395">
        <f t="shared" si="9"/>
        <v>386</v>
      </c>
      <c r="B395" s="93" t="str">
        <f>IFERROR(RIGHT(Table246[[#This Row],[Controller Input '#]],3)*1,"")</f>
        <v/>
      </c>
      <c r="C395" s="99"/>
      <c r="D395" s="1"/>
      <c r="E395" s="11"/>
      <c r="F395" s="11"/>
      <c r="G395" s="11"/>
      <c r="H395" s="21"/>
      <c r="I395" s="11"/>
      <c r="J395" s="11"/>
      <c r="K395" s="11"/>
      <c r="L395" s="11"/>
      <c r="M395" s="11"/>
      <c r="N395" s="18" t="str">
        <f>IF(ISNUMBER(SEARCH("ANALOG",Table246[[#This Row],[Type]]))=TRUE,1,"")</f>
        <v/>
      </c>
      <c r="O395" s="18" t="str">
        <f>IF(ISNUMBER(SEARCH("BINARY",Table246[[#This Row],[Type]]))=TRUE,1,"")</f>
        <v/>
      </c>
      <c r="P395" s="7" t="str">
        <f>IF(Table246[[#This Row],[Type]]="","",LEFT(Table246[[#This Row],[Type]],1)&amp;LEFT(#REF!,1))</f>
        <v/>
      </c>
      <c r="Q395" s="18" t="str">
        <f>IF(Table246[[#This Row],[Type]]="","",LEFT(Table246[[#This Row],[Type]],1)&amp;LEFT(#REF!,1))</f>
        <v/>
      </c>
      <c r="R395" s="18"/>
      <c r="S395" s="7" t="str">
        <f>IF(Table246[[#This Row],[A Counter]]=1,"AI"&amp;#REF!+SUM($N$43:N395),IF(Table246[[#This Row],[B Counter]]=1,"BI"&amp;#REF!+SUM($O$43:O395),""))</f>
        <v/>
      </c>
      <c r="T395" s="26" t="s">
        <v>34</v>
      </c>
    </row>
    <row r="396" spans="1:21" x14ac:dyDescent="0.25">
      <c r="A396">
        <f t="shared" si="9"/>
        <v>387</v>
      </c>
      <c r="B396" s="130" t="str">
        <f>IFERROR(RIGHT(Table246[[#This Row],[Controller Input '#]],3)*1,"")</f>
        <v/>
      </c>
      <c r="C396" s="99"/>
      <c r="D396" s="1"/>
      <c r="E396" s="11"/>
      <c r="F396" s="11"/>
      <c r="G396" s="11"/>
      <c r="H396" s="21"/>
      <c r="I396" s="11"/>
      <c r="J396" s="11"/>
      <c r="K396" s="11"/>
      <c r="L396" s="11"/>
      <c r="M396" s="11"/>
      <c r="N396" s="18" t="str">
        <f>IF(ISNUMBER(SEARCH("ANALOG",Table246[[#This Row],[Type]]))=TRUE,1,"")</f>
        <v/>
      </c>
      <c r="O396" s="18" t="str">
        <f>IF(ISNUMBER(SEARCH("BINARY",Table246[[#This Row],[Type]]))=TRUE,1,"")</f>
        <v/>
      </c>
      <c r="P396" s="7" t="str">
        <f>IF(Table246[[#This Row],[Type]]="","",LEFT(Table246[[#This Row],[Type]],1)&amp;LEFT(#REF!,1))</f>
        <v/>
      </c>
      <c r="Q396" s="18" t="str">
        <f>IF(Table246[[#This Row],[Type]]="","",LEFT(Table246[[#This Row],[Type]],1)&amp;LEFT(#REF!,1))</f>
        <v/>
      </c>
      <c r="R396" s="18"/>
      <c r="S396" s="7" t="str">
        <f>IF(Table246[[#This Row],[A Counter]]=1,"AI"&amp;#REF!+SUM($N$43:N396),IF(Table246[[#This Row],[B Counter]]=1,"BI"&amp;#REF!+SUM($O$43:O396),""))</f>
        <v/>
      </c>
      <c r="T396" s="26" t="s">
        <v>34</v>
      </c>
    </row>
    <row r="397" spans="1:21" x14ac:dyDescent="0.25">
      <c r="A397">
        <f t="shared" si="9"/>
        <v>388</v>
      </c>
      <c r="B397" s="93" t="str">
        <f>IFERROR(RIGHT(Table246[[#This Row],[Controller Input '#]],3)*1,"")</f>
        <v/>
      </c>
      <c r="C397" s="99"/>
      <c r="D397" s="1"/>
      <c r="E397" s="11"/>
      <c r="F397" s="11"/>
      <c r="G397" s="11"/>
      <c r="H397" s="21"/>
      <c r="I397" s="11"/>
      <c r="J397" s="11"/>
      <c r="K397" s="11"/>
      <c r="L397" s="11"/>
      <c r="M397" s="11"/>
      <c r="N397" s="18" t="str">
        <f>IF(ISNUMBER(SEARCH("ANALOG",Table246[[#This Row],[Type]]))=TRUE,1,"")</f>
        <v/>
      </c>
      <c r="O397" s="18" t="str">
        <f>IF(ISNUMBER(SEARCH("BINARY",Table246[[#This Row],[Type]]))=TRUE,1,"")</f>
        <v/>
      </c>
      <c r="P397" s="7" t="str">
        <f>IF(Table246[[#This Row],[Type]]="","",LEFT(Table246[[#This Row],[Type]],1)&amp;LEFT(#REF!,1))</f>
        <v/>
      </c>
      <c r="Q397" s="18" t="str">
        <f>IF(Table246[[#This Row],[Type]]="","",LEFT(Table246[[#This Row],[Type]],1)&amp;LEFT(#REF!,1))</f>
        <v/>
      </c>
      <c r="R397" s="18"/>
      <c r="S397" s="7" t="str">
        <f>IF(Table246[[#This Row],[A Counter]]=1,"AI"&amp;#REF!+SUM($N$43:N397),IF(Table246[[#This Row],[B Counter]]=1,"BI"&amp;#REF!+SUM($O$43:O397),""))</f>
        <v/>
      </c>
      <c r="T397" s="26" t="s">
        <v>34</v>
      </c>
    </row>
    <row r="398" spans="1:21" x14ac:dyDescent="0.25">
      <c r="A398">
        <f t="shared" si="9"/>
        <v>389</v>
      </c>
      <c r="B398" s="130" t="str">
        <f>IFERROR(RIGHT(Table246[[#This Row],[Controller Input '#]],3)*1,"")</f>
        <v/>
      </c>
      <c r="C398" s="101"/>
      <c r="D398" s="1"/>
      <c r="E398" s="11"/>
      <c r="F398" s="11"/>
      <c r="G398" s="11"/>
      <c r="H398" s="21"/>
      <c r="I398" s="11"/>
      <c r="J398" s="11"/>
      <c r="K398" s="11"/>
      <c r="L398" s="11"/>
      <c r="M398" s="11"/>
      <c r="N398" s="18" t="str">
        <f>IF(ISNUMBER(SEARCH("ANALOG",Table246[[#This Row],[Type]]))=TRUE,1,"")</f>
        <v/>
      </c>
      <c r="O398" s="18" t="str">
        <f>IF(ISNUMBER(SEARCH("BINARY",Table246[[#This Row],[Type]]))=TRUE,1,"")</f>
        <v/>
      </c>
      <c r="P398" s="7" t="str">
        <f>IF(Table246[[#This Row],[Type]]="","",LEFT(Table246[[#This Row],[Type]],1)&amp;LEFT(#REF!,1))</f>
        <v/>
      </c>
      <c r="Q398" s="18" t="str">
        <f>IF(Table246[[#This Row],[Type]]="","",LEFT(Table246[[#This Row],[Type]],1)&amp;LEFT(#REF!,1))</f>
        <v/>
      </c>
      <c r="R398" s="18"/>
      <c r="S398" s="7" t="str">
        <f>IF(Table246[[#This Row],[A Counter]]=1,"AI"&amp;#REF!+SUM($N$43:N398),IF(Table246[[#This Row],[B Counter]]=1,"BI"&amp;#REF!+SUM($O$43:O398),""))</f>
        <v/>
      </c>
      <c r="T398" s="26" t="s">
        <v>34</v>
      </c>
    </row>
    <row r="399" spans="1:21" x14ac:dyDescent="0.25">
      <c r="A399">
        <f t="shared" si="9"/>
        <v>390</v>
      </c>
      <c r="B399" s="93" t="str">
        <f>IFERROR(RIGHT(Table246[[#This Row],[Controller Input '#]],3)*1,"")</f>
        <v/>
      </c>
      <c r="C399" s="101"/>
      <c r="D399" s="1"/>
      <c r="E399" s="23"/>
      <c r="F399" s="23"/>
      <c r="G399" s="23"/>
      <c r="H399" s="27"/>
      <c r="I399" s="23"/>
      <c r="J399" s="23"/>
      <c r="K399" s="23"/>
      <c r="L399" s="23"/>
      <c r="M399" s="23"/>
      <c r="N399" s="18" t="str">
        <f>IF(ISNUMBER(SEARCH("ANALOG",Table246[[#This Row],[Type]]))=TRUE,1,"")</f>
        <v/>
      </c>
      <c r="O399" s="18" t="str">
        <f>IF(ISNUMBER(SEARCH("BINARY",Table246[[#This Row],[Type]]))=TRUE,1,"")</f>
        <v/>
      </c>
      <c r="P399" s="7" t="str">
        <f>IF(Table246[[#This Row],[Type]]="","",LEFT(Table246[[#This Row],[Type]],1)&amp;LEFT(#REF!,1))</f>
        <v/>
      </c>
      <c r="Q399" s="18" t="str">
        <f>IF(Table246[[#This Row],[Type]]="","",LEFT(Table246[[#This Row],[Type]],1)&amp;LEFT(#REF!,1))</f>
        <v/>
      </c>
      <c r="R399" s="18"/>
      <c r="S399" s="7" t="str">
        <f>IF(Table246[[#This Row],[A Counter]]=1,"AI"&amp;#REF!+SUM($N$43:N399),IF(Table246[[#This Row],[B Counter]]=1,"BI"&amp;#REF!+SUM($O$43:O399),""))</f>
        <v/>
      </c>
      <c r="T399" s="28" t="s">
        <v>34</v>
      </c>
    </row>
    <row r="400" spans="1:21" x14ac:dyDescent="0.25">
      <c r="A400">
        <f t="shared" si="9"/>
        <v>391</v>
      </c>
      <c r="B400" s="130" t="str">
        <f>IFERROR(RIGHT(Table246[[#This Row],[Controller Input '#]],3)*1,"")</f>
        <v/>
      </c>
      <c r="C400" s="101"/>
      <c r="D400" s="1"/>
      <c r="E400" s="11"/>
      <c r="F400" s="11"/>
      <c r="G400" s="11"/>
      <c r="H400" s="21"/>
      <c r="I400" s="11"/>
      <c r="J400" s="11"/>
      <c r="K400" s="11"/>
      <c r="L400" s="11"/>
      <c r="M400" s="11"/>
      <c r="N400" s="18" t="str">
        <f>IF(ISNUMBER(SEARCH("ANALOG",Table246[[#This Row],[Type]]))=TRUE,1,"")</f>
        <v/>
      </c>
      <c r="O400" s="18" t="str">
        <f>IF(ISNUMBER(SEARCH("BINARY",Table246[[#This Row],[Type]]))=TRUE,1,"")</f>
        <v/>
      </c>
      <c r="P400" s="7" t="str">
        <f>IF(Table246[[#This Row],[Type]]="","",LEFT(Table246[[#This Row],[Type]],1)&amp;LEFT(#REF!,1))</f>
        <v/>
      </c>
      <c r="Q400" s="18" t="str">
        <f>IF(Table246[[#This Row],[Type]]="","",LEFT(Table246[[#This Row],[Type]],1)&amp;LEFT(#REF!,1))</f>
        <v/>
      </c>
      <c r="R400" s="18"/>
      <c r="S400" s="7" t="str">
        <f>IF(Table246[[#This Row],[A Counter]]=1,"AI"&amp;#REF!+SUM($N$43:N400),IF(Table246[[#This Row],[B Counter]]=1,"BI"&amp;#REF!+SUM($O$43:O400),""))</f>
        <v/>
      </c>
      <c r="T400" s="26" t="s">
        <v>34</v>
      </c>
    </row>
    <row r="401" spans="1:20" x14ac:dyDescent="0.25">
      <c r="A401">
        <f t="shared" si="9"/>
        <v>392</v>
      </c>
      <c r="B401" s="93" t="str">
        <f>IFERROR(RIGHT(Table246[[#This Row],[Controller Input '#]],3)*1,"")</f>
        <v/>
      </c>
      <c r="C401" s="101"/>
      <c r="D401" s="1"/>
      <c r="E401" s="1"/>
      <c r="F401" s="1"/>
      <c r="G401" s="1"/>
      <c r="H401" s="8"/>
      <c r="I401" s="1"/>
      <c r="J401" s="1"/>
      <c r="K401" s="1"/>
      <c r="L401" s="1"/>
      <c r="M401" s="1"/>
      <c r="N401" s="18" t="str">
        <f>IF(ISNUMBER(SEARCH("ANALOG",Table246[[#This Row],[Type]]))=TRUE,1,"")</f>
        <v/>
      </c>
      <c r="O401" s="18" t="str">
        <f>IF(ISNUMBER(SEARCH("BINARY",Table246[[#This Row],[Type]]))=TRUE,1,"")</f>
        <v/>
      </c>
      <c r="P401" s="7" t="str">
        <f>IF(Table246[[#This Row],[Type]]="","",LEFT(Table246[[#This Row],[Type]],1)&amp;LEFT(#REF!,1))</f>
        <v/>
      </c>
      <c r="Q401" s="18" t="str">
        <f>IF(Table246[[#This Row],[Type]]="","",LEFT(Table246[[#This Row],[Type]],1)&amp;LEFT(#REF!,1))</f>
        <v/>
      </c>
      <c r="R401" s="18"/>
      <c r="S401" s="7" t="str">
        <f>IF(Table246[[#This Row],[A Counter]]=1,"AI"&amp;#REF!+SUM($N$43:N401),IF(Table246[[#This Row],[B Counter]]=1,"BI"&amp;#REF!+SUM($O$43:O401),""))</f>
        <v/>
      </c>
      <c r="T401" s="18" t="s">
        <v>34</v>
      </c>
    </row>
    <row r="402" spans="1:20" x14ac:dyDescent="0.25">
      <c r="A402">
        <f t="shared" si="9"/>
        <v>393</v>
      </c>
      <c r="B402" s="130" t="str">
        <f>IFERROR(RIGHT(Table246[[#This Row],[Controller Input '#]],3)*1,"")</f>
        <v/>
      </c>
      <c r="C402" s="101"/>
      <c r="D402" s="1"/>
      <c r="E402" s="1"/>
      <c r="F402" s="1"/>
      <c r="G402" s="1"/>
      <c r="H402" s="8"/>
      <c r="I402" s="1"/>
      <c r="J402" s="1"/>
      <c r="K402" s="1"/>
      <c r="L402" s="1"/>
      <c r="M402" s="1"/>
      <c r="N402" s="18" t="str">
        <f>IF(ISNUMBER(SEARCH("ANALOG",Table246[[#This Row],[Type]]))=TRUE,1,"")</f>
        <v/>
      </c>
      <c r="O402" s="18" t="str">
        <f>IF(ISNUMBER(SEARCH("BINARY",Table246[[#This Row],[Type]]))=TRUE,1,"")</f>
        <v/>
      </c>
      <c r="P402" s="7" t="str">
        <f>IF(Table246[[#This Row],[Type]]="","",LEFT(Table246[[#This Row],[Type]],1)&amp;LEFT(#REF!,1))</f>
        <v/>
      </c>
      <c r="Q402" s="18" t="str">
        <f>IF(Table246[[#This Row],[Type]]="","",LEFT(Table246[[#This Row],[Type]],1)&amp;LEFT(#REF!,1))</f>
        <v/>
      </c>
      <c r="R402" s="18"/>
      <c r="S402" s="7" t="str">
        <f>IF(Table246[[#This Row],[A Counter]]=1,"AI"&amp;#REF!+SUM($N$43:N402),IF(Table246[[#This Row],[B Counter]]=1,"BI"&amp;#REF!+SUM($O$43:O402),""))</f>
        <v/>
      </c>
      <c r="T402" s="18" t="s">
        <v>34</v>
      </c>
    </row>
    <row r="403" spans="1:20" x14ac:dyDescent="0.25">
      <c r="A403">
        <f t="shared" si="9"/>
        <v>394</v>
      </c>
      <c r="B403" s="93" t="str">
        <f>IFERROR(RIGHT(Table246[[#This Row],[Controller Input '#]],3)*1,"")</f>
        <v/>
      </c>
      <c r="C403" s="99"/>
      <c r="D403" s="1"/>
      <c r="E403" s="1"/>
      <c r="F403" s="1"/>
      <c r="G403" s="1"/>
      <c r="H403" s="8"/>
      <c r="I403" s="1"/>
      <c r="J403" s="1"/>
      <c r="K403" s="1"/>
      <c r="L403" s="1"/>
      <c r="M403" s="1"/>
      <c r="N403" s="18" t="str">
        <f>IF(ISNUMBER(SEARCH("ANALOG",Table246[[#This Row],[Type]]))=TRUE,1,"")</f>
        <v/>
      </c>
      <c r="O403" s="18" t="str">
        <f>IF(ISNUMBER(SEARCH("BINARY",Table246[[#This Row],[Type]]))=TRUE,1,"")</f>
        <v/>
      </c>
      <c r="P403" s="7" t="str">
        <f>IF(Table246[[#This Row],[Type]]="","",LEFT(Table246[[#This Row],[Type]],1)&amp;LEFT(#REF!,1))</f>
        <v/>
      </c>
      <c r="Q403" s="18" t="str">
        <f>IF(Table246[[#This Row],[Type]]="","",LEFT(Table246[[#This Row],[Type]],1)&amp;LEFT(#REF!,1))</f>
        <v/>
      </c>
      <c r="R403" s="18"/>
      <c r="S403" s="7" t="str">
        <f>IF(Table246[[#This Row],[A Counter]]=1,"AI"&amp;#REF!+SUM($N$43:N403),IF(Table246[[#This Row],[B Counter]]=1,"BI"&amp;#REF!+SUM($O$43:O403),""))</f>
        <v/>
      </c>
      <c r="T403" s="18" t="s">
        <v>34</v>
      </c>
    </row>
    <row r="404" spans="1:20" x14ac:dyDescent="0.25">
      <c r="A404">
        <f t="shared" si="9"/>
        <v>395</v>
      </c>
      <c r="B404" s="130" t="str">
        <f>IFERROR(RIGHT(Table246[[#This Row],[Controller Input '#]],3)*1,"")</f>
        <v/>
      </c>
      <c r="C404" s="99"/>
      <c r="D404" s="1"/>
      <c r="E404" s="1"/>
      <c r="F404" s="1"/>
      <c r="G404" s="11"/>
      <c r="H404" s="21"/>
      <c r="I404" s="1"/>
      <c r="J404" s="1"/>
      <c r="K404" s="1"/>
      <c r="L404" s="1"/>
      <c r="M404" s="1"/>
      <c r="N404" s="18" t="str">
        <f>IF(ISNUMBER(SEARCH("ANALOG",Table246[[#This Row],[Type]]))=TRUE,1,"")</f>
        <v/>
      </c>
      <c r="O404" s="18" t="str">
        <f>IF(ISNUMBER(SEARCH("BINARY",Table246[[#This Row],[Type]]))=TRUE,1,"")</f>
        <v/>
      </c>
      <c r="P404" s="7" t="str">
        <f>IF(Table246[[#This Row],[Type]]="","",LEFT(Table246[[#This Row],[Type]],1)&amp;LEFT(#REF!,1))</f>
        <v/>
      </c>
      <c r="Q404" s="18" t="str">
        <f>IF(Table246[[#This Row],[Type]]="","",LEFT(Table246[[#This Row],[Type]],1)&amp;LEFT(#REF!,1))</f>
        <v/>
      </c>
      <c r="R404" s="18"/>
      <c r="S404" s="7" t="str">
        <f>IF(Table246[[#This Row],[A Counter]]=1,"AI"&amp;#REF!+SUM($N$43:N404),IF(Table246[[#This Row],[B Counter]]=1,"BI"&amp;#REF!+SUM($O$43:O404),""))</f>
        <v/>
      </c>
      <c r="T404" s="18" t="s">
        <v>34</v>
      </c>
    </row>
    <row r="405" spans="1:20" x14ac:dyDescent="0.25">
      <c r="A405">
        <f t="shared" si="9"/>
        <v>396</v>
      </c>
      <c r="B405" s="93" t="str">
        <f>IFERROR(RIGHT(Table246[[#This Row],[Controller Input '#]],3)*1,"")</f>
        <v/>
      </c>
      <c r="C405" s="99"/>
      <c r="D405" s="1"/>
      <c r="E405" s="1"/>
      <c r="F405" s="1"/>
      <c r="G405" s="11"/>
      <c r="H405" s="21"/>
      <c r="I405" s="1"/>
      <c r="J405" s="1"/>
      <c r="K405" s="1"/>
      <c r="L405" s="1"/>
      <c r="M405" s="1"/>
      <c r="N405" s="18" t="str">
        <f>IF(ISNUMBER(SEARCH("ANALOG",Table246[[#This Row],[Type]]))=TRUE,1,"")</f>
        <v/>
      </c>
      <c r="O405" s="18" t="str">
        <f>IF(ISNUMBER(SEARCH("BINARY",Table246[[#This Row],[Type]]))=TRUE,1,"")</f>
        <v/>
      </c>
      <c r="P405" s="7" t="str">
        <f>IF(Table246[[#This Row],[Type]]="","",LEFT(Table246[[#This Row],[Type]],1)&amp;LEFT(#REF!,1))</f>
        <v/>
      </c>
      <c r="Q405" s="18" t="str">
        <f>IF(Table246[[#This Row],[Type]]="","",LEFT(Table246[[#This Row],[Type]],1)&amp;LEFT(#REF!,1))</f>
        <v/>
      </c>
      <c r="R405" s="18"/>
      <c r="S405" s="7" t="str">
        <f>IF(Table246[[#This Row],[A Counter]]=1,"AI"&amp;#REF!+SUM($N$43:N405),IF(Table246[[#This Row],[B Counter]]=1,"BI"&amp;#REF!+SUM($O$43:O405),""))</f>
        <v/>
      </c>
      <c r="T405" s="18" t="s">
        <v>34</v>
      </c>
    </row>
    <row r="406" spans="1:20" x14ac:dyDescent="0.25">
      <c r="A406">
        <f t="shared" si="9"/>
        <v>397</v>
      </c>
      <c r="B406" s="130" t="str">
        <f>IFERROR(RIGHT(Table246[[#This Row],[Controller Input '#]],3)*1,"")</f>
        <v/>
      </c>
      <c r="C406" s="99"/>
      <c r="D406" s="1"/>
      <c r="E406" s="1"/>
      <c r="F406" s="1"/>
      <c r="G406" s="11"/>
      <c r="H406" s="21"/>
      <c r="I406" s="1"/>
      <c r="J406" s="1"/>
      <c r="K406" s="1"/>
      <c r="L406" s="1"/>
      <c r="M406" s="1"/>
      <c r="N406" s="18" t="str">
        <f>IF(ISNUMBER(SEARCH("ANALOG",Table246[[#This Row],[Type]]))=TRUE,1,"")</f>
        <v/>
      </c>
      <c r="O406" s="18" t="str">
        <f>IF(ISNUMBER(SEARCH("BINARY",Table246[[#This Row],[Type]]))=TRUE,1,"")</f>
        <v/>
      </c>
      <c r="P406" s="7" t="str">
        <f>IF(Table246[[#This Row],[Type]]="","",LEFT(Table246[[#This Row],[Type]],1)&amp;LEFT(#REF!,1))</f>
        <v/>
      </c>
      <c r="Q406" s="18" t="str">
        <f>IF(Table246[[#This Row],[Type]]="","",LEFT(Table246[[#This Row],[Type]],1)&amp;LEFT(#REF!,1))</f>
        <v/>
      </c>
      <c r="R406" s="18"/>
      <c r="S406" s="7" t="str">
        <f>IF(Table246[[#This Row],[A Counter]]=1,"AI"&amp;#REF!+SUM($N$43:N406),IF(Table246[[#This Row],[B Counter]]=1,"BI"&amp;#REF!+SUM($O$43:O406),""))</f>
        <v/>
      </c>
      <c r="T406" s="18" t="s">
        <v>34</v>
      </c>
    </row>
    <row r="407" spans="1:20" x14ac:dyDescent="0.25">
      <c r="A407">
        <f t="shared" si="9"/>
        <v>398</v>
      </c>
      <c r="B407" s="93" t="str">
        <f>IFERROR(RIGHT(Table246[[#This Row],[Controller Input '#]],3)*1,"")</f>
        <v/>
      </c>
      <c r="C407" s="99"/>
      <c r="D407" s="1"/>
      <c r="E407" s="1"/>
      <c r="F407" s="1"/>
      <c r="G407" s="11"/>
      <c r="H407" s="21"/>
      <c r="I407" s="1"/>
      <c r="J407" s="1"/>
      <c r="K407" s="1"/>
      <c r="L407" s="1"/>
      <c r="M407" s="1"/>
      <c r="N407" s="18" t="str">
        <f>IF(ISNUMBER(SEARCH("ANALOG",Table246[[#This Row],[Type]]))=TRUE,1,"")</f>
        <v/>
      </c>
      <c r="O407" s="18" t="str">
        <f>IF(ISNUMBER(SEARCH("BINARY",Table246[[#This Row],[Type]]))=TRUE,1,"")</f>
        <v/>
      </c>
      <c r="P407" s="7" t="str">
        <f>IF(Table246[[#This Row],[Type]]="","",LEFT(Table246[[#This Row],[Type]],1)&amp;LEFT(#REF!,1))</f>
        <v/>
      </c>
      <c r="Q407" s="18" t="str">
        <f>IF(Table246[[#This Row],[Type]]="","",LEFT(Table246[[#This Row],[Type]],1)&amp;LEFT(#REF!,1))</f>
        <v/>
      </c>
      <c r="R407" s="18"/>
      <c r="S407" s="7" t="str">
        <f>IF(Table246[[#This Row],[A Counter]]=1,"AI"&amp;#REF!+SUM($N$43:N407),IF(Table246[[#This Row],[B Counter]]=1,"BI"&amp;#REF!+SUM($O$43:O407),""))</f>
        <v/>
      </c>
      <c r="T407" s="18" t="s">
        <v>34</v>
      </c>
    </row>
    <row r="408" spans="1:20" x14ac:dyDescent="0.25">
      <c r="A408">
        <f t="shared" si="9"/>
        <v>399</v>
      </c>
      <c r="B408" s="130" t="str">
        <f>IFERROR(RIGHT(Table246[[#This Row],[Controller Input '#]],3)*1,"")</f>
        <v/>
      </c>
      <c r="C408" s="99"/>
      <c r="D408" s="1"/>
      <c r="E408" s="1"/>
      <c r="F408" s="1"/>
      <c r="G408" s="1"/>
      <c r="H408" s="8"/>
      <c r="I408" s="1"/>
      <c r="J408" s="1"/>
      <c r="K408" s="1"/>
      <c r="L408" s="1"/>
      <c r="M408" s="1"/>
      <c r="N408" s="18" t="str">
        <f>IF(ISNUMBER(SEARCH("ANALOG",Table246[[#This Row],[Type]]))=TRUE,1,"")</f>
        <v/>
      </c>
      <c r="O408" s="18" t="str">
        <f>IF(ISNUMBER(SEARCH("BINARY",Table246[[#This Row],[Type]]))=TRUE,1,"")</f>
        <v/>
      </c>
      <c r="P408" s="7" t="str">
        <f>IF(Table246[[#This Row],[Type]]="","",LEFT(Table246[[#This Row],[Type]],1)&amp;LEFT(#REF!,1))</f>
        <v/>
      </c>
      <c r="Q408" s="18" t="str">
        <f>IF(Table246[[#This Row],[Type]]="","",LEFT(Table246[[#This Row],[Type]],1)&amp;LEFT(#REF!,1))</f>
        <v/>
      </c>
      <c r="R408" s="18"/>
      <c r="S408" s="7" t="str">
        <f>IF(Table246[[#This Row],[A Counter]]=1,"AI"&amp;#REF!+SUM($N$43:N408),IF(Table246[[#This Row],[B Counter]]=1,"BI"&amp;#REF!+SUM($O$43:O408),""))</f>
        <v/>
      </c>
      <c r="T408" s="18" t="s">
        <v>34</v>
      </c>
    </row>
    <row r="409" spans="1:20" x14ac:dyDescent="0.25">
      <c r="A409">
        <f t="shared" si="9"/>
        <v>400</v>
      </c>
      <c r="B409" s="93" t="str">
        <f>IFERROR(RIGHT(Table246[[#This Row],[Controller Input '#]],3)*1,"")</f>
        <v/>
      </c>
      <c r="C409" s="99"/>
      <c r="D409" s="1"/>
      <c r="E409" s="1"/>
      <c r="F409" s="1"/>
      <c r="G409" s="1"/>
      <c r="H409" s="8"/>
      <c r="I409" s="1"/>
      <c r="J409" s="1"/>
      <c r="K409" s="1"/>
      <c r="L409" s="1"/>
      <c r="M409" s="1"/>
      <c r="N409" s="18" t="str">
        <f>IF(ISNUMBER(SEARCH("ANALOG",Table246[[#This Row],[Type]]))=TRUE,1,"")</f>
        <v/>
      </c>
      <c r="O409" s="18" t="str">
        <f>IF(ISNUMBER(SEARCH("BINARY",Table246[[#This Row],[Type]]))=TRUE,1,"")</f>
        <v/>
      </c>
      <c r="P409" s="7" t="str">
        <f>IF(Table246[[#This Row],[Type]]="","",LEFT(Table246[[#This Row],[Type]],1)&amp;LEFT(#REF!,1))</f>
        <v/>
      </c>
      <c r="Q409" s="18" t="str">
        <f>IF(Table246[[#This Row],[Type]]="","",LEFT(Table246[[#This Row],[Type]],1)&amp;LEFT(#REF!,1))</f>
        <v/>
      </c>
      <c r="R409" s="18"/>
      <c r="S409" s="7" t="str">
        <f>IF(Table246[[#This Row],[A Counter]]=1,"AI"&amp;#REF!+SUM($N$43:N409),IF(Table246[[#This Row],[B Counter]]=1,"BI"&amp;#REF!+SUM($O$43:O409),""))</f>
        <v/>
      </c>
      <c r="T409" s="18" t="s">
        <v>34</v>
      </c>
    </row>
    <row r="410" spans="1:20" x14ac:dyDescent="0.25">
      <c r="A410">
        <f t="shared" si="9"/>
        <v>401</v>
      </c>
      <c r="B410" s="130" t="str">
        <f>IFERROR(RIGHT(Table246[[#This Row],[Controller Input '#]],3)*1,"")</f>
        <v/>
      </c>
      <c r="C410" s="101"/>
      <c r="D410" s="1"/>
      <c r="E410" s="1"/>
      <c r="F410" s="1"/>
      <c r="G410" s="1"/>
      <c r="H410" s="8"/>
      <c r="I410" s="1"/>
      <c r="J410" s="1"/>
      <c r="K410" s="1"/>
      <c r="L410" s="1"/>
      <c r="M410" s="1"/>
      <c r="N410" s="18" t="str">
        <f>IF(ISNUMBER(SEARCH("ANALOG",Table246[[#This Row],[Type]]))=TRUE,1,"")</f>
        <v/>
      </c>
      <c r="O410" s="18" t="str">
        <f>IF(ISNUMBER(SEARCH("BINARY",Table246[[#This Row],[Type]]))=TRUE,1,"")</f>
        <v/>
      </c>
      <c r="P410" s="7" t="str">
        <f>IF(Table246[[#This Row],[Type]]="","",LEFT(Table246[[#This Row],[Type]],1)&amp;LEFT(#REF!,1))</f>
        <v/>
      </c>
      <c r="Q410" s="18" t="str">
        <f>IF(Table246[[#This Row],[Type]]="","",LEFT(Table246[[#This Row],[Type]],1)&amp;LEFT(#REF!,1))</f>
        <v/>
      </c>
      <c r="R410" s="18"/>
      <c r="S410" s="7" t="str">
        <f>IF(Table246[[#This Row],[A Counter]]=1,"AI"&amp;#REF!+SUM($N$43:N410),IF(Table246[[#This Row],[B Counter]]=1,"BI"&amp;#REF!+SUM($O$43:O410),""))</f>
        <v/>
      </c>
      <c r="T410" s="18" t="s">
        <v>34</v>
      </c>
    </row>
    <row r="411" spans="1:20" x14ac:dyDescent="0.25">
      <c r="A411">
        <f t="shared" si="9"/>
        <v>402</v>
      </c>
      <c r="B411" s="93" t="str">
        <f>IFERROR(RIGHT(Table246[[#This Row],[Controller Input '#]],3)*1,"")</f>
        <v/>
      </c>
      <c r="C411" s="99"/>
      <c r="D411" s="1"/>
      <c r="E411" s="11"/>
      <c r="F411" s="11"/>
      <c r="G411" s="11"/>
      <c r="H411" s="21"/>
      <c r="I411" s="11"/>
      <c r="J411" s="11"/>
      <c r="K411" s="11"/>
      <c r="L411" s="11"/>
      <c r="M411" s="1"/>
      <c r="N411" s="18" t="str">
        <f>IF(ISNUMBER(SEARCH("ANALOG",Table246[[#This Row],[Type]]))=TRUE,1,"")</f>
        <v/>
      </c>
      <c r="O411" s="18" t="str">
        <f>IF(ISNUMBER(SEARCH("BINARY",Table246[[#This Row],[Type]]))=TRUE,1,"")</f>
        <v/>
      </c>
      <c r="P411" s="7" t="str">
        <f>IF(Table246[[#This Row],[Type]]="","",LEFT(Table246[[#This Row],[Type]],1)&amp;LEFT(#REF!,1))</f>
        <v/>
      </c>
      <c r="Q411" s="18" t="str">
        <f>IF(Table246[[#This Row],[Type]]="","",LEFT(Table246[[#This Row],[Type]],1)&amp;LEFT(#REF!,1))</f>
        <v/>
      </c>
      <c r="R411" s="18"/>
      <c r="S411" s="7" t="str">
        <f>IF(Table246[[#This Row],[A Counter]]=1,"AI"&amp;#REF!+SUM($N$43:N411),IF(Table246[[#This Row],[B Counter]]=1,"BI"&amp;#REF!+SUM($O$43:O411),""))</f>
        <v/>
      </c>
      <c r="T411" s="18" t="s">
        <v>34</v>
      </c>
    </row>
    <row r="412" spans="1:20" x14ac:dyDescent="0.25">
      <c r="A412">
        <f t="shared" si="9"/>
        <v>403</v>
      </c>
      <c r="B412" s="130" t="str">
        <f>IFERROR(RIGHT(Table246[[#This Row],[Controller Input '#]],3)*1,"")</f>
        <v/>
      </c>
      <c r="C412" s="99"/>
      <c r="D412" s="1"/>
      <c r="E412" s="11"/>
      <c r="F412" s="11"/>
      <c r="G412" s="11"/>
      <c r="H412" s="21"/>
      <c r="I412" s="11"/>
      <c r="J412" s="11"/>
      <c r="K412" s="11"/>
      <c r="L412" s="11"/>
      <c r="M412" s="1"/>
      <c r="N412" s="18" t="str">
        <f>IF(ISNUMBER(SEARCH("ANALOG",Table246[[#This Row],[Type]]))=TRUE,1,"")</f>
        <v/>
      </c>
      <c r="O412" s="18" t="str">
        <f>IF(ISNUMBER(SEARCH("BINARY",Table246[[#This Row],[Type]]))=TRUE,1,"")</f>
        <v/>
      </c>
      <c r="P412" s="7" t="str">
        <f>IF(Table246[[#This Row],[Type]]="","",LEFT(Table246[[#This Row],[Type]],1)&amp;LEFT(#REF!,1))</f>
        <v/>
      </c>
      <c r="Q412" s="18" t="str">
        <f>IF(Table246[[#This Row],[Type]]="","",LEFT(Table246[[#This Row],[Type]],1)&amp;LEFT(#REF!,1))</f>
        <v/>
      </c>
      <c r="R412" s="18"/>
      <c r="S412" s="7" t="str">
        <f>IF(Table246[[#This Row],[A Counter]]=1,"AI"&amp;#REF!+SUM($N$43:N412),IF(Table246[[#This Row],[B Counter]]=1,"BI"&amp;#REF!+SUM($O$43:O412),""))</f>
        <v/>
      </c>
      <c r="T412" s="18" t="s">
        <v>34</v>
      </c>
    </row>
    <row r="413" spans="1:20" x14ac:dyDescent="0.25">
      <c r="A413">
        <f t="shared" si="9"/>
        <v>404</v>
      </c>
      <c r="B413" s="93" t="str">
        <f>IFERROR(RIGHT(Table246[[#This Row],[Controller Input '#]],3)*1,"")</f>
        <v/>
      </c>
      <c r="C413" s="99"/>
      <c r="D413" s="1"/>
      <c r="E413" s="11"/>
      <c r="F413" s="11"/>
      <c r="G413" s="11"/>
      <c r="H413" s="21"/>
      <c r="I413" s="11"/>
      <c r="J413" s="11"/>
      <c r="K413" s="11"/>
      <c r="L413" s="11"/>
      <c r="M413" s="1"/>
      <c r="N413" s="18" t="str">
        <f>IF(ISNUMBER(SEARCH("ANALOG",Table246[[#This Row],[Type]]))=TRUE,1,"")</f>
        <v/>
      </c>
      <c r="O413" s="18" t="str">
        <f>IF(ISNUMBER(SEARCH("BINARY",Table246[[#This Row],[Type]]))=TRUE,1,"")</f>
        <v/>
      </c>
      <c r="P413" s="7" t="str">
        <f>IF(Table246[[#This Row],[Type]]="","",LEFT(Table246[[#This Row],[Type]],1)&amp;LEFT(#REF!,1))</f>
        <v/>
      </c>
      <c r="Q413" s="18" t="str">
        <f>IF(Table246[[#This Row],[Type]]="","",LEFT(Table246[[#This Row],[Type]],1)&amp;LEFT(#REF!,1))</f>
        <v/>
      </c>
      <c r="R413" s="18"/>
      <c r="S413" s="7" t="str">
        <f>IF(Table246[[#This Row],[A Counter]]=1,"AI"&amp;#REF!+SUM($N$43:N413),IF(Table246[[#This Row],[B Counter]]=1,"BI"&amp;#REF!+SUM($O$43:O413),""))</f>
        <v/>
      </c>
      <c r="T413" s="18" t="s">
        <v>34</v>
      </c>
    </row>
    <row r="414" spans="1:20" x14ac:dyDescent="0.25">
      <c r="A414">
        <f t="shared" si="9"/>
        <v>405</v>
      </c>
      <c r="B414" s="130" t="str">
        <f>IFERROR(RIGHT(Table246[[#This Row],[Controller Input '#]],3)*1,"")</f>
        <v/>
      </c>
      <c r="C414" s="99"/>
      <c r="D414" s="1"/>
      <c r="E414" s="11"/>
      <c r="F414" s="11"/>
      <c r="G414" s="11"/>
      <c r="H414" s="21"/>
      <c r="I414" s="11"/>
      <c r="J414" s="11"/>
      <c r="K414" s="11"/>
      <c r="L414" s="11"/>
      <c r="M414" s="1"/>
      <c r="N414" s="18" t="str">
        <f>IF(ISNUMBER(SEARCH("ANALOG",Table246[[#This Row],[Type]]))=TRUE,1,"")</f>
        <v/>
      </c>
      <c r="O414" s="18" t="str">
        <f>IF(ISNUMBER(SEARCH("BINARY",Table246[[#This Row],[Type]]))=TRUE,1,"")</f>
        <v/>
      </c>
      <c r="P414" s="7" t="str">
        <f>IF(Table246[[#This Row],[Type]]="","",LEFT(Table246[[#This Row],[Type]],1)&amp;LEFT(#REF!,1))</f>
        <v/>
      </c>
      <c r="Q414" s="18" t="str">
        <f>IF(Table246[[#This Row],[Type]]="","",LEFT(Table246[[#This Row],[Type]],1)&amp;LEFT(#REF!,1))</f>
        <v/>
      </c>
      <c r="R414" s="18"/>
      <c r="S414" s="7" t="str">
        <f>IF(Table246[[#This Row],[A Counter]]=1,"AI"&amp;#REF!+SUM($N$43:N414),IF(Table246[[#This Row],[B Counter]]=1,"BI"&amp;#REF!+SUM($O$43:O414),""))</f>
        <v/>
      </c>
      <c r="T414" s="18" t="s">
        <v>34</v>
      </c>
    </row>
    <row r="415" spans="1:20" x14ac:dyDescent="0.25">
      <c r="A415">
        <f t="shared" si="9"/>
        <v>406</v>
      </c>
      <c r="B415" s="93" t="str">
        <f>IFERROR(RIGHT(Table246[[#This Row],[Controller Input '#]],3)*1,"")</f>
        <v/>
      </c>
      <c r="C415" s="99"/>
      <c r="D415" s="1"/>
      <c r="E415" s="11"/>
      <c r="F415" s="11"/>
      <c r="G415" s="11"/>
      <c r="H415" s="21"/>
      <c r="I415" s="11"/>
      <c r="J415" s="11"/>
      <c r="K415" s="11"/>
      <c r="L415" s="11"/>
      <c r="M415" s="1"/>
      <c r="N415" s="18" t="str">
        <f>IF(ISNUMBER(SEARCH("ANALOG",Table246[[#This Row],[Type]]))=TRUE,1,"")</f>
        <v/>
      </c>
      <c r="O415" s="18" t="str">
        <f>IF(ISNUMBER(SEARCH("BINARY",Table246[[#This Row],[Type]]))=TRUE,1,"")</f>
        <v/>
      </c>
      <c r="P415" s="7" t="str">
        <f>IF(Table246[[#This Row],[Type]]="","",LEFT(Table246[[#This Row],[Type]],1)&amp;LEFT(#REF!,1))</f>
        <v/>
      </c>
      <c r="Q415" s="18" t="str">
        <f>IF(Table246[[#This Row],[Type]]="","",LEFT(Table246[[#This Row],[Type]],1)&amp;LEFT(#REF!,1))</f>
        <v/>
      </c>
      <c r="R415" s="18"/>
      <c r="S415" s="7" t="str">
        <f>IF(Table246[[#This Row],[A Counter]]=1,"AI"&amp;#REF!+SUM($N$43:N446),IF(Table246[[#This Row],[B Counter]]=1,"BI"&amp;#REF!+SUM($O$43:O446),""))</f>
        <v/>
      </c>
      <c r="T415" s="18" t="s">
        <v>34</v>
      </c>
    </row>
    <row r="416" spans="1:20" x14ac:dyDescent="0.25">
      <c r="A416">
        <f t="shared" si="9"/>
        <v>407</v>
      </c>
      <c r="B416" s="130" t="str">
        <f>IFERROR(RIGHT(Table246[[#This Row],[Controller Input '#]],3)*1,"")</f>
        <v/>
      </c>
      <c r="C416" s="99"/>
      <c r="D416" s="1"/>
      <c r="E416" s="1"/>
      <c r="F416" s="1"/>
      <c r="G416" s="1"/>
      <c r="H416" s="8"/>
      <c r="I416" s="1"/>
      <c r="J416" s="1"/>
      <c r="K416" s="1"/>
      <c r="L416" s="1"/>
      <c r="M416" s="1"/>
      <c r="N416" s="1" t="str">
        <f>IF(ISNUMBER(SEARCH("ANALOG",Table246[[#This Row],[Type]]))=TRUE,1,"")</f>
        <v/>
      </c>
      <c r="O416" s="1" t="str">
        <f>IF(ISNUMBER(SEARCH("BINARY",Table246[[#This Row],[Type]]))=TRUE,1,"")</f>
        <v/>
      </c>
      <c r="P416" t="str">
        <f>IF(Table246[[#This Row],[Type]]="","",LEFT(Table246[[#This Row],[Type]],1)&amp;LEFT(#REF!,1))</f>
        <v/>
      </c>
      <c r="Q416" s="1" t="str">
        <f>IF(Table246[[#This Row],[Type]]="","",LEFT(Table246[[#This Row],[Type]],1)&amp;LEFT(#REF!,1))</f>
        <v/>
      </c>
      <c r="R416" s="1"/>
      <c r="S416" s="7" t="str">
        <f>IF(Table246[[#This Row],[A Counter]]=1,"AI"&amp;#REF!+SUM($N$43:N446),IF(Table246[[#This Row],[B Counter]]=1,"BI"&amp;#REF!+SUM($O$43:O446),""))</f>
        <v/>
      </c>
      <c r="T416" s="1"/>
    </row>
    <row r="417" spans="1:20" x14ac:dyDescent="0.25">
      <c r="A417">
        <f t="shared" si="9"/>
        <v>408</v>
      </c>
      <c r="B417" s="93" t="str">
        <f>IFERROR(RIGHT(Table246[[#This Row],[Controller Input '#]],3)*1,"")</f>
        <v/>
      </c>
      <c r="C417" s="99"/>
      <c r="D417" s="1"/>
      <c r="E417" s="1" t="s">
        <v>214</v>
      </c>
      <c r="F417" s="1" t="s">
        <v>214</v>
      </c>
      <c r="G417" s="1"/>
      <c r="H417" s="8"/>
      <c r="I417" s="1"/>
      <c r="J417" s="1"/>
      <c r="K417" s="1"/>
      <c r="L417" s="1"/>
      <c r="M417" s="1"/>
      <c r="N417" s="1"/>
      <c r="O417" s="1"/>
      <c r="Q417" s="1" t="str">
        <f>IF(Table246[[#This Row],[Type]]="","",LEFT(Table246[[#This Row],[Type]],1)&amp;LEFT(#REF!,1))</f>
        <v/>
      </c>
      <c r="R417" s="1"/>
      <c r="S417" s="7" t="str">
        <f>IF(Table246[[#This Row],[A Counter]]=1,"AI"&amp;#REF!+SUM($N$43:N431),IF(Table246[[#This Row],[B Counter]]=1,"BI"&amp;#REF!+SUM($O$43:O431),""))</f>
        <v/>
      </c>
      <c r="T417" s="1"/>
    </row>
    <row r="418" spans="1:20" x14ac:dyDescent="0.25">
      <c r="A418">
        <f t="shared" si="9"/>
        <v>409</v>
      </c>
      <c r="B418" s="130" t="str">
        <f>IFERROR(RIGHT(Table246[[#This Row],[Controller Input '#]],3)*1,"")</f>
        <v/>
      </c>
      <c r="C418" s="99"/>
      <c r="D418" s="1"/>
      <c r="E418" s="1" t="s">
        <v>214</v>
      </c>
      <c r="F418" s="1" t="s">
        <v>214</v>
      </c>
      <c r="G418" s="1"/>
      <c r="H418" s="8"/>
      <c r="I418" s="1"/>
      <c r="J418" s="1"/>
      <c r="K418" s="1"/>
      <c r="L418" s="1"/>
      <c r="M418" s="1"/>
      <c r="N418" s="1"/>
      <c r="O418" s="1"/>
      <c r="Q418" s="1" t="str">
        <f>IF(Table246[[#This Row],[Type]]="","",LEFT(Table246[[#This Row],[Type]],1)&amp;LEFT(#REF!,1))</f>
        <v/>
      </c>
      <c r="R418" s="1"/>
      <c r="S418" s="7" t="str">
        <f>IF(Table246[[#This Row],[A Counter]]=1,"AI"&amp;#REF!+SUM($N$43:N432),IF(Table246[[#This Row],[B Counter]]=1,"BI"&amp;#REF!+SUM($O$43:O432),""))</f>
        <v/>
      </c>
      <c r="T418" s="1"/>
    </row>
    <row r="419" spans="1:20" x14ac:dyDescent="0.25">
      <c r="B419" s="93" t="str">
        <f>IFERROR(RIGHT(Table246[[#This Row],[Controller Input '#]],3)*1,"")</f>
        <v/>
      </c>
      <c r="C419" s="99"/>
      <c r="D419" s="1"/>
      <c r="E419" s="1" t="s">
        <v>214</v>
      </c>
      <c r="F419" s="1" t="s">
        <v>214</v>
      </c>
      <c r="G419" s="1"/>
      <c r="H419" s="8"/>
      <c r="I419" s="1"/>
      <c r="J419" s="1"/>
      <c r="K419" s="1"/>
      <c r="L419" s="1"/>
      <c r="M419" s="1"/>
      <c r="N419" s="1"/>
      <c r="O419" s="1"/>
      <c r="Q419" s="1" t="str">
        <f>IF(Table246[[#This Row],[Type]]="","",LEFT(Table246[[#This Row],[Type]],1)&amp;LEFT(#REF!,1))</f>
        <v/>
      </c>
      <c r="R419" s="1"/>
      <c r="S419" s="7" t="str">
        <f>IF(Table246[[#This Row],[A Counter]]=1,"AI"&amp;#REF!+SUM($N$43:N433),IF(Table246[[#This Row],[B Counter]]=1,"BI"&amp;#REF!+SUM($O$43:O433),""))</f>
        <v/>
      </c>
      <c r="T419" s="1"/>
    </row>
    <row r="420" spans="1:20" x14ac:dyDescent="0.25">
      <c r="B420" s="130" t="str">
        <f>IFERROR(RIGHT(Table246[[#This Row],[Controller Input '#]],3)*1,"")</f>
        <v/>
      </c>
      <c r="C420" s="99"/>
      <c r="D420" s="1"/>
      <c r="E420" s="1" t="s">
        <v>436</v>
      </c>
      <c r="F420" s="1" t="s">
        <v>437</v>
      </c>
      <c r="G420" s="1" t="s">
        <v>112</v>
      </c>
      <c r="H420" s="8"/>
      <c r="I420" s="1" t="s">
        <v>103</v>
      </c>
      <c r="J420" s="1" t="s">
        <v>71</v>
      </c>
      <c r="K420" s="1" t="s">
        <v>112</v>
      </c>
      <c r="L420" s="1"/>
      <c r="M420" s="1"/>
      <c r="N420" s="1" t="str">
        <f>IF(ISNUMBER(SEARCH("ANALOG",Table246[[#This Row],[Type]]))=TRUE,1,"")</f>
        <v/>
      </c>
      <c r="O420" s="1">
        <f>IF(ISNUMBER(SEARCH("BINARY",Table246[[#This Row],[Type]]))=TRUE,1,"")</f>
        <v>1</v>
      </c>
      <c r="P420" t="e">
        <f>IF(Table246[[#This Row],[Type]]="","",LEFT(Table246[[#This Row],[Type]],1)&amp;LEFT(#REF!,1))</f>
        <v>#REF!</v>
      </c>
      <c r="Q420" s="1" t="e">
        <f>IF(Table246[[#This Row],[Type]]="","",LEFT(Table246[[#This Row],[Type]],1)&amp;LEFT(#REF!,1))</f>
        <v>#REF!</v>
      </c>
      <c r="R420" s="1"/>
      <c r="S420" s="7" t="e">
        <f>IF(Table246[[#This Row],[A Counter]]=1,"AI"&amp;#REF!+SUM($N$43:N420),IF(Table246[[#This Row],[B Counter]]=1,"BI"&amp;#REF!+SUM($O$43:O420),""))</f>
        <v>#REF!</v>
      </c>
      <c r="T420" s="1"/>
    </row>
    <row r="421" spans="1:20" x14ac:dyDescent="0.25">
      <c r="B421" s="93" t="str">
        <f>IFERROR(RIGHT(Table246[[#This Row],[Controller Input '#]],3)*1,"")</f>
        <v/>
      </c>
      <c r="C421" s="99"/>
      <c r="D421" s="1"/>
      <c r="E421" s="1" t="s">
        <v>438</v>
      </c>
      <c r="F421" s="1" t="s">
        <v>439</v>
      </c>
      <c r="G421" s="1" t="s">
        <v>112</v>
      </c>
      <c r="H421" s="8"/>
      <c r="I421" s="1" t="s">
        <v>103</v>
      </c>
      <c r="J421" s="1" t="s">
        <v>71</v>
      </c>
      <c r="K421" s="1" t="s">
        <v>112</v>
      </c>
      <c r="L421" s="1"/>
      <c r="M421" s="1"/>
      <c r="N421" s="1" t="str">
        <f>IF(ISNUMBER(SEARCH("ANALOG",Table246[[#This Row],[Type]]))=TRUE,1,"")</f>
        <v/>
      </c>
      <c r="O421" s="1">
        <f>IF(ISNUMBER(SEARCH("BINARY",Table246[[#This Row],[Type]]))=TRUE,1,"")</f>
        <v>1</v>
      </c>
      <c r="P421" t="e">
        <f>IF(Table246[[#This Row],[Type]]="","",LEFT(Table246[[#This Row],[Type]],1)&amp;LEFT(#REF!,1))</f>
        <v>#REF!</v>
      </c>
      <c r="Q421" s="1" t="e">
        <f>IF(Table246[[#This Row],[Type]]="","",LEFT(Table246[[#This Row],[Type]],1)&amp;LEFT(#REF!,1))</f>
        <v>#REF!</v>
      </c>
      <c r="R421" s="1"/>
      <c r="S421" s="7" t="e">
        <f>IF(Table246[[#This Row],[A Counter]]=1,"AI"&amp;#REF!+SUM($N$43:N421),IF(Table246[[#This Row],[B Counter]]=1,"BI"&amp;#REF!+SUM($O$43:O421),""))</f>
        <v>#REF!</v>
      </c>
      <c r="T421" s="1"/>
    </row>
    <row r="422" spans="1:20" x14ac:dyDescent="0.25">
      <c r="B422" s="130" t="str">
        <f>IFERROR(RIGHT(Table246[[#This Row],[Controller Input '#]],3)*1,"")</f>
        <v/>
      </c>
      <c r="C422" s="99"/>
      <c r="D422" s="1"/>
      <c r="E422" s="1" t="s">
        <v>440</v>
      </c>
      <c r="F422" s="1" t="s">
        <v>441</v>
      </c>
      <c r="G422" s="1" t="s">
        <v>112</v>
      </c>
      <c r="H422" s="8"/>
      <c r="I422" s="1" t="s">
        <v>103</v>
      </c>
      <c r="J422" s="1" t="s">
        <v>71</v>
      </c>
      <c r="K422" s="1" t="s">
        <v>112</v>
      </c>
      <c r="L422" s="1"/>
      <c r="M422" s="1"/>
      <c r="N422" s="1" t="str">
        <f>IF(ISNUMBER(SEARCH("ANALOG",Table246[[#This Row],[Type]]))=TRUE,1,"")</f>
        <v/>
      </c>
      <c r="O422" s="1">
        <f>IF(ISNUMBER(SEARCH("BINARY",Table246[[#This Row],[Type]]))=TRUE,1,"")</f>
        <v>1</v>
      </c>
      <c r="P422" t="e">
        <f>IF(Table246[[#This Row],[Type]]="","",LEFT(Table246[[#This Row],[Type]],1)&amp;LEFT(#REF!,1))</f>
        <v>#REF!</v>
      </c>
      <c r="Q422" s="1" t="e">
        <f>IF(Table246[[#This Row],[Type]]="","",LEFT(Table246[[#This Row],[Type]],1)&amp;LEFT(#REF!,1))</f>
        <v>#REF!</v>
      </c>
      <c r="R422" s="1"/>
      <c r="S422" s="7" t="e">
        <f>IF(Table246[[#This Row],[A Counter]]=1,"AI"&amp;#REF!+SUM($N$43:N422),IF(Table246[[#This Row],[B Counter]]=1,"BI"&amp;#REF!+SUM($O$43:O422),""))</f>
        <v>#REF!</v>
      </c>
      <c r="T422" s="1"/>
    </row>
    <row r="423" spans="1:20" x14ac:dyDescent="0.25">
      <c r="B423" s="93" t="str">
        <f>IFERROR(RIGHT(Table246[[#This Row],[Controller Input '#]],3)*1,"")</f>
        <v/>
      </c>
      <c r="C423" s="99"/>
      <c r="D423" s="1"/>
      <c r="E423" s="1" t="s">
        <v>442</v>
      </c>
      <c r="F423" s="1" t="s">
        <v>443</v>
      </c>
      <c r="G423" s="1" t="s">
        <v>112</v>
      </c>
      <c r="H423" s="8"/>
      <c r="I423" s="1" t="s">
        <v>103</v>
      </c>
      <c r="J423" s="1" t="s">
        <v>71</v>
      </c>
      <c r="K423" s="1" t="s">
        <v>112</v>
      </c>
      <c r="L423" s="1"/>
      <c r="M423" s="1"/>
      <c r="N423" s="1" t="str">
        <f>IF(ISNUMBER(SEARCH("ANALOG",Table246[[#This Row],[Type]]))=TRUE,1,"")</f>
        <v/>
      </c>
      <c r="O423" s="1">
        <f>IF(ISNUMBER(SEARCH("BINARY",Table246[[#This Row],[Type]]))=TRUE,1,"")</f>
        <v>1</v>
      </c>
      <c r="P423" t="e">
        <f>IF(Table246[[#This Row],[Type]]="","",LEFT(Table246[[#This Row],[Type]],1)&amp;LEFT(#REF!,1))</f>
        <v>#REF!</v>
      </c>
      <c r="Q423" s="1" t="e">
        <f>IF(Table246[[#This Row],[Type]]="","",LEFT(Table246[[#This Row],[Type]],1)&amp;LEFT(#REF!,1))</f>
        <v>#REF!</v>
      </c>
      <c r="R423" s="1"/>
      <c r="S423" s="7" t="e">
        <f>IF(Table246[[#This Row],[A Counter]]=1,"AI"&amp;#REF!+SUM($N$43:N423),IF(Table246[[#This Row],[B Counter]]=1,"BI"&amp;#REF!+SUM($O$43:O423),""))</f>
        <v>#REF!</v>
      </c>
      <c r="T423" s="1"/>
    </row>
    <row r="424" spans="1:20" x14ac:dyDescent="0.25">
      <c r="B424" s="130" t="str">
        <f>IFERROR(RIGHT(Table246[[#This Row],[Controller Input '#]],3)*1,"")</f>
        <v/>
      </c>
      <c r="C424" s="99"/>
      <c r="D424" s="1"/>
      <c r="E424" s="1" t="s">
        <v>444</v>
      </c>
      <c r="F424" s="1" t="s">
        <v>445</v>
      </c>
      <c r="G424" s="1" t="s">
        <v>112</v>
      </c>
      <c r="H424" s="8"/>
      <c r="I424" s="1" t="s">
        <v>103</v>
      </c>
      <c r="J424" s="1" t="s">
        <v>71</v>
      </c>
      <c r="K424" s="1" t="s">
        <v>112</v>
      </c>
      <c r="L424" s="1"/>
      <c r="M424" s="1"/>
      <c r="N424" s="1" t="str">
        <f>IF(ISNUMBER(SEARCH("ANALOG",Table246[[#This Row],[Type]]))=TRUE,1,"")</f>
        <v/>
      </c>
      <c r="O424" s="1">
        <f>IF(ISNUMBER(SEARCH("BINARY",Table246[[#This Row],[Type]]))=TRUE,1,"")</f>
        <v>1</v>
      </c>
      <c r="P424" t="e">
        <f>IF(Table246[[#This Row],[Type]]="","",LEFT(Table246[[#This Row],[Type]],1)&amp;LEFT(#REF!,1))</f>
        <v>#REF!</v>
      </c>
      <c r="Q424" s="1" t="e">
        <f>IF(Table246[[#This Row],[Type]]="","",LEFT(Table246[[#This Row],[Type]],1)&amp;LEFT(#REF!,1))</f>
        <v>#REF!</v>
      </c>
      <c r="R424" s="1"/>
      <c r="S424" s="7" t="e">
        <f>IF(Table246[[#This Row],[A Counter]]=1,"AI"&amp;#REF!+SUM($N$43:N424),IF(Table246[[#This Row],[B Counter]]=1,"BI"&amp;#REF!+SUM($O$43:O424),""))</f>
        <v>#REF!</v>
      </c>
      <c r="T424" s="1"/>
    </row>
    <row r="425" spans="1:20" x14ac:dyDescent="0.25">
      <c r="B425" s="93" t="str">
        <f>IFERROR(RIGHT(Table246[[#This Row],[Controller Input '#]],3)*1,"")</f>
        <v/>
      </c>
      <c r="C425" s="99"/>
      <c r="D425" s="1"/>
      <c r="E425" s="1" t="s">
        <v>446</v>
      </c>
      <c r="F425" s="1" t="s">
        <v>447</v>
      </c>
      <c r="G425" s="1" t="s">
        <v>112</v>
      </c>
      <c r="H425" s="8"/>
      <c r="I425" s="1" t="s">
        <v>103</v>
      </c>
      <c r="J425" s="1" t="s">
        <v>71</v>
      </c>
      <c r="K425" s="1" t="s">
        <v>112</v>
      </c>
      <c r="L425" s="1"/>
      <c r="M425" s="1"/>
      <c r="N425" s="1" t="str">
        <f>IF(ISNUMBER(SEARCH("ANALOG",Table246[[#This Row],[Type]]))=TRUE,1,"")</f>
        <v/>
      </c>
      <c r="O425" s="1">
        <f>IF(ISNUMBER(SEARCH("BINARY",Table246[[#This Row],[Type]]))=TRUE,1,"")</f>
        <v>1</v>
      </c>
      <c r="P425" t="e">
        <f>IF(Table246[[#This Row],[Type]]="","",LEFT(Table246[[#This Row],[Type]],1)&amp;LEFT(#REF!,1))</f>
        <v>#REF!</v>
      </c>
      <c r="Q425" s="1" t="e">
        <f>IF(Table246[[#This Row],[Type]]="","",LEFT(Table246[[#This Row],[Type]],1)&amp;LEFT(#REF!,1))</f>
        <v>#REF!</v>
      </c>
      <c r="R425" s="1"/>
      <c r="S425" s="7" t="e">
        <f>IF(Table246[[#This Row],[A Counter]]=1,"AI"&amp;#REF!+SUM($N$43:N446),IF(Table246[[#This Row],[B Counter]]=1,"BI"&amp;#REF!+SUM($O$43:O446),""))</f>
        <v>#REF!</v>
      </c>
      <c r="T425" s="1"/>
    </row>
    <row r="426" spans="1:20" x14ac:dyDescent="0.25">
      <c r="B426" s="130" t="str">
        <f>IFERROR(RIGHT(Table246[[#This Row],[Controller Input '#]],3)*1,"")</f>
        <v/>
      </c>
      <c r="C426" s="99"/>
      <c r="D426" s="1"/>
      <c r="E426" s="1" t="s">
        <v>214</v>
      </c>
      <c r="F426" s="1" t="s">
        <v>214</v>
      </c>
      <c r="G426" s="1"/>
      <c r="H426" s="8"/>
      <c r="I426" s="1"/>
      <c r="J426" s="1"/>
      <c r="K426" s="1"/>
      <c r="L426" s="1"/>
      <c r="M426" s="1"/>
      <c r="N426" s="1" t="str">
        <f>IF(ISNUMBER(SEARCH("ANALOG",Table246[[#This Row],[Type]]))=TRUE,1,"")</f>
        <v/>
      </c>
      <c r="O426" s="1" t="str">
        <f>IF(ISNUMBER(SEARCH("BINARY",Table246[[#This Row],[Type]]))=TRUE,1,"")</f>
        <v/>
      </c>
      <c r="P426" t="str">
        <f>IF(Table246[[#This Row],[Type]]="","",LEFT(Table246[[#This Row],[Type]],1)&amp;LEFT(#REF!,1))</f>
        <v/>
      </c>
      <c r="Q426" s="1" t="str">
        <f>IF(Table246[[#This Row],[Type]]="","",LEFT(Table246[[#This Row],[Type]],1)&amp;LEFT(#REF!,1))</f>
        <v/>
      </c>
      <c r="R426" s="1"/>
      <c r="S426" t="str">
        <f>IF(Table246[[#This Row],[A Counter]]=1,"AI"&amp;#REF!+SUM($N$43:N426),IF(Table246[[#This Row],[B Counter]]=1,"BI"&amp;#REF!+SUM($O$43:O426),""))</f>
        <v/>
      </c>
      <c r="T426" s="1"/>
    </row>
    <row r="427" spans="1:20" x14ac:dyDescent="0.25">
      <c r="B427" s="93" t="str">
        <f>IFERROR(RIGHT(Table246[[#This Row],[Controller Input '#]],3)*1,"")</f>
        <v/>
      </c>
      <c r="C427" s="99"/>
      <c r="D427" s="1"/>
      <c r="E427" s="1" t="s">
        <v>214</v>
      </c>
      <c r="F427" s="1" t="s">
        <v>214</v>
      </c>
      <c r="G427" s="1"/>
      <c r="H427" s="8"/>
      <c r="I427" s="1"/>
      <c r="J427" s="1"/>
      <c r="K427" s="1"/>
      <c r="L427" s="1"/>
      <c r="M427" s="1"/>
      <c r="N427" s="1" t="str">
        <f>IF(ISNUMBER(SEARCH("ANALOG",Table246[[#This Row],[Type]]))=TRUE,1,"")</f>
        <v/>
      </c>
      <c r="O427" s="1" t="str">
        <f>IF(ISNUMBER(SEARCH("BINARY",Table246[[#This Row],[Type]]))=TRUE,1,"")</f>
        <v/>
      </c>
      <c r="P427" t="str">
        <f>IF(Table246[[#This Row],[Type]]="","",LEFT(Table246[[#This Row],[Type]],1)&amp;LEFT(#REF!,1))</f>
        <v/>
      </c>
      <c r="Q427" s="1" t="str">
        <f>IF(Table246[[#This Row],[Type]]="","",LEFT(Table246[[#This Row],[Type]],1)&amp;LEFT(#REF!,1))</f>
        <v/>
      </c>
      <c r="R427" s="1"/>
      <c r="S427" t="str">
        <f>IF(Table246[[#This Row],[A Counter]]=1,"AI"&amp;#REF!+SUM($N$43:N427),IF(Table246[[#This Row],[B Counter]]=1,"BI"&amp;#REF!+SUM($O$43:O427),""))</f>
        <v/>
      </c>
      <c r="T427" s="1"/>
    </row>
    <row r="428" spans="1:20" x14ac:dyDescent="0.25">
      <c r="B428" s="130" t="str">
        <f>IFERROR(RIGHT(Table246[[#This Row],[Controller Input '#]],3)*1,"")</f>
        <v/>
      </c>
      <c r="C428" s="99"/>
      <c r="D428" s="1"/>
      <c r="E428" s="1" t="s">
        <v>214</v>
      </c>
      <c r="F428" s="1" t="s">
        <v>214</v>
      </c>
      <c r="G428" s="1"/>
      <c r="H428" s="8"/>
      <c r="I428" s="1"/>
      <c r="J428" s="1"/>
      <c r="K428" s="1"/>
      <c r="L428" s="1"/>
      <c r="M428" s="1"/>
      <c r="N428" s="1" t="str">
        <f>IF(ISNUMBER(SEARCH("ANALOG",Table246[[#This Row],[Type]]))=TRUE,1,"")</f>
        <v/>
      </c>
      <c r="O428" s="1" t="str">
        <f>IF(ISNUMBER(SEARCH("BINARY",Table246[[#This Row],[Type]]))=TRUE,1,"")</f>
        <v/>
      </c>
      <c r="P428" t="str">
        <f>IF(Table246[[#This Row],[Type]]="","",LEFT(Table246[[#This Row],[Type]],1)&amp;LEFT(#REF!,1))</f>
        <v/>
      </c>
      <c r="Q428" s="1" t="str">
        <f>IF(Table246[[#This Row],[Type]]="","",LEFT(Table246[[#This Row],[Type]],1)&amp;LEFT(#REF!,1))</f>
        <v/>
      </c>
      <c r="R428" s="1"/>
      <c r="S428" t="str">
        <f>IF(Table246[[#This Row],[A Counter]]=1,"AI"&amp;#REF!+SUM($N$43:N446),IF(Table246[[#This Row],[B Counter]]=1,"BI"&amp;#REF!+SUM($O$43:O446),""))</f>
        <v/>
      </c>
      <c r="T428" s="1"/>
    </row>
    <row r="429" spans="1:20" x14ac:dyDescent="0.25">
      <c r="B429" s="93" t="str">
        <f>IFERROR(RIGHT(Table246[[#This Row],[Controller Input '#]],3)*1,"")</f>
        <v/>
      </c>
      <c r="C429" s="99"/>
      <c r="D429" s="1"/>
      <c r="E429" s="1" t="s">
        <v>214</v>
      </c>
      <c r="F429" s="1" t="s">
        <v>214</v>
      </c>
      <c r="G429" s="1"/>
      <c r="H429" s="8"/>
      <c r="I429" s="1"/>
      <c r="J429" s="1"/>
      <c r="K429" s="1"/>
      <c r="L429" s="1"/>
      <c r="M429" s="1"/>
      <c r="N429" s="1" t="str">
        <f>IF(ISNUMBER(SEARCH("ANALOG",Table246[[#This Row],[Type]]))=TRUE,1,"")</f>
        <v/>
      </c>
      <c r="O429" s="1" t="str">
        <f>IF(ISNUMBER(SEARCH("BINARY",Table246[[#This Row],[Type]]))=TRUE,1,"")</f>
        <v/>
      </c>
      <c r="P429" t="str">
        <f>IF(Table246[[#This Row],[Type]]="","",LEFT(Table246[[#This Row],[Type]],1)&amp;LEFT(#REF!,1))</f>
        <v/>
      </c>
      <c r="Q429" s="1" t="str">
        <f>IF(Table246[[#This Row],[Type]]="","",LEFT(Table246[[#This Row],[Type]],1)&amp;LEFT(#REF!,1))</f>
        <v/>
      </c>
      <c r="R429" s="1"/>
      <c r="S429" t="str">
        <f>IF(Table246[[#This Row],[A Counter]]=1,"AI"&amp;#REF!+SUM($N$43:N429),IF(Table246[[#This Row],[B Counter]]=1,"BI"&amp;#REF!+SUM($O$43:O429),""))</f>
        <v/>
      </c>
      <c r="T429" s="1"/>
    </row>
    <row r="430" spans="1:20" x14ac:dyDescent="0.25">
      <c r="B430" s="130" t="str">
        <f>IFERROR(RIGHT(Table246[[#This Row],[Controller Input '#]],3)*1,"")</f>
        <v/>
      </c>
      <c r="C430" s="99"/>
      <c r="D430" s="1"/>
      <c r="E430" s="1" t="s">
        <v>214</v>
      </c>
      <c r="F430" s="1" t="s">
        <v>214</v>
      </c>
      <c r="G430" s="1"/>
      <c r="H430" s="8"/>
      <c r="I430" s="1"/>
      <c r="J430" s="1"/>
      <c r="K430" s="1"/>
      <c r="L430" s="1"/>
      <c r="M430" s="1"/>
      <c r="N430" s="1" t="str">
        <f>IF(ISNUMBER(SEARCH("ANALOG",Table246[[#This Row],[Type]]))=TRUE,1,"")</f>
        <v/>
      </c>
      <c r="O430" s="1" t="str">
        <f>IF(ISNUMBER(SEARCH("BINARY",Table246[[#This Row],[Type]]))=TRUE,1,"")</f>
        <v/>
      </c>
      <c r="P430" t="str">
        <f>IF(Table246[[#This Row],[Type]]="","",LEFT(Table246[[#This Row],[Type]],1)&amp;LEFT(#REF!,1))</f>
        <v/>
      </c>
      <c r="Q430" s="1" t="str">
        <f>IF(Table246[[#This Row],[Type]]="","",LEFT(Table246[[#This Row],[Type]],1)&amp;LEFT(#REF!,1))</f>
        <v/>
      </c>
      <c r="R430" s="1"/>
      <c r="S430" t="str">
        <f>IF(Table246[[#This Row],[A Counter]]=1,"AI"&amp;#REF!+SUM($N$43:N446),IF(Table246[[#This Row],[B Counter]]=1,"BI"&amp;#REF!+SUM($O$43:O446),""))</f>
        <v/>
      </c>
      <c r="T430" s="1"/>
    </row>
    <row r="431" spans="1:20" x14ac:dyDescent="0.25">
      <c r="B431" s="93" t="str">
        <f>IFERROR(RIGHT(Table246[[#This Row],[Controller Input '#]],3)*1,"")</f>
        <v/>
      </c>
      <c r="C431" s="99"/>
      <c r="D431" s="1"/>
      <c r="E431" s="1" t="s">
        <v>452</v>
      </c>
      <c r="F431" s="1" t="s">
        <v>453</v>
      </c>
      <c r="G431" s="1" t="s">
        <v>133</v>
      </c>
      <c r="H431" s="8"/>
      <c r="I431" s="1" t="s">
        <v>70</v>
      </c>
      <c r="J431" s="1" t="s">
        <v>71</v>
      </c>
      <c r="K431" s="1" t="s">
        <v>80</v>
      </c>
      <c r="L431" s="1"/>
      <c r="M431" s="1"/>
      <c r="N431" s="1">
        <f>IF(ISNUMBER(SEARCH("ANALOG",Table246[[#This Row],[Type]]))=TRUE,1,"")</f>
        <v>1</v>
      </c>
      <c r="O431" s="1" t="str">
        <f>IF(ISNUMBER(SEARCH("BINARY",Table246[[#This Row],[Type]]))=TRUE,1,"")</f>
        <v/>
      </c>
      <c r="P431" t="e">
        <f>IF(Table246[[#This Row],[Type]]="","",LEFT(Table246[[#This Row],[Type]],1)&amp;LEFT(#REF!,1))</f>
        <v>#REF!</v>
      </c>
      <c r="Q431" s="1" t="e">
        <f>IF(Table246[[#This Row],[Type]]="","",LEFT(Table246[[#This Row],[Type]],1)&amp;LEFT(#REF!,1))</f>
        <v>#REF!</v>
      </c>
      <c r="R431" s="1"/>
      <c r="S431" t="e">
        <f>IF(Table246[[#This Row],[A Counter]]=1,"AI"&amp;#REF!+SUM($N$43:N446),IF(Table246[[#This Row],[B Counter]]=1,"BI"&amp;#REF!+SUM($O$43:O446),""))</f>
        <v>#REF!</v>
      </c>
      <c r="T431" s="1"/>
    </row>
    <row r="432" spans="1:20" x14ac:dyDescent="0.25">
      <c r="B432" s="130" t="str">
        <f>IFERROR(RIGHT(Table246[[#This Row],[Controller Input '#]],3)*1,"")</f>
        <v/>
      </c>
      <c r="C432" s="99"/>
      <c r="D432" s="1"/>
      <c r="E432" s="1" t="s">
        <v>454</v>
      </c>
      <c r="F432" s="1" t="s">
        <v>455</v>
      </c>
      <c r="G432" s="1" t="s">
        <v>133</v>
      </c>
      <c r="H432" s="8"/>
      <c r="I432" s="1" t="s">
        <v>70</v>
      </c>
      <c r="J432" s="1" t="s">
        <v>71</v>
      </c>
      <c r="K432" s="1" t="s">
        <v>80</v>
      </c>
      <c r="L432" s="1"/>
      <c r="M432" s="1"/>
      <c r="N432" s="1">
        <f>IF(ISNUMBER(SEARCH("ANALOG",Table246[[#This Row],[Type]]))=TRUE,1,"")</f>
        <v>1</v>
      </c>
      <c r="O432" s="1" t="str">
        <f>IF(ISNUMBER(SEARCH("BINARY",Table246[[#This Row],[Type]]))=TRUE,1,"")</f>
        <v/>
      </c>
      <c r="P432" t="e">
        <f>IF(Table246[[#This Row],[Type]]="","",LEFT(Table246[[#This Row],[Type]],1)&amp;LEFT(#REF!,1))</f>
        <v>#REF!</v>
      </c>
      <c r="Q432" s="1" t="e">
        <f>IF(Table246[[#This Row],[Type]]="","",LEFT(Table246[[#This Row],[Type]],1)&amp;LEFT(#REF!,1))</f>
        <v>#REF!</v>
      </c>
      <c r="R432" s="1"/>
      <c r="S432" t="e">
        <f>IF(Table246[[#This Row],[A Counter]]=1,"AI"&amp;#REF!+SUM($N$43:N430),IF(Table246[[#This Row],[B Counter]]=1,"BI"&amp;#REF!+SUM($O$43:O430),""))</f>
        <v>#REF!</v>
      </c>
      <c r="T432" s="1"/>
    </row>
    <row r="433" spans="2:20" x14ac:dyDescent="0.25">
      <c r="B433" s="93" t="str">
        <f>IFERROR(RIGHT(Table246[[#This Row],[Controller Input '#]],3)*1,"")</f>
        <v/>
      </c>
      <c r="C433" s="99"/>
      <c r="D433" s="1"/>
      <c r="E433" s="1" t="s">
        <v>456</v>
      </c>
      <c r="F433" s="1" t="s">
        <v>457</v>
      </c>
      <c r="G433" s="1" t="s">
        <v>133</v>
      </c>
      <c r="H433" s="8"/>
      <c r="I433" s="1" t="s">
        <v>70</v>
      </c>
      <c r="J433" s="1" t="s">
        <v>71</v>
      </c>
      <c r="K433" s="1" t="s">
        <v>80</v>
      </c>
      <c r="L433" s="1"/>
      <c r="M433" s="1"/>
      <c r="N433" s="1">
        <f>IF(ISNUMBER(SEARCH("ANALOG",Table246[[#This Row],[Type]]))=TRUE,1,"")</f>
        <v>1</v>
      </c>
      <c r="O433" s="1" t="str">
        <f>IF(ISNUMBER(SEARCH("BINARY",Table246[[#This Row],[Type]]))=TRUE,1,"")</f>
        <v/>
      </c>
      <c r="P433" t="e">
        <f>IF(Table246[[#This Row],[Type]]="","",LEFT(Table246[[#This Row],[Type]],1)&amp;LEFT(#REF!,1))</f>
        <v>#REF!</v>
      </c>
      <c r="Q433" s="1" t="e">
        <f>IF(Table246[[#This Row],[Type]]="","",LEFT(Table246[[#This Row],[Type]],1)&amp;LEFT(#REF!,1))</f>
        <v>#REF!</v>
      </c>
      <c r="R433" s="1"/>
      <c r="S433" t="e">
        <f>IF(Table246[[#This Row],[A Counter]]=1,"AI"&amp;#REF!+SUM($N$43:N433),IF(Table246[[#This Row],[B Counter]]=1,"BI"&amp;#REF!+SUM($O$43:O433),""))</f>
        <v>#REF!</v>
      </c>
      <c r="T433" s="1"/>
    </row>
    <row r="434" spans="2:20" x14ac:dyDescent="0.25">
      <c r="B434" s="130" t="str">
        <f>IFERROR(RIGHT(Table246[[#This Row],[Controller Input '#]],3)*1,"")</f>
        <v/>
      </c>
      <c r="C434" s="99"/>
      <c r="D434" s="1"/>
      <c r="E434" t="s">
        <v>458</v>
      </c>
      <c r="F434" t="s">
        <v>459</v>
      </c>
      <c r="G434" s="1" t="s">
        <v>218</v>
      </c>
      <c r="H434" s="8"/>
      <c r="I434" t="s">
        <v>70</v>
      </c>
      <c r="J434" t="s">
        <v>71</v>
      </c>
      <c r="K434" t="s">
        <v>460</v>
      </c>
      <c r="L434" s="1"/>
      <c r="M434" s="1"/>
      <c r="N434" s="1">
        <f>IF(ISNUMBER(SEARCH("ANALOG",Table246[[#This Row],[Type]]))=TRUE,1,"")</f>
        <v>1</v>
      </c>
      <c r="O434" s="1" t="str">
        <f>IF(ISNUMBER(SEARCH("BINARY",Table246[[#This Row],[Type]]))=TRUE,1,"")</f>
        <v/>
      </c>
      <c r="P434" t="e">
        <f>IF(Table246[[#This Row],[Type]]="","",LEFT(Table246[[#This Row],[Type]],1)&amp;LEFT(#REF!,1))</f>
        <v>#REF!</v>
      </c>
      <c r="Q434" s="1" t="e">
        <f>IF(Table246[[#This Row],[Type]]="","",LEFT(Table246[[#This Row],[Type]],1)&amp;LEFT(#REF!,1))</f>
        <v>#REF!</v>
      </c>
      <c r="R434" s="1"/>
      <c r="S434" t="e">
        <f>IF(Table246[[#This Row],[A Counter]]=1,"AI"&amp;#REF!+SUM($N$43:N434),IF(Table246[[#This Row],[B Counter]]=1,"BI"&amp;#REF!+SUM($O$43:O434),""))</f>
        <v>#REF!</v>
      </c>
      <c r="T434" s="1"/>
    </row>
    <row r="435" spans="2:20" x14ac:dyDescent="0.25">
      <c r="B435" s="93" t="str">
        <f>IFERROR(RIGHT(Table246[[#This Row],[Controller Input '#]],3)*1,"")</f>
        <v/>
      </c>
      <c r="C435" s="99"/>
      <c r="D435" s="1"/>
      <c r="E435" t="s">
        <v>461</v>
      </c>
      <c r="F435" t="s">
        <v>462</v>
      </c>
      <c r="G435" t="s">
        <v>112</v>
      </c>
      <c r="H435" s="8"/>
      <c r="I435" t="s">
        <v>103</v>
      </c>
      <c r="J435" t="s">
        <v>71</v>
      </c>
      <c r="K435" t="s">
        <v>112</v>
      </c>
      <c r="L435" s="1"/>
      <c r="M435" s="1"/>
      <c r="N435" s="1" t="str">
        <f>IF(ISNUMBER(SEARCH("ANALOG",Table246[[#This Row],[Type]]))=TRUE,1,"")</f>
        <v/>
      </c>
      <c r="O435" s="1">
        <f>IF(ISNUMBER(SEARCH("BINARY",Table246[[#This Row],[Type]]))=TRUE,1,"")</f>
        <v>1</v>
      </c>
      <c r="P435" t="e">
        <f>IF(Table246[[#This Row],[Type]]="","",LEFT(Table246[[#This Row],[Type]],1)&amp;LEFT(#REF!,1))</f>
        <v>#REF!</v>
      </c>
      <c r="Q435" s="1" t="e">
        <f>IF(Table246[[#This Row],[Type]]="","",LEFT(Table246[[#This Row],[Type]],1)&amp;LEFT(#REF!,1))</f>
        <v>#REF!</v>
      </c>
      <c r="R435" s="1"/>
      <c r="S435" t="e">
        <f>IF(Table246[[#This Row],[A Counter]]=1,"AI"&amp;#REF!+SUM($N$43:N435),IF(Table246[[#This Row],[B Counter]]=1,"BI"&amp;#REF!+SUM($O$43:O435),""))</f>
        <v>#REF!</v>
      </c>
      <c r="T435" s="1"/>
    </row>
    <row r="436" spans="2:20" x14ac:dyDescent="0.25">
      <c r="B436" s="130" t="str">
        <f>IFERROR(RIGHT(Table246[[#This Row],[Controller Input '#]],3)*1,"")</f>
        <v/>
      </c>
      <c r="C436" s="99"/>
      <c r="D436" s="1"/>
      <c r="E436" t="s">
        <v>463</v>
      </c>
      <c r="F436" t="s">
        <v>464</v>
      </c>
      <c r="G436" t="s">
        <v>112</v>
      </c>
      <c r="H436" s="8"/>
      <c r="I436" t="s">
        <v>103</v>
      </c>
      <c r="J436" t="s">
        <v>71</v>
      </c>
      <c r="K436" t="s">
        <v>465</v>
      </c>
      <c r="L436" s="1"/>
      <c r="M436" s="1"/>
      <c r="N436" s="1" t="str">
        <f>IF(ISNUMBER(SEARCH("ANALOG",Table246[[#This Row],[Type]]))=TRUE,1,"")</f>
        <v/>
      </c>
      <c r="O436" s="1">
        <f>IF(ISNUMBER(SEARCH("BINARY",Table246[[#This Row],[Type]]))=TRUE,1,"")</f>
        <v>1</v>
      </c>
      <c r="P436" t="e">
        <f>IF(Table246[[#This Row],[Type]]="","",LEFT(Table246[[#This Row],[Type]],1)&amp;LEFT(#REF!,1))</f>
        <v>#REF!</v>
      </c>
      <c r="Q436" s="1" t="e">
        <f>IF(Table246[[#This Row],[Type]]="","",LEFT(Table246[[#This Row],[Type]],1)&amp;LEFT(#REF!,1))</f>
        <v>#REF!</v>
      </c>
      <c r="R436" s="1"/>
      <c r="S436" t="e">
        <f>IF(Table246[[#This Row],[A Counter]]=1,"AI"&amp;#REF!+SUM($N$43:N436),IF(Table246[[#This Row],[B Counter]]=1,"BI"&amp;#REF!+SUM($O$43:O436),""))</f>
        <v>#REF!</v>
      </c>
      <c r="T436" s="1"/>
    </row>
    <row r="437" spans="2:20" x14ac:dyDescent="0.25">
      <c r="B437" s="93" t="str">
        <f>IFERROR(RIGHT(Table246[[#This Row],[Controller Input '#]],3)*1,"")</f>
        <v/>
      </c>
      <c r="C437" s="99"/>
      <c r="D437" s="1"/>
      <c r="E437" t="s">
        <v>994</v>
      </c>
      <c r="F437" t="s">
        <v>993</v>
      </c>
      <c r="G437" t="s">
        <v>79</v>
      </c>
      <c r="H437" s="8"/>
      <c r="I437" t="s">
        <v>70</v>
      </c>
      <c r="J437" t="s">
        <v>71</v>
      </c>
      <c r="K437" t="s">
        <v>466</v>
      </c>
      <c r="L437" s="1"/>
      <c r="M437" s="1"/>
      <c r="N437" s="1">
        <f>IF(ISNUMBER(SEARCH("ANALOG",Table246[[#This Row],[Type]]))=TRUE,1,"")</f>
        <v>1</v>
      </c>
      <c r="O437" s="1" t="str">
        <f>IF(ISNUMBER(SEARCH("BINARY",Table246[[#This Row],[Type]]))=TRUE,1,"")</f>
        <v/>
      </c>
      <c r="P437" t="e">
        <f>IF(Table246[[#This Row],[Type]]="","",LEFT(Table246[[#This Row],[Type]],1)&amp;LEFT(#REF!,1))</f>
        <v>#REF!</v>
      </c>
      <c r="Q437" s="1" t="e">
        <f>IF(Table246[[#This Row],[Type]]="","",LEFT(Table246[[#This Row],[Type]],1)&amp;LEFT(#REF!,1))</f>
        <v>#REF!</v>
      </c>
      <c r="R437" s="1"/>
      <c r="S437" t="e">
        <f>IF(Table246[[#This Row],[A Counter]]=1,"AI"&amp;#REF!+SUM($N$43:N437),IF(Table246[[#This Row],[B Counter]]=1,"BI"&amp;#REF!+SUM($O$43:O437),""))</f>
        <v>#REF!</v>
      </c>
      <c r="T437" s="1"/>
    </row>
    <row r="438" spans="2:20" x14ac:dyDescent="0.25">
      <c r="B438" s="130" t="str">
        <f>IFERROR(RIGHT(Table246[[#This Row],[Controller Input '#]],3)*1,"")</f>
        <v/>
      </c>
      <c r="C438" s="99"/>
      <c r="D438" s="1"/>
      <c r="E438" t="s">
        <v>468</v>
      </c>
      <c r="F438" t="s">
        <v>469</v>
      </c>
      <c r="G438" t="s">
        <v>79</v>
      </c>
      <c r="H438" s="8"/>
      <c r="I438" t="s">
        <v>70</v>
      </c>
      <c r="J438" t="s">
        <v>470</v>
      </c>
      <c r="K438" t="s">
        <v>80</v>
      </c>
      <c r="L438" s="1"/>
      <c r="M438" s="1"/>
      <c r="N438" s="1">
        <f>IF(ISNUMBER(SEARCH("ANALOG",Table246[[#This Row],[Type]]))=TRUE,1,"")</f>
        <v>1</v>
      </c>
      <c r="O438" s="1" t="str">
        <f>IF(ISNUMBER(SEARCH("BINARY",Table246[[#This Row],[Type]]))=TRUE,1,"")</f>
        <v/>
      </c>
      <c r="P438" t="e">
        <f>IF(Table246[[#This Row],[Type]]="","",LEFT(Table246[[#This Row],[Type]],1)&amp;LEFT(#REF!,1))</f>
        <v>#REF!</v>
      </c>
      <c r="Q438" s="1" t="e">
        <f>IF(Table246[[#This Row],[Type]]="","",LEFT(Table246[[#This Row],[Type]],1)&amp;LEFT(#REF!,1))</f>
        <v>#REF!</v>
      </c>
      <c r="R438" s="1"/>
      <c r="S438" t="e">
        <f>IF(Table246[[#This Row],[A Counter]]=1,"AI"&amp;#REF!+SUM($N$43:N446),IF(Table246[[#This Row],[B Counter]]=1,"BI"&amp;#REF!+SUM($O$43:O446),""))</f>
        <v>#REF!</v>
      </c>
      <c r="T438" s="1"/>
    </row>
    <row r="439" spans="2:20" x14ac:dyDescent="0.25">
      <c r="B439" s="93" t="str">
        <f>IFERROR(RIGHT(Table246[[#This Row],[Controller Input '#]],3)*1,"")</f>
        <v/>
      </c>
      <c r="C439" s="99"/>
      <c r="D439" s="1"/>
      <c r="E439" s="65" t="s">
        <v>471</v>
      </c>
      <c r="F439" s="65" t="s">
        <v>472</v>
      </c>
      <c r="G439" t="s">
        <v>1001</v>
      </c>
      <c r="H439" s="8"/>
      <c r="I439" s="65" t="s">
        <v>70</v>
      </c>
      <c r="J439" s="65" t="s">
        <v>71</v>
      </c>
      <c r="K439" s="65" t="s">
        <v>460</v>
      </c>
      <c r="L439" s="1"/>
      <c r="M439" s="1"/>
      <c r="N439" s="1">
        <f>IF(ISNUMBER(SEARCH("ANALOG",Table246[[#This Row],[Type]]))=TRUE,1,"")</f>
        <v>1</v>
      </c>
      <c r="O439" s="1" t="str">
        <f>IF(ISNUMBER(SEARCH("BINARY",Table246[[#This Row],[Type]]))=TRUE,1,"")</f>
        <v/>
      </c>
      <c r="P439" t="e">
        <f>IF(Table246[[#This Row],[Type]]="","",LEFT(Table246[[#This Row],[Type]],1)&amp;LEFT(#REF!,1))</f>
        <v>#REF!</v>
      </c>
      <c r="Q439" s="1" t="e">
        <f>IF(Table246[[#This Row],[Type]]="","",LEFT(Table246[[#This Row],[Type]],1)&amp;LEFT(#REF!,1))</f>
        <v>#REF!</v>
      </c>
      <c r="R439" s="1"/>
      <c r="S439" t="e">
        <f>IF(Table246[[#This Row],[A Counter]]=1,"AI"&amp;#REF!+SUM($N$43:N439),IF(Table246[[#This Row],[B Counter]]=1,"BI"&amp;#REF!+SUM($O$43:O439),""))</f>
        <v>#REF!</v>
      </c>
      <c r="T439" s="1"/>
    </row>
    <row r="440" spans="2:20" x14ac:dyDescent="0.25">
      <c r="B440" s="130" t="str">
        <f>IFERROR(RIGHT(Table246[[#This Row],[Controller Input '#]],3)*1,"")</f>
        <v/>
      </c>
      <c r="C440" s="99"/>
      <c r="D440" s="1"/>
      <c r="E440" s="65" t="s">
        <v>473</v>
      </c>
      <c r="F440" s="65" t="s">
        <v>474</v>
      </c>
      <c r="G440" t="s">
        <v>1001</v>
      </c>
      <c r="H440" s="8"/>
      <c r="I440" s="65" t="s">
        <v>70</v>
      </c>
      <c r="J440" s="65" t="s">
        <v>71</v>
      </c>
      <c r="K440" s="65" t="s">
        <v>460</v>
      </c>
      <c r="L440" s="1"/>
      <c r="M440" s="1"/>
      <c r="N440" s="1">
        <f>IF(ISNUMBER(SEARCH("ANALOG",Table246[[#This Row],[Type]]))=TRUE,1,"")</f>
        <v>1</v>
      </c>
      <c r="O440" s="1" t="str">
        <f>IF(ISNUMBER(SEARCH("BINARY",Table246[[#This Row],[Type]]))=TRUE,1,"")</f>
        <v/>
      </c>
      <c r="P440" t="e">
        <f>IF(Table246[[#This Row],[Type]]="","",LEFT(Table246[[#This Row],[Type]],1)&amp;LEFT(#REF!,1))</f>
        <v>#REF!</v>
      </c>
      <c r="Q440" s="1" t="e">
        <f>IF(Table246[[#This Row],[Type]]="","",LEFT(Table246[[#This Row],[Type]],1)&amp;LEFT(#REF!,1))</f>
        <v>#REF!</v>
      </c>
      <c r="R440" s="1"/>
      <c r="S440" t="e">
        <f>IF(Table246[[#This Row],[A Counter]]=1,"AI"&amp;#REF!+SUM($N$43:N440),IF(Table246[[#This Row],[B Counter]]=1,"BI"&amp;#REF!+SUM($O$43:O440),""))</f>
        <v>#REF!</v>
      </c>
      <c r="T440" s="1"/>
    </row>
    <row r="441" spans="2:20" x14ac:dyDescent="0.25">
      <c r="B441" s="93" t="str">
        <f>IFERROR(RIGHT(Table246[[#This Row],[Controller Input '#]],3)*1,"")</f>
        <v/>
      </c>
      <c r="C441" s="99"/>
      <c r="D441" s="1"/>
      <c r="E441" s="66" t="s">
        <v>475</v>
      </c>
      <c r="F441" s="66" t="s">
        <v>476</v>
      </c>
      <c r="G441" t="s">
        <v>1000</v>
      </c>
      <c r="H441" s="8"/>
      <c r="I441" s="66" t="s">
        <v>70</v>
      </c>
      <c r="J441" s="66" t="s">
        <v>71</v>
      </c>
      <c r="K441" s="66" t="s">
        <v>80</v>
      </c>
      <c r="L441" s="1"/>
      <c r="M441" s="1"/>
      <c r="N441" s="1">
        <f>IF(ISNUMBER(SEARCH("ANALOG",Table246[[#This Row],[Type]]))=TRUE,1,"")</f>
        <v>1</v>
      </c>
      <c r="O441" s="1" t="str">
        <f>IF(ISNUMBER(SEARCH("BINARY",Table246[[#This Row],[Type]]))=TRUE,1,"")</f>
        <v/>
      </c>
      <c r="P441" t="e">
        <f>IF(Table246[[#This Row],[Type]]="","",LEFT(Table246[[#This Row],[Type]],1)&amp;LEFT(#REF!,1))</f>
        <v>#REF!</v>
      </c>
      <c r="Q441" s="1" t="e">
        <f>IF(Table246[[#This Row],[Type]]="","",LEFT(Table246[[#This Row],[Type]],1)&amp;LEFT(#REF!,1))</f>
        <v>#REF!</v>
      </c>
      <c r="R441" s="1"/>
      <c r="S441" t="e">
        <f>IF(Table246[[#This Row],[A Counter]]=1,"AI"&amp;#REF!+SUM($N$43:N441),IF(Table246[[#This Row],[B Counter]]=1,"BI"&amp;#REF!+SUM($O$43:O441),""))</f>
        <v>#REF!</v>
      </c>
      <c r="T441" s="1"/>
    </row>
    <row r="442" spans="2:20" x14ac:dyDescent="0.25">
      <c r="B442" s="130" t="str">
        <f>IFERROR(RIGHT(Table246[[#This Row],[Controller Input '#]],3)*1,"")</f>
        <v/>
      </c>
      <c r="C442" s="99"/>
      <c r="D442" s="1"/>
      <c r="E442" s="1" t="s">
        <v>477</v>
      </c>
      <c r="F442" s="1" t="s">
        <v>478</v>
      </c>
      <c r="G442" t="s">
        <v>112</v>
      </c>
      <c r="H442" s="8"/>
      <c r="I442" s="1" t="s">
        <v>103</v>
      </c>
      <c r="J442" s="1" t="s">
        <v>71</v>
      </c>
      <c r="K442" t="s">
        <v>112</v>
      </c>
      <c r="L442" s="1"/>
      <c r="M442" s="1"/>
      <c r="N442" s="1" t="str">
        <f>IF(ISNUMBER(SEARCH("ANALOG",Table246[[#This Row],[Type]]))=TRUE,1,"")</f>
        <v/>
      </c>
      <c r="O442" s="1">
        <f>IF(ISNUMBER(SEARCH("BINARY",Table246[[#This Row],[Type]]))=TRUE,1,"")</f>
        <v>1</v>
      </c>
      <c r="P442" t="e">
        <f>IF(Table246[[#This Row],[Type]]="","",LEFT(Table246[[#This Row],[Type]],1)&amp;LEFT(#REF!,1))</f>
        <v>#REF!</v>
      </c>
      <c r="Q442" s="1" t="e">
        <f>IF(Table246[[#This Row],[Type]]="","",LEFT(Table246[[#This Row],[Type]],1)&amp;LEFT(#REF!,1))</f>
        <v>#REF!</v>
      </c>
      <c r="R442" s="1"/>
      <c r="S442" t="e">
        <f>IF(Table246[[#This Row],[A Counter]]=1,"AI"&amp;#REF!+SUM($N$43:N442),IF(Table246[[#This Row],[B Counter]]=1,"BI"&amp;#REF!+SUM($O$43:O442),""))</f>
        <v>#REF!</v>
      </c>
      <c r="T442" s="1"/>
    </row>
    <row r="443" spans="2:20" x14ac:dyDescent="0.25">
      <c r="B443" s="93" t="str">
        <f>IFERROR(RIGHT(Table246[[#This Row],[Controller Input '#]],3)*1,"")</f>
        <v/>
      </c>
      <c r="C443" s="99"/>
      <c r="D443" s="1"/>
      <c r="E443" s="1" t="s">
        <v>479</v>
      </c>
      <c r="F443" s="1" t="s">
        <v>480</v>
      </c>
      <c r="G443" t="s">
        <v>112</v>
      </c>
      <c r="H443" s="8"/>
      <c r="I443" s="1" t="s">
        <v>103</v>
      </c>
      <c r="J443" s="1" t="s">
        <v>71</v>
      </c>
      <c r="K443" t="s">
        <v>112</v>
      </c>
      <c r="L443" s="1"/>
      <c r="M443" s="1"/>
      <c r="N443" s="1" t="str">
        <f>IF(ISNUMBER(SEARCH("ANALOG",Table246[[#This Row],[Type]]))=TRUE,1,"")</f>
        <v/>
      </c>
      <c r="O443" s="1">
        <f>IF(ISNUMBER(SEARCH("BINARY",Table246[[#This Row],[Type]]))=TRUE,1,"")</f>
        <v>1</v>
      </c>
      <c r="P443" t="e">
        <f>IF(Table246[[#This Row],[Type]]="","",LEFT(Table246[[#This Row],[Type]],1)&amp;LEFT(#REF!,1))</f>
        <v>#REF!</v>
      </c>
      <c r="Q443" s="1" t="e">
        <f>IF(Table246[[#This Row],[Type]]="","",LEFT(Table246[[#This Row],[Type]],1)&amp;LEFT(#REF!,1))</f>
        <v>#REF!</v>
      </c>
      <c r="R443" s="1"/>
      <c r="S443" t="e">
        <f>IF(Table246[[#This Row],[A Counter]]=1,"AI"&amp;#REF!+SUM($N$43:N443),IF(Table246[[#This Row],[B Counter]]=1,"BI"&amp;#REF!+SUM($O$43:O443),""))</f>
        <v>#REF!</v>
      </c>
      <c r="T443" s="1"/>
    </row>
    <row r="444" spans="2:20" x14ac:dyDescent="0.25">
      <c r="B444" s="130" t="str">
        <f>IFERROR(RIGHT(Table246[[#This Row],[Controller Input '#]],3)*1,"")</f>
        <v/>
      </c>
      <c r="C444" s="99"/>
      <c r="D444" s="1"/>
      <c r="E444" s="1" t="s">
        <v>481</v>
      </c>
      <c r="F444" s="1" t="s">
        <v>482</v>
      </c>
      <c r="G444" t="s">
        <v>79</v>
      </c>
      <c r="H444" s="8"/>
      <c r="I444" s="1" t="s">
        <v>70</v>
      </c>
      <c r="J444" s="1" t="s">
        <v>71</v>
      </c>
      <c r="K444" s="1" t="s">
        <v>80</v>
      </c>
      <c r="L444" s="1"/>
      <c r="M444" s="1"/>
      <c r="N444" s="1">
        <f>IF(ISNUMBER(SEARCH("ANALOG",Table246[[#This Row],[Type]]))=TRUE,1,"")</f>
        <v>1</v>
      </c>
      <c r="O444" s="1" t="str">
        <f>IF(ISNUMBER(SEARCH("BINARY",Table246[[#This Row],[Type]]))=TRUE,1,"")</f>
        <v/>
      </c>
      <c r="P444" t="e">
        <f>IF(Table246[[#This Row],[Type]]="","",LEFT(Table246[[#This Row],[Type]],1)&amp;LEFT(#REF!,1))</f>
        <v>#REF!</v>
      </c>
      <c r="Q444" s="1" t="e">
        <f>IF(Table246[[#This Row],[Type]]="","",LEFT(Table246[[#This Row],[Type]],1)&amp;LEFT(#REF!,1))</f>
        <v>#REF!</v>
      </c>
      <c r="R444" s="1"/>
      <c r="S444" t="e">
        <f>IF(Table246[[#This Row],[A Counter]]=1,"AI"&amp;#REF!+SUM($N$43:N444),IF(Table246[[#This Row],[B Counter]]=1,"BI"&amp;#REF!+SUM($O$43:O444),""))</f>
        <v>#REF!</v>
      </c>
      <c r="T444" s="1"/>
    </row>
    <row r="445" spans="2:20" x14ac:dyDescent="0.25">
      <c r="B445" s="93" t="str">
        <f>IFERROR(RIGHT(Table246[[#This Row],[Controller Input '#]],3)*1,"")</f>
        <v/>
      </c>
      <c r="C445" s="99"/>
      <c r="D445" s="1"/>
      <c r="E445" t="s">
        <v>995</v>
      </c>
      <c r="F445" t="s">
        <v>996</v>
      </c>
      <c r="G445" s="1" t="s">
        <v>79</v>
      </c>
      <c r="H445" s="8"/>
      <c r="I445" s="1" t="s">
        <v>70</v>
      </c>
      <c r="J445" s="1" t="s">
        <v>71</v>
      </c>
      <c r="K445" s="1" t="s">
        <v>80</v>
      </c>
      <c r="L445" s="1"/>
      <c r="M445" s="1"/>
      <c r="N445" s="1">
        <f>IF(ISNUMBER(SEARCH("ANALOG",Table246[[#This Row],[Type]]))=TRUE,1,"")</f>
        <v>1</v>
      </c>
      <c r="O445" s="1" t="str">
        <f>IF(ISNUMBER(SEARCH("BINARY",Table246[[#This Row],[Type]]))=TRUE,1,"")</f>
        <v/>
      </c>
      <c r="P445" t="e">
        <f>IF(Table246[[#This Row],[Type]]="","",LEFT(Table246[[#This Row],[Type]],1)&amp;LEFT(#REF!,1))</f>
        <v>#REF!</v>
      </c>
      <c r="Q445" s="1" t="e">
        <f>IF(Table246[[#This Row],[Type]]="","",LEFT(Table246[[#This Row],[Type]],1)&amp;LEFT(#REF!,1))</f>
        <v>#REF!</v>
      </c>
      <c r="R445" s="1"/>
      <c r="S445" t="e">
        <f>IF(Table246[[#This Row],[A Counter]]=1,"AI"&amp;#REF!+SUM($N$43:N445),IF(Table246[[#This Row],[B Counter]]=1,"BI"&amp;#REF!+SUM($O$43:O445),""))</f>
        <v>#REF!</v>
      </c>
      <c r="T445" s="1"/>
    </row>
    <row r="446" spans="2:20" x14ac:dyDescent="0.25">
      <c r="B446" s="130" t="str">
        <f>IFERROR(RIGHT(Table246[[#This Row],[Controller Input '#]],3)*1,"")</f>
        <v/>
      </c>
      <c r="C446" s="99"/>
      <c r="D446" s="1"/>
      <c r="E446" s="1" t="s">
        <v>998</v>
      </c>
      <c r="F446" s="1" t="s">
        <v>999</v>
      </c>
      <c r="G446" s="1" t="s">
        <v>112</v>
      </c>
      <c r="H446" s="8"/>
      <c r="I446" s="1" t="s">
        <v>103</v>
      </c>
      <c r="J446" s="1" t="s">
        <v>71</v>
      </c>
      <c r="K446" s="1" t="s">
        <v>112</v>
      </c>
      <c r="L446" s="1"/>
      <c r="M446" s="1"/>
      <c r="N446" s="1" t="str">
        <f>IF(ISNUMBER(SEARCH("ANALOG",Table246[[#This Row],[Type]]))=TRUE,1,"")</f>
        <v/>
      </c>
      <c r="O446" s="1">
        <f>IF(ISNUMBER(SEARCH("BINARY",Table246[[#This Row],[Type]]))=TRUE,1,"")</f>
        <v>1</v>
      </c>
      <c r="P446" t="e">
        <f>IF(Table246[[#This Row],[Type]]="","",LEFT(Table246[[#This Row],[Type]],1)&amp;LEFT(#REF!,1))</f>
        <v>#REF!</v>
      </c>
      <c r="Q446" s="1" t="e">
        <f>IF(Table246[[#This Row],[Type]]="","",LEFT(Table246[[#This Row],[Type]],1)&amp;LEFT(#REF!,1))</f>
        <v>#REF!</v>
      </c>
      <c r="R446" s="1"/>
      <c r="S446" t="e">
        <f>IF(Table246[[#This Row],[A Counter]]=1,"AI"&amp;#REF!+SUM($N$43:N446),IF(Table246[[#This Row],[B Counter]]=1,"BI"&amp;#REF!+SUM($O$43:O446),""))</f>
        <v>#REF!</v>
      </c>
      <c r="T446" s="1"/>
    </row>
  </sheetData>
  <dataValidations count="9">
    <dataValidation type="list" allowBlank="1" showInputMessage="1" showErrorMessage="1" sqref="D142:D145 D147:D150 D152:D155 D157:D160 D162:D165 D167:D188 D196 D200:D446 D69:D139 D61:D63 D30:D37 D39:D52 D54:D59" xr:uid="{3CFBE258-F6C4-4C16-9BAE-72233D6C00C8}">
      <formula1>#REF!</formula1>
    </dataValidation>
    <dataValidation type="list" allowBlank="1" showInputMessage="1" showErrorMessage="1" sqref="Q111:Q139 Q142:Q145 Q147:Q150 Q152:Q155 Q157:Q160 Q162:Q165 Q167:Q188 Q196 Q200:Q446 Q69:Q109 Q34:Q47 Q50:Q63" xr:uid="{9FF8D772-7E57-497E-B2C1-C26FD754178A}">
      <formula1>BacNetStatus</formula1>
    </dataValidation>
    <dataValidation type="list" allowBlank="1" showInputMessage="1" showErrorMessage="1" sqref="T33:T39 T111:U139 T142:U145 T147:U150 T152:U155 T157:U160 T162:U165 T167:U188 T200:T415 T196:U196 U200:U387 T69:U109 T61:U63 T40:U40 T54:U59 U53 U18:U51 U11:U14 T42:U52" xr:uid="{F2558A3C-8B73-4AC2-910A-7BE967B5DB5D}">
      <formula1>Visibility</formula1>
    </dataValidation>
    <dataValidation type="list" allowBlank="1" showInputMessage="1" showErrorMessage="1" sqref="L294:L320 L232:L260 L354:L380 L414:L415 L111:L139 L174:L188 L196 L40:L47 L56:L63" xr:uid="{95FE4F17-5724-4610-AC2C-6863D63008FD}">
      <formula1>INDIRECT($I40)</formula1>
    </dataValidation>
    <dataValidation type="list" allowBlank="1" showInputMessage="1" showErrorMessage="1" sqref="J420:J433 J442:J446 J111:J139 J142:J145 J147:J150 J152:J155 J157:J160 J162:J165 J167:J188 J196 J200:J416 J69:J109 J34:J47 J50:J63" xr:uid="{C8EA1240-551B-499D-97D7-622B00FC64CA}">
      <formula1>Connection</formula1>
    </dataValidation>
    <dataValidation type="list" allowBlank="1" showInputMessage="1" showErrorMessage="1" sqref="I442:I446 I420:I433 I111:I139 I142:I145 I147:I150 I152:I155 I157:I160 I162:I165 I167:I188 I196 I200:I416 I50:I63 I34:I47 I66:I109" xr:uid="{A17A1248-8085-4AB3-8E31-168D2423396E}">
      <formula1>Type</formula1>
    </dataValidation>
    <dataValidation type="list" allowBlank="1" showInputMessage="1" showErrorMessage="1" sqref="K420:K433 K444:K446 K111:K139 K142:K145 K147:K150 K152:K155 K157:K160 K162:K165 K167:K188 K196 K200:K416 K69:K109 K34:K47 K50:K63" xr:uid="{97BD4CD7-BB6D-42C0-95F4-4D088CB55DDD}">
      <formula1>Units</formula1>
    </dataValidation>
    <dataValidation type="list" allowBlank="1" showInputMessage="1" showErrorMessage="1" sqref="L386:L388 L391:L393 L396:L398 L266:L268 L271:L273 L276:L278 L381:L383 L261:L263 L326:L328 L331:L333 L336:L338 L321:L323 L204:L206 L209:L211 L214:L216 L142:L143 L147:L148 L152:L153 L200:L201 L157:L158 L34:L37 L50:L53" xr:uid="{219F8C97-E54A-46B4-80C4-BC45FE2534EB}">
      <formula1>INDIRECT(#REF!)</formula1>
    </dataValidation>
    <dataValidation type="list" allowBlank="1" showInputMessage="1" showErrorMessage="1" sqref="M294:M350 M354:M410 M414:M415 M236:M290 M111:M122 M131:M139 M142:M145 M147:M150 M152:M155 M157:M160 M162:M165 M167:M170 M174:M188 M196 M200:M232 M69:M106 M34:M47 M50:M63" xr:uid="{A7800510-994C-4013-A65B-1C7FD55CF41A}">
      <formula1>"AV, BV"</formula1>
    </dataValidation>
  </dataValidations>
  <pageMargins left="0.7" right="0.7" top="0.75" bottom="0.75" header="0.3" footer="0.3"/>
  <pageSetup paperSize="3" fitToHeight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9E1BB-EA00-42F3-B7C1-5AF28D85177C}">
  <sheetPr codeName="Sheet4"/>
  <dimension ref="A1:S147"/>
  <sheetViews>
    <sheetView view="pageBreakPreview" zoomScale="130" zoomScaleNormal="100" zoomScaleSheetLayoutView="130" workbookViewId="0">
      <pane xSplit="1" ySplit="9" topLeftCell="B10" activePane="bottomRight" state="frozen"/>
      <selection pane="topRight" activeCell="L200" sqref="L200:L205"/>
      <selection pane="bottomLeft" activeCell="L200" sqref="L200:L205"/>
      <selection pane="bottomRight" activeCell="B19" sqref="B19"/>
    </sheetView>
  </sheetViews>
  <sheetFormatPr defaultColWidth="9.140625" defaultRowHeight="15" x14ac:dyDescent="0.25"/>
  <cols>
    <col min="1" max="1" width="7.5703125" bestFit="1" customWidth="1"/>
    <col min="2" max="2" width="41.5703125" bestFit="1" customWidth="1"/>
    <col min="3" max="3" width="23.42578125" bestFit="1" customWidth="1"/>
    <col min="4" max="4" width="11" customWidth="1"/>
    <col min="5" max="5" width="12.140625" customWidth="1"/>
    <col min="6" max="6" width="12.42578125" customWidth="1"/>
    <col min="7" max="7" width="11" customWidth="1"/>
    <col min="8" max="8" width="7.7109375" bestFit="1" customWidth="1"/>
    <col min="9" max="9" width="8.85546875" customWidth="1"/>
    <col min="10" max="10" width="10.85546875" customWidth="1"/>
    <col min="11" max="11" width="13.85546875" customWidth="1"/>
    <col min="12" max="12" width="12" customWidth="1"/>
    <col min="13" max="13" width="13.140625" customWidth="1"/>
    <col min="14" max="14" width="11.140625" hidden="1" customWidth="1"/>
    <col min="15" max="15" width="8.7109375" hidden="1" customWidth="1"/>
    <col min="17" max="17" width="11.5703125" bestFit="1" customWidth="1"/>
  </cols>
  <sheetData>
    <row r="1" spans="1:19" ht="67.5" customHeight="1" x14ac:dyDescent="0.25"/>
    <row r="2" spans="1:19" x14ac:dyDescent="0.25">
      <c r="A2" s="189" t="s">
        <v>42</v>
      </c>
      <c r="B2" s="189"/>
      <c r="C2" s="1" t="s">
        <v>586</v>
      </c>
      <c r="D2" s="190" t="s">
        <v>587</v>
      </c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</row>
    <row r="3" spans="1:19" x14ac:dyDescent="0.25">
      <c r="A3" s="189" t="s">
        <v>43</v>
      </c>
      <c r="B3" s="189"/>
      <c r="C3" s="2">
        <v>1600</v>
      </c>
      <c r="D3" s="190" t="s">
        <v>588</v>
      </c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</row>
    <row r="4" spans="1:19" x14ac:dyDescent="0.25">
      <c r="A4" s="189" t="s">
        <v>484</v>
      </c>
      <c r="B4" s="189"/>
      <c r="C4" s="1"/>
      <c r="D4" s="190" t="s">
        <v>589</v>
      </c>
      <c r="E4" s="190"/>
      <c r="F4" s="190"/>
      <c r="G4" s="190"/>
      <c r="H4" s="190"/>
      <c r="I4" s="190"/>
      <c r="J4" s="190"/>
      <c r="K4" s="190"/>
      <c r="L4" s="190"/>
      <c r="M4" s="190"/>
      <c r="N4" s="190"/>
      <c r="O4" s="190"/>
    </row>
    <row r="5" spans="1:19" hidden="1" x14ac:dyDescent="0.25"/>
    <row r="6" spans="1:19" hidden="1" x14ac:dyDescent="0.25"/>
    <row r="7" spans="1:19" ht="7.5" hidden="1" customHeight="1" x14ac:dyDescent="0.25"/>
    <row r="8" spans="1:19" ht="53.25" customHeight="1" x14ac:dyDescent="0.25">
      <c r="A8" s="4" t="s">
        <v>44</v>
      </c>
      <c r="B8" s="4" t="s">
        <v>48</v>
      </c>
      <c r="C8" s="5" t="s">
        <v>49</v>
      </c>
      <c r="D8" s="4" t="s">
        <v>51</v>
      </c>
      <c r="E8" s="4" t="s">
        <v>590</v>
      </c>
      <c r="F8" s="4" t="s">
        <v>591</v>
      </c>
      <c r="G8" s="4" t="s">
        <v>592</v>
      </c>
      <c r="H8" s="4" t="s">
        <v>53</v>
      </c>
      <c r="I8" s="4" t="s">
        <v>56</v>
      </c>
      <c r="J8" s="4" t="s">
        <v>57</v>
      </c>
      <c r="K8" s="4" t="s">
        <v>58</v>
      </c>
      <c r="L8" s="4" t="s">
        <v>59</v>
      </c>
      <c r="M8" s="4" t="s">
        <v>61</v>
      </c>
      <c r="N8" s="4" t="s">
        <v>62</v>
      </c>
      <c r="O8" s="4" t="s">
        <v>593</v>
      </c>
    </row>
    <row r="9" spans="1:19" ht="3" customHeight="1" x14ac:dyDescent="0.25">
      <c r="A9" t="s">
        <v>44</v>
      </c>
      <c r="B9" t="s">
        <v>48</v>
      </c>
      <c r="C9" t="s">
        <v>49</v>
      </c>
      <c r="D9" t="s">
        <v>51</v>
      </c>
      <c r="E9" t="s">
        <v>594</v>
      </c>
      <c r="F9" t="s">
        <v>52</v>
      </c>
      <c r="G9" t="s">
        <v>595</v>
      </c>
      <c r="H9" s="6" t="s">
        <v>53</v>
      </c>
      <c r="I9" s="7" t="s">
        <v>56</v>
      </c>
      <c r="J9" s="7" t="s">
        <v>57</v>
      </c>
      <c r="K9" s="7" t="s">
        <v>58</v>
      </c>
      <c r="L9" s="7" t="s">
        <v>59</v>
      </c>
      <c r="M9" s="7" t="s">
        <v>61</v>
      </c>
      <c r="N9" s="7" t="s">
        <v>62</v>
      </c>
      <c r="O9" s="9" t="s">
        <v>489</v>
      </c>
    </row>
    <row r="10" spans="1:19" ht="15" customHeight="1" x14ac:dyDescent="0.25">
      <c r="A10">
        <v>1</v>
      </c>
      <c r="B10" s="1" t="s">
        <v>151</v>
      </c>
      <c r="C10" s="1" t="s">
        <v>152</v>
      </c>
      <c r="D10" s="1" t="s">
        <v>103</v>
      </c>
      <c r="E10" s="14"/>
      <c r="F10" s="14"/>
      <c r="G10" s="1"/>
      <c r="H10" s="3" t="s">
        <v>153</v>
      </c>
      <c r="I10" s="18" t="str">
        <f>IF(ISNUMBER(SEARCH("ANALOG",Table245[[#This Row],[Type]]))=TRUE,1,"")</f>
        <v/>
      </c>
      <c r="J10" s="18">
        <f>IF(ISNUMBER(SEARCH("BINARY",Table245[[#This Row],[Type]]))=TRUE,1,"")</f>
        <v>1</v>
      </c>
      <c r="K10" s="7" t="str">
        <f>IF(Table245[[#This Row],[Type]]="","",LEFT(Table245[[#This Row],[Type]],1)&amp;LEFT($C$2,1))</f>
        <v>BV</v>
      </c>
      <c r="L10" s="1"/>
      <c r="M10" s="7" t="str">
        <f>IF(Table245[[#This Row],[A Counter]]=1,"AV"&amp;$C$3+SUM($I$10:I10),IF(Table245[[#This Row],[B Counter]]=1,"BV"&amp;$C$3+SUM($J$10:J10),""))</f>
        <v>BV1601</v>
      </c>
      <c r="N10" s="18"/>
      <c r="O10" s="9"/>
      <c r="Q10" s="13"/>
      <c r="R10" s="13"/>
      <c r="S10" s="13"/>
    </row>
    <row r="11" spans="1:19" x14ac:dyDescent="0.25">
      <c r="A11">
        <f t="shared" ref="A11:A74" si="0">A10+1</f>
        <v>2</v>
      </c>
      <c r="B11" s="1" t="s">
        <v>596</v>
      </c>
      <c r="C11" s="1" t="s">
        <v>597</v>
      </c>
      <c r="D11" s="1" t="s">
        <v>103</v>
      </c>
      <c r="E11" s="14"/>
      <c r="F11" s="14"/>
      <c r="G11" s="1"/>
      <c r="H11" s="3" t="s">
        <v>153</v>
      </c>
      <c r="I11" s="18" t="str">
        <f>IF(ISNUMBER(SEARCH("ANALOG",Table245[[#This Row],[Type]]))=TRUE,1,"")</f>
        <v/>
      </c>
      <c r="J11" s="18">
        <f>IF(ISNUMBER(SEARCH("BINARY",Table245[[#This Row],[Type]]))=TRUE,1,"")</f>
        <v>1</v>
      </c>
      <c r="K11" s="7" t="str">
        <f>IF(Table245[[#This Row],[Type]]="","",LEFT(Table245[[#This Row],[Type]],1)&amp;LEFT($C$2,1))</f>
        <v>BV</v>
      </c>
      <c r="L11" s="1"/>
      <c r="M11" s="7" t="str">
        <f>IF(Table245[[#This Row],[A Counter]]=1,"AV"&amp;$C$3+SUM($I$10:I11),IF(Table245[[#This Row],[B Counter]]=1,"BV"&amp;$C$3+SUM($J$10:J11),""))</f>
        <v>BV1602</v>
      </c>
      <c r="N11" s="18"/>
      <c r="O11" s="9"/>
      <c r="Q11" s="13"/>
      <c r="R11" s="13"/>
      <c r="S11" s="13"/>
    </row>
    <row r="12" spans="1:19" x14ac:dyDescent="0.25">
      <c r="A12">
        <f t="shared" si="0"/>
        <v>3</v>
      </c>
      <c r="B12" s="1" t="s">
        <v>598</v>
      </c>
      <c r="C12" s="1" t="s">
        <v>599</v>
      </c>
      <c r="D12" s="1" t="s">
        <v>103</v>
      </c>
      <c r="E12" s="14"/>
      <c r="F12" s="14"/>
      <c r="G12" s="1"/>
      <c r="H12" s="3" t="s">
        <v>153</v>
      </c>
      <c r="I12" s="18" t="str">
        <f>IF(ISNUMBER(SEARCH("ANALOG",Table245[[#This Row],[Type]]))=TRUE,1,"")</f>
        <v/>
      </c>
      <c r="J12" s="18">
        <f>IF(ISNUMBER(SEARCH("BINARY",Table245[[#This Row],[Type]]))=TRUE,1,"")</f>
        <v>1</v>
      </c>
      <c r="K12" s="7" t="str">
        <f>IF(Table245[[#This Row],[Type]]="","",LEFT(Table245[[#This Row],[Type]],1)&amp;LEFT($C$2,1))</f>
        <v>BV</v>
      </c>
      <c r="L12" s="1"/>
      <c r="M12" s="7" t="str">
        <f>IF(Table245[[#This Row],[A Counter]]=1,"AV"&amp;$C$3+SUM($I$10:I12),IF(Table245[[#This Row],[B Counter]]=1,"BV"&amp;$C$3+SUM($J$10:J12),""))</f>
        <v>BV1603</v>
      </c>
      <c r="N12" s="18"/>
      <c r="O12" s="9"/>
      <c r="Q12" s="13"/>
      <c r="R12" s="13"/>
      <c r="S12" s="13"/>
    </row>
    <row r="13" spans="1:19" x14ac:dyDescent="0.25">
      <c r="A13">
        <f t="shared" si="0"/>
        <v>4</v>
      </c>
      <c r="B13" s="1" t="s">
        <v>600</v>
      </c>
      <c r="C13" s="1" t="s">
        <v>601</v>
      </c>
      <c r="D13" s="1" t="s">
        <v>70</v>
      </c>
      <c r="E13" s="14"/>
      <c r="F13" s="14"/>
      <c r="G13" s="1"/>
      <c r="H13" s="3" t="s">
        <v>80</v>
      </c>
      <c r="I13" s="18">
        <f>IF(ISNUMBER(SEARCH("ANALOG",Table245[[#This Row],[Type]]))=TRUE,1,"")</f>
        <v>1</v>
      </c>
      <c r="J13" s="18" t="str">
        <f>IF(ISNUMBER(SEARCH("BINARY",Table245[[#This Row],[Type]]))=TRUE,1,"")</f>
        <v/>
      </c>
      <c r="K13" s="7" t="str">
        <f>IF(Table245[[#This Row],[Type]]="","",LEFT(Table245[[#This Row],[Type]],1)&amp;LEFT($C$2,1))</f>
        <v>AV</v>
      </c>
      <c r="L13" s="1"/>
      <c r="M13" s="7" t="str">
        <f>IF(Table245[[#This Row],[A Counter]]=1,"AV"&amp;$C$3+SUM($I$10:I13),IF(Table245[[#This Row],[B Counter]]=1,"BV"&amp;$C$3+SUM($J$10:J13),""))</f>
        <v>AV1601</v>
      </c>
      <c r="N13" s="18"/>
      <c r="O13" s="9"/>
      <c r="Q13" s="13"/>
      <c r="R13" s="13"/>
      <c r="S13" s="13"/>
    </row>
    <row r="14" spans="1:19" hidden="1" x14ac:dyDescent="0.25">
      <c r="A14">
        <f t="shared" si="0"/>
        <v>5</v>
      </c>
      <c r="B14" s="1"/>
      <c r="C14" s="1"/>
      <c r="D14" s="1"/>
      <c r="E14" s="14"/>
      <c r="F14" s="14"/>
      <c r="G14" s="1"/>
      <c r="H14" s="1"/>
      <c r="I14" s="18" t="str">
        <f>IF(ISNUMBER(SEARCH("ANALOG",Table245[[#This Row],[Type]]))=TRUE,1,"")</f>
        <v/>
      </c>
      <c r="J14" s="18" t="str">
        <f>IF(ISNUMBER(SEARCH("BINARY",Table245[[#This Row],[Type]]))=TRUE,1,"")</f>
        <v/>
      </c>
      <c r="K14" s="7" t="str">
        <f>IF(Table245[[#This Row],[Type]]="","",LEFT(Table245[[#This Row],[Type]],1)&amp;LEFT($C$2,1))</f>
        <v/>
      </c>
      <c r="L14" s="1"/>
      <c r="M14" s="7" t="str">
        <f>IF(Table245[[#This Row],[A Counter]]=1,"AV"&amp;$C$3+SUM($I$10:I14),IF(Table245[[#This Row],[B Counter]]=1,"BV"&amp;$C$3+SUM($J$10:J14),""))</f>
        <v/>
      </c>
      <c r="N14" s="18"/>
      <c r="O14" s="9"/>
      <c r="Q14" s="13"/>
      <c r="R14" s="13"/>
      <c r="S14" s="13"/>
    </row>
    <row r="15" spans="1:19" hidden="1" x14ac:dyDescent="0.25">
      <c r="A15">
        <f t="shared" si="0"/>
        <v>6</v>
      </c>
      <c r="B15" s="1"/>
      <c r="C15" s="1"/>
      <c r="D15" s="1"/>
      <c r="E15" s="14"/>
      <c r="F15" s="14"/>
      <c r="G15" s="1"/>
      <c r="H15" s="1"/>
      <c r="I15" s="18" t="str">
        <f>IF(ISNUMBER(SEARCH("ANALOG",Table245[[#This Row],[Type]]))=TRUE,1,"")</f>
        <v/>
      </c>
      <c r="J15" s="18" t="str">
        <f>IF(ISNUMBER(SEARCH("BINARY",Table245[[#This Row],[Type]]))=TRUE,1,"")</f>
        <v/>
      </c>
      <c r="K15" s="7" t="str">
        <f>IF(Table245[[#This Row],[Type]]="","",LEFT(Table245[[#This Row],[Type]],1)&amp;LEFT($C$2,1))</f>
        <v/>
      </c>
      <c r="L15" s="1"/>
      <c r="M15" s="7" t="str">
        <f>IF(Table245[[#This Row],[A Counter]]=1,"AV"&amp;$C$3+SUM($I$10:I15),IF(Table245[[#This Row],[B Counter]]=1,"BV"&amp;$C$3+SUM($J$10:J15),""))</f>
        <v/>
      </c>
      <c r="N15" s="18"/>
      <c r="O15" s="9"/>
      <c r="Q15" s="13"/>
      <c r="R15" s="13"/>
      <c r="S15" s="13"/>
    </row>
    <row r="16" spans="1:19" hidden="1" x14ac:dyDescent="0.25">
      <c r="A16">
        <f t="shared" si="0"/>
        <v>7</v>
      </c>
      <c r="B16" s="1"/>
      <c r="C16" s="1"/>
      <c r="D16" s="1"/>
      <c r="E16" s="14"/>
      <c r="F16" s="14"/>
      <c r="G16" s="1"/>
      <c r="H16" s="1"/>
      <c r="I16" s="18" t="str">
        <f>IF(ISNUMBER(SEARCH("ANALOG",Table245[[#This Row],[Type]]))=TRUE,1,"")</f>
        <v/>
      </c>
      <c r="J16" s="18" t="str">
        <f>IF(ISNUMBER(SEARCH("BINARY",Table245[[#This Row],[Type]]))=TRUE,1,"")</f>
        <v/>
      </c>
      <c r="K16" s="7" t="str">
        <f>IF(Table245[[#This Row],[Type]]="","",LEFT(Table245[[#This Row],[Type]],1)&amp;LEFT($C$2,1))</f>
        <v/>
      </c>
      <c r="L16" s="1"/>
      <c r="M16" s="7" t="str">
        <f>IF(Table245[[#This Row],[A Counter]]=1,"AV"&amp;$C$3+SUM($I$10:I16),IF(Table245[[#This Row],[B Counter]]=1,"BV"&amp;$C$3+SUM($J$10:J16),""))</f>
        <v/>
      </c>
      <c r="N16" s="18"/>
      <c r="O16" s="9"/>
      <c r="Q16" s="13"/>
      <c r="R16" s="13"/>
      <c r="S16" s="13"/>
    </row>
    <row r="17" spans="1:19" hidden="1" x14ac:dyDescent="0.25">
      <c r="A17">
        <f t="shared" si="0"/>
        <v>8</v>
      </c>
      <c r="B17" s="1"/>
      <c r="C17" s="1"/>
      <c r="D17" s="1"/>
      <c r="E17" s="14"/>
      <c r="F17" s="14"/>
      <c r="G17" s="1"/>
      <c r="H17" s="1"/>
      <c r="I17" s="18" t="str">
        <f>IF(ISNUMBER(SEARCH("ANALOG",Table245[[#This Row],[Type]]))=TRUE,1,"")</f>
        <v/>
      </c>
      <c r="J17" s="18" t="str">
        <f>IF(ISNUMBER(SEARCH("BINARY",Table245[[#This Row],[Type]]))=TRUE,1,"")</f>
        <v/>
      </c>
      <c r="K17" s="7" t="str">
        <f>IF(Table245[[#This Row],[Type]]="","",LEFT(Table245[[#This Row],[Type]],1)&amp;LEFT($C$2,1))</f>
        <v/>
      </c>
      <c r="L17" s="1"/>
      <c r="M17" s="7" t="str">
        <f>IF(Table245[[#This Row],[A Counter]]=1,"AV"&amp;$C$3+SUM($I$10:I17),IF(Table245[[#This Row],[B Counter]]=1,"BV"&amp;$C$3+SUM($J$10:J17),""))</f>
        <v/>
      </c>
      <c r="N17" s="18"/>
      <c r="O17" s="9"/>
      <c r="Q17" s="13"/>
      <c r="R17" s="13"/>
      <c r="S17" s="13"/>
    </row>
    <row r="18" spans="1:19" hidden="1" x14ac:dyDescent="0.25">
      <c r="A18">
        <f t="shared" si="0"/>
        <v>9</v>
      </c>
      <c r="B18" s="1"/>
      <c r="C18" s="1"/>
      <c r="D18" s="1"/>
      <c r="E18" s="14"/>
      <c r="F18" s="14"/>
      <c r="G18" s="1"/>
      <c r="H18" s="1"/>
      <c r="I18" s="18" t="str">
        <f>IF(ISNUMBER(SEARCH("ANALOG",Table245[[#This Row],[Type]]))=TRUE,1,"")</f>
        <v/>
      </c>
      <c r="J18" s="18" t="str">
        <f>IF(ISNUMBER(SEARCH("BINARY",Table245[[#This Row],[Type]]))=TRUE,1,"")</f>
        <v/>
      </c>
      <c r="K18" s="7" t="str">
        <f>IF(Table245[[#This Row],[Type]]="","",LEFT(Table245[[#This Row],[Type]],1)&amp;LEFT($C$2,1))</f>
        <v/>
      </c>
      <c r="L18" s="1"/>
      <c r="M18" s="7" t="str">
        <f>IF(Table245[[#This Row],[A Counter]]=1,"AV"&amp;$C$3+SUM($I$10:I18),IF(Table245[[#This Row],[B Counter]]=1,"BV"&amp;$C$3+SUM($J$10:J18),""))</f>
        <v/>
      </c>
      <c r="N18" s="18"/>
      <c r="O18" s="9"/>
      <c r="Q18" s="13"/>
      <c r="R18" s="13"/>
      <c r="S18" s="13"/>
    </row>
    <row r="19" spans="1:19" x14ac:dyDescent="0.25">
      <c r="A19">
        <f t="shared" si="0"/>
        <v>10</v>
      </c>
      <c r="B19" s="1" t="s">
        <v>602</v>
      </c>
      <c r="C19" s="1" t="s">
        <v>603</v>
      </c>
      <c r="D19" s="1" t="s">
        <v>70</v>
      </c>
      <c r="E19" s="57">
        <v>-22</v>
      </c>
      <c r="F19" s="57">
        <v>150</v>
      </c>
      <c r="G19" s="14"/>
      <c r="H19" s="3" t="s">
        <v>84</v>
      </c>
      <c r="I19" s="18">
        <f>IF(ISNUMBER(SEARCH("ANALOG",Table245[[#This Row],[Type]]))=TRUE,1,"")</f>
        <v>1</v>
      </c>
      <c r="J19" s="18" t="str">
        <f>IF(ISNUMBER(SEARCH("BINARY",Table245[[#This Row],[Type]]))=TRUE,1,"")</f>
        <v/>
      </c>
      <c r="K19" s="7" t="str">
        <f>IF(Table245[[#This Row],[Type]]="","",LEFT(Table245[[#This Row],[Type]],1)&amp;LEFT($C$2,1))</f>
        <v>AV</v>
      </c>
      <c r="L19" s="1"/>
      <c r="M19" s="7" t="str">
        <f>IF(Table245[[#This Row],[A Counter]]=1,"AV"&amp;$C$3+SUM($I$10:I19),IF(Table245[[#This Row],[B Counter]]=1,"BV"&amp;$C$3+SUM($J$10:J19),""))</f>
        <v>AV1602</v>
      </c>
      <c r="N19" s="18"/>
      <c r="O19" s="9"/>
      <c r="Q19" s="13"/>
      <c r="R19" s="13"/>
      <c r="S19" s="13"/>
    </row>
    <row r="20" spans="1:19" x14ac:dyDescent="0.25">
      <c r="A20">
        <f t="shared" si="0"/>
        <v>11</v>
      </c>
      <c r="B20" s="1" t="s">
        <v>604</v>
      </c>
      <c r="C20" s="1" t="s">
        <v>605</v>
      </c>
      <c r="D20" s="1" t="s">
        <v>70</v>
      </c>
      <c r="E20" s="57">
        <v>-22</v>
      </c>
      <c r="F20" s="57">
        <v>150</v>
      </c>
      <c r="G20" s="14"/>
      <c r="H20" s="3" t="s">
        <v>84</v>
      </c>
      <c r="I20" s="18">
        <f>IF(ISNUMBER(SEARCH("ANALOG",Table245[[#This Row],[Type]]))=TRUE,1,"")</f>
        <v>1</v>
      </c>
      <c r="J20" s="18" t="str">
        <f>IF(ISNUMBER(SEARCH("BINARY",Table245[[#This Row],[Type]]))=TRUE,1,"")</f>
        <v/>
      </c>
      <c r="K20" s="7" t="str">
        <f>IF(Table245[[#This Row],[Type]]="","",LEFT(Table245[[#This Row],[Type]],1)&amp;LEFT($C$2,1))</f>
        <v>AV</v>
      </c>
      <c r="L20" s="1"/>
      <c r="M20" s="7" t="str">
        <f>IF(Table245[[#This Row],[A Counter]]=1,"AV"&amp;$C$3+SUM($I$10:I20),IF(Table245[[#This Row],[B Counter]]=1,"BV"&amp;$C$3+SUM($J$10:J20),""))</f>
        <v>AV1603</v>
      </c>
      <c r="N20" s="18"/>
      <c r="O20" s="9"/>
      <c r="Q20" s="13"/>
      <c r="R20" s="13"/>
      <c r="S20" s="13"/>
    </row>
    <row r="21" spans="1:19" x14ac:dyDescent="0.25">
      <c r="A21">
        <f t="shared" si="0"/>
        <v>12</v>
      </c>
      <c r="B21" s="1" t="s">
        <v>606</v>
      </c>
      <c r="C21" s="1" t="s">
        <v>607</v>
      </c>
      <c r="D21" s="1" t="s">
        <v>70</v>
      </c>
      <c r="E21" s="57"/>
      <c r="F21" s="57"/>
      <c r="G21" s="1">
        <v>15</v>
      </c>
      <c r="H21" s="1" t="s">
        <v>72</v>
      </c>
      <c r="I21" s="18">
        <f>IF(ISNUMBER(SEARCH("ANALOG",Table245[[#This Row],[Type]]))=TRUE,1,"")</f>
        <v>1</v>
      </c>
      <c r="J21" s="18" t="str">
        <f>IF(ISNUMBER(SEARCH("BINARY",Table245[[#This Row],[Type]]))=TRUE,1,"")</f>
        <v/>
      </c>
      <c r="K21" s="7" t="str">
        <f>IF(Table245[[#This Row],[Type]]="","",LEFT(Table245[[#This Row],[Type]],1)&amp;LEFT($C$2,1))</f>
        <v>AV</v>
      </c>
      <c r="L21" s="1"/>
      <c r="M21" s="7" t="str">
        <f>IF(Table245[[#This Row],[A Counter]]=1,"AV"&amp;$C$3+SUM($I$10:I21),IF(Table245[[#This Row],[B Counter]]=1,"BV"&amp;$C$3+SUM($J$10:J21),""))</f>
        <v>AV1604</v>
      </c>
      <c r="N21" s="18"/>
      <c r="O21" s="9"/>
      <c r="Q21" s="13"/>
      <c r="R21" s="13"/>
      <c r="S21" s="13"/>
    </row>
    <row r="22" spans="1:19" x14ac:dyDescent="0.25">
      <c r="A22">
        <f t="shared" si="0"/>
        <v>13</v>
      </c>
      <c r="B22" s="1" t="s">
        <v>608</v>
      </c>
      <c r="C22" s="1" t="s">
        <v>609</v>
      </c>
      <c r="D22" s="1" t="s">
        <v>70</v>
      </c>
      <c r="E22" s="57"/>
      <c r="F22" s="57"/>
      <c r="G22" s="1" t="s">
        <v>610</v>
      </c>
      <c r="H22" s="1" t="s">
        <v>72</v>
      </c>
      <c r="I22" s="18">
        <f>IF(ISNUMBER(SEARCH("ANALOG",Table245[[#This Row],[Type]]))=TRUE,1,"")</f>
        <v>1</v>
      </c>
      <c r="J22" s="18" t="str">
        <f>IF(ISNUMBER(SEARCH("BINARY",Table245[[#This Row],[Type]]))=TRUE,1,"")</f>
        <v/>
      </c>
      <c r="K22" s="7" t="str">
        <f>IF(Table245[[#This Row],[Type]]="","",LEFT(Table245[[#This Row],[Type]],1)&amp;LEFT($C$2,1))</f>
        <v>AV</v>
      </c>
      <c r="L22" s="1"/>
      <c r="M22" s="7" t="str">
        <f>IF(Table245[[#This Row],[A Counter]]=1,"AV"&amp;$C$3+SUM($I$10:I22),IF(Table245[[#This Row],[B Counter]]=1,"BV"&amp;$C$3+SUM($J$10:J22),""))</f>
        <v>AV1605</v>
      </c>
      <c r="N22" s="18"/>
      <c r="O22" s="9"/>
      <c r="Q22" s="13"/>
      <c r="R22" s="13"/>
      <c r="S22" s="13"/>
    </row>
    <row r="23" spans="1:19" x14ac:dyDescent="0.25">
      <c r="A23">
        <f t="shared" si="0"/>
        <v>14</v>
      </c>
      <c r="B23" s="1" t="s">
        <v>611</v>
      </c>
      <c r="C23" s="1" t="s">
        <v>612</v>
      </c>
      <c r="D23" s="1" t="s">
        <v>70</v>
      </c>
      <c r="E23" s="57"/>
      <c r="F23" s="57"/>
      <c r="G23" s="1">
        <v>6.5</v>
      </c>
      <c r="H23" s="1" t="s">
        <v>72</v>
      </c>
      <c r="I23" s="18">
        <f>IF(ISNUMBER(SEARCH("ANALOG",Table245[[#This Row],[Type]]))=TRUE,1,"")</f>
        <v>1</v>
      </c>
      <c r="J23" s="18" t="str">
        <f>IF(ISNUMBER(SEARCH("BINARY",Table245[[#This Row],[Type]]))=TRUE,1,"")</f>
        <v/>
      </c>
      <c r="K23" s="7" t="str">
        <f>IF(Table245[[#This Row],[Type]]="","",LEFT(Table245[[#This Row],[Type]],1)&amp;LEFT($C$2,1))</f>
        <v>AV</v>
      </c>
      <c r="L23" s="1"/>
      <c r="M23" s="7" t="str">
        <f>IF(Table245[[#This Row],[A Counter]]=1,"AV"&amp;$C$3+SUM($I$10:I23),IF(Table245[[#This Row],[B Counter]]=1,"BV"&amp;$C$3+SUM($J$10:J23),""))</f>
        <v>AV1606</v>
      </c>
      <c r="N23" s="18"/>
      <c r="O23" s="9"/>
      <c r="Q23" s="13"/>
      <c r="R23" s="13"/>
      <c r="S23" s="13"/>
    </row>
    <row r="24" spans="1:19" x14ac:dyDescent="0.25">
      <c r="A24">
        <f t="shared" si="0"/>
        <v>15</v>
      </c>
      <c r="B24" s="1" t="s">
        <v>613</v>
      </c>
      <c r="C24" s="1" t="s">
        <v>614</v>
      </c>
      <c r="D24" s="1" t="s">
        <v>70</v>
      </c>
      <c r="E24" s="57"/>
      <c r="F24" s="57"/>
      <c r="G24" s="1" t="s">
        <v>610</v>
      </c>
      <c r="H24" s="1" t="s">
        <v>72</v>
      </c>
      <c r="I24" s="18">
        <f>IF(ISNUMBER(SEARCH("ANALOG",Table245[[#This Row],[Type]]))=TRUE,1,"")</f>
        <v>1</v>
      </c>
      <c r="J24" s="18" t="str">
        <f>IF(ISNUMBER(SEARCH("BINARY",Table245[[#This Row],[Type]]))=TRUE,1,"")</f>
        <v/>
      </c>
      <c r="K24" s="7" t="str">
        <f>IF(Table245[[#This Row],[Type]]="","",LEFT(Table245[[#This Row],[Type]],1)&amp;LEFT($C$2,1))</f>
        <v>AV</v>
      </c>
      <c r="L24" s="1"/>
      <c r="M24" s="7" t="str">
        <f>IF(Table245[[#This Row],[A Counter]]=1,"AV"&amp;$C$3+SUM($I$10:I24),IF(Table245[[#This Row],[B Counter]]=1,"BV"&amp;$C$3+SUM($J$10:J24),""))</f>
        <v>AV1607</v>
      </c>
      <c r="N24" s="18"/>
      <c r="O24" s="9"/>
    </row>
    <row r="25" spans="1:19" x14ac:dyDescent="0.25">
      <c r="A25">
        <f t="shared" si="0"/>
        <v>16</v>
      </c>
      <c r="B25" s="1" t="s">
        <v>615</v>
      </c>
      <c r="C25" s="1" t="s">
        <v>616</v>
      </c>
      <c r="D25" s="1" t="s">
        <v>70</v>
      </c>
      <c r="E25" s="57"/>
      <c r="F25" s="57"/>
      <c r="G25" s="1" t="s">
        <v>610</v>
      </c>
      <c r="H25" s="1" t="s">
        <v>72</v>
      </c>
      <c r="I25" s="18">
        <f>IF(ISNUMBER(SEARCH("ANALOG",Table245[[#This Row],[Type]]))=TRUE,1,"")</f>
        <v>1</v>
      </c>
      <c r="J25" s="18" t="str">
        <f>IF(ISNUMBER(SEARCH("BINARY",Table245[[#This Row],[Type]]))=TRUE,1,"")</f>
        <v/>
      </c>
      <c r="K25" s="7" t="str">
        <f>IF(Table245[[#This Row],[Type]]="","",LEFT(Table245[[#This Row],[Type]],1)&amp;LEFT($C$2,1))</f>
        <v>AV</v>
      </c>
      <c r="L25" s="1"/>
      <c r="M25" s="7" t="str">
        <f>IF(Table245[[#This Row],[A Counter]]=1,"AV"&amp;$C$3+SUM($I$10:I25),IF(Table245[[#This Row],[B Counter]]=1,"BV"&amp;$C$3+SUM($J$10:J25),""))</f>
        <v>AV1608</v>
      </c>
      <c r="N25" s="18"/>
      <c r="O25" s="9"/>
    </row>
    <row r="26" spans="1:19" x14ac:dyDescent="0.25">
      <c r="A26">
        <f t="shared" si="0"/>
        <v>17</v>
      </c>
      <c r="B26" s="1" t="s">
        <v>617</v>
      </c>
      <c r="C26" s="1" t="s">
        <v>618</v>
      </c>
      <c r="D26" s="1" t="s">
        <v>70</v>
      </c>
      <c r="E26" s="57"/>
      <c r="F26" s="57"/>
      <c r="G26" s="1">
        <v>125</v>
      </c>
      <c r="H26" s="3" t="s">
        <v>84</v>
      </c>
      <c r="I26" s="18">
        <f>IF(ISNUMBER(SEARCH("ANALOG",Table245[[#This Row],[Type]]))=TRUE,1,"")</f>
        <v>1</v>
      </c>
      <c r="J26" s="18" t="str">
        <f>IF(ISNUMBER(SEARCH("BINARY",Table245[[#This Row],[Type]]))=TRUE,1,"")</f>
        <v/>
      </c>
      <c r="K26" s="7" t="str">
        <f>IF(Table245[[#This Row],[Type]]="","",LEFT(Table245[[#This Row],[Type]],1)&amp;LEFT($C$2,1))</f>
        <v>AV</v>
      </c>
      <c r="L26" s="1"/>
      <c r="M26" s="7" t="str">
        <f>IF(Table245[[#This Row],[A Counter]]=1,"AV"&amp;$C$3+SUM($I$10:I26),IF(Table245[[#This Row],[B Counter]]=1,"BV"&amp;$C$3+SUM($J$10:J26),""))</f>
        <v>AV1609</v>
      </c>
      <c r="N26" s="18"/>
      <c r="O26" s="9"/>
    </row>
    <row r="27" spans="1:19" hidden="1" x14ac:dyDescent="0.25">
      <c r="A27">
        <f t="shared" si="0"/>
        <v>18</v>
      </c>
      <c r="B27" s="1"/>
      <c r="C27" s="1"/>
      <c r="D27" s="1"/>
      <c r="E27" s="57"/>
      <c r="F27" s="57"/>
      <c r="G27" s="1"/>
      <c r="H27" s="1"/>
      <c r="I27" s="18" t="str">
        <f>IF(ISNUMBER(SEARCH("ANALOG",Table245[[#This Row],[Type]]))=TRUE,1,"")</f>
        <v/>
      </c>
      <c r="J27" s="18" t="str">
        <f>IF(ISNUMBER(SEARCH("BINARY",Table245[[#This Row],[Type]]))=TRUE,1,"")</f>
        <v/>
      </c>
      <c r="K27" s="7" t="str">
        <f>IF(Table245[[#This Row],[Type]]="","",LEFT(Table245[[#This Row],[Type]],1)&amp;LEFT($C$2,1))</f>
        <v/>
      </c>
      <c r="L27" s="1"/>
      <c r="M27" s="7" t="str">
        <f>IF(Table245[[#This Row],[A Counter]]=1,"AV"&amp;$C$3+SUM($I$10:I27),IF(Table245[[#This Row],[B Counter]]=1,"BV"&amp;$C$3+SUM($J$10:J27),""))</f>
        <v/>
      </c>
      <c r="N27" s="18"/>
      <c r="O27" s="9"/>
    </row>
    <row r="28" spans="1:19" hidden="1" x14ac:dyDescent="0.25">
      <c r="A28">
        <f t="shared" si="0"/>
        <v>19</v>
      </c>
      <c r="B28" s="1"/>
      <c r="C28" s="1"/>
      <c r="D28" s="1"/>
      <c r="E28" s="57"/>
      <c r="F28" s="57"/>
      <c r="G28" s="1"/>
      <c r="H28" s="1"/>
      <c r="I28" s="18" t="str">
        <f>IF(ISNUMBER(SEARCH("ANALOG",Table245[[#This Row],[Type]]))=TRUE,1,"")</f>
        <v/>
      </c>
      <c r="J28" s="18" t="str">
        <f>IF(ISNUMBER(SEARCH("BINARY",Table245[[#This Row],[Type]]))=TRUE,1,"")</f>
        <v/>
      </c>
      <c r="K28" s="7" t="str">
        <f>IF(Table245[[#This Row],[Type]]="","",LEFT(Table245[[#This Row],[Type]],1)&amp;LEFT($C$2,1))</f>
        <v/>
      </c>
      <c r="L28" s="1"/>
      <c r="M28" s="7" t="str">
        <f>IF(Table245[[#This Row],[A Counter]]=1,"AV"&amp;$C$3+SUM($I$10:I28),IF(Table245[[#This Row],[B Counter]]=1,"BV"&amp;$C$3+SUM($J$10:J28),""))</f>
        <v/>
      </c>
      <c r="N28" s="18"/>
      <c r="O28" s="9"/>
    </row>
    <row r="29" spans="1:19" hidden="1" x14ac:dyDescent="0.25">
      <c r="A29">
        <f t="shared" si="0"/>
        <v>20</v>
      </c>
      <c r="B29" s="1"/>
      <c r="C29" s="1"/>
      <c r="D29" s="1"/>
      <c r="E29" s="57"/>
      <c r="F29" s="57"/>
      <c r="G29" s="1"/>
      <c r="H29" s="1"/>
      <c r="I29" s="18" t="str">
        <f>IF(ISNUMBER(SEARCH("ANALOG",Table245[[#This Row],[Type]]))=TRUE,1,"")</f>
        <v/>
      </c>
      <c r="J29" s="18" t="str">
        <f>IF(ISNUMBER(SEARCH("BINARY",Table245[[#This Row],[Type]]))=TRUE,1,"")</f>
        <v/>
      </c>
      <c r="K29" s="7" t="str">
        <f>IF(Table245[[#This Row],[Type]]="","",LEFT(Table245[[#This Row],[Type]],1)&amp;LEFT($C$2,1))</f>
        <v/>
      </c>
      <c r="L29" s="1"/>
      <c r="M29" s="7" t="str">
        <f>IF(Table245[[#This Row],[A Counter]]=1,"AV"&amp;$C$3+SUM($I$10:I29),IF(Table245[[#This Row],[B Counter]]=1,"BV"&amp;$C$3+SUM($J$10:J29),""))</f>
        <v/>
      </c>
      <c r="N29" s="18"/>
      <c r="O29" s="9"/>
    </row>
    <row r="30" spans="1:19" x14ac:dyDescent="0.25">
      <c r="A30">
        <f t="shared" si="0"/>
        <v>21</v>
      </c>
      <c r="B30" s="1" t="s">
        <v>619</v>
      </c>
      <c r="C30" s="1" t="s">
        <v>620</v>
      </c>
      <c r="D30" s="1" t="s">
        <v>103</v>
      </c>
      <c r="E30" s="57"/>
      <c r="F30" s="57"/>
      <c r="G30" s="1"/>
      <c r="H30" s="3" t="s">
        <v>112</v>
      </c>
      <c r="I30" s="18" t="str">
        <f>IF(ISNUMBER(SEARCH("ANALOG",Table245[[#This Row],[Type]]))=TRUE,1,"")</f>
        <v/>
      </c>
      <c r="J30" s="18">
        <f>IF(ISNUMBER(SEARCH("BINARY",Table245[[#This Row],[Type]]))=TRUE,1,"")</f>
        <v>1</v>
      </c>
      <c r="K30" s="7" t="str">
        <f>IF(Table245[[#This Row],[Type]]="","",LEFT(Table245[[#This Row],[Type]],1)&amp;LEFT($C$2,1))</f>
        <v>BV</v>
      </c>
      <c r="L30" s="1"/>
      <c r="M30" s="7" t="str">
        <f>IF(Table245[[#This Row],[A Counter]]=1,"AV"&amp;$C$3+SUM($I$10:I30),IF(Table245[[#This Row],[B Counter]]=1,"BV"&amp;$C$3+SUM($J$10:J30),""))</f>
        <v>BV1604</v>
      </c>
      <c r="N30" s="1"/>
    </row>
    <row r="31" spans="1:19" x14ac:dyDescent="0.25">
      <c r="A31">
        <f t="shared" si="0"/>
        <v>22</v>
      </c>
      <c r="B31" s="1" t="s">
        <v>621</v>
      </c>
      <c r="C31" s="1" t="s">
        <v>622</v>
      </c>
      <c r="D31" s="1" t="s">
        <v>70</v>
      </c>
      <c r="E31" s="57"/>
      <c r="F31" s="57"/>
      <c r="G31" s="1"/>
      <c r="H31" s="3" t="s">
        <v>80</v>
      </c>
      <c r="I31" s="18">
        <f>IF(ISNUMBER(SEARCH("ANALOG",Table245[[#This Row],[Type]]))=TRUE,1,"")</f>
        <v>1</v>
      </c>
      <c r="J31" s="18" t="str">
        <f>IF(ISNUMBER(SEARCH("BINARY",Table245[[#This Row],[Type]]))=TRUE,1,"")</f>
        <v/>
      </c>
      <c r="K31" s="7" t="str">
        <f>IF(Table245[[#This Row],[Type]]="","",LEFT(Table245[[#This Row],[Type]],1)&amp;LEFT($C$2,1))</f>
        <v>AV</v>
      </c>
      <c r="L31" s="1"/>
      <c r="M31" s="7" t="str">
        <f>IF(Table245[[#This Row],[A Counter]]=1,"AV"&amp;$C$3+SUM($I$10:I31),IF(Table245[[#This Row],[B Counter]]=1,"BV"&amp;$C$3+SUM($J$10:J31),""))</f>
        <v>AV1610</v>
      </c>
      <c r="N31" s="1"/>
    </row>
    <row r="32" spans="1:19" x14ac:dyDescent="0.25">
      <c r="A32">
        <f t="shared" si="0"/>
        <v>23</v>
      </c>
      <c r="B32" s="1" t="s">
        <v>623</v>
      </c>
      <c r="C32" s="1" t="s">
        <v>624</v>
      </c>
      <c r="D32" s="1" t="s">
        <v>70</v>
      </c>
      <c r="E32" s="57">
        <v>-22</v>
      </c>
      <c r="F32" s="57">
        <v>150</v>
      </c>
      <c r="G32" s="1"/>
      <c r="H32" s="3" t="s">
        <v>84</v>
      </c>
      <c r="I32" s="18">
        <f>IF(ISNUMBER(SEARCH("ANALOG",Table245[[#This Row],[Type]]))=TRUE,1,"")</f>
        <v>1</v>
      </c>
      <c r="J32" s="18" t="str">
        <f>IF(ISNUMBER(SEARCH("BINARY",Table245[[#This Row],[Type]]))=TRUE,1,"")</f>
        <v/>
      </c>
      <c r="K32" s="7" t="str">
        <f>IF(Table245[[#This Row],[Type]]="","",LEFT(Table245[[#This Row],[Type]],1)&amp;LEFT($C$2,1))</f>
        <v>AV</v>
      </c>
      <c r="L32" s="1"/>
      <c r="M32" s="7" t="str">
        <f>IF(Table245[[#This Row],[A Counter]]=1,"AV"&amp;$C$3+SUM($I$10:I32),IF(Table245[[#This Row],[B Counter]]=1,"BV"&amp;$C$3+SUM($J$10:J32),""))</f>
        <v>AV1611</v>
      </c>
      <c r="N32" s="1"/>
    </row>
    <row r="33" spans="1:14" x14ac:dyDescent="0.25">
      <c r="A33">
        <f t="shared" si="0"/>
        <v>24</v>
      </c>
      <c r="B33" s="1" t="s">
        <v>625</v>
      </c>
      <c r="C33" s="1" t="s">
        <v>626</v>
      </c>
      <c r="D33" s="1" t="s">
        <v>70</v>
      </c>
      <c r="E33" s="57">
        <v>-22</v>
      </c>
      <c r="F33" s="57">
        <v>150</v>
      </c>
      <c r="G33" s="1"/>
      <c r="H33" s="3" t="s">
        <v>84</v>
      </c>
      <c r="I33" s="18">
        <f>IF(ISNUMBER(SEARCH("ANALOG",Table245[[#This Row],[Type]]))=TRUE,1,"")</f>
        <v>1</v>
      </c>
      <c r="J33" s="18" t="str">
        <f>IF(ISNUMBER(SEARCH("BINARY",Table245[[#This Row],[Type]]))=TRUE,1,"")</f>
        <v/>
      </c>
      <c r="K33" s="7" t="str">
        <f>IF(Table245[[#This Row],[Type]]="","",LEFT(Table245[[#This Row],[Type]],1)&amp;LEFT($C$2,1))</f>
        <v>AV</v>
      </c>
      <c r="L33" s="1"/>
      <c r="M33" s="7" t="str">
        <f>IF(Table245[[#This Row],[A Counter]]=1,"AV"&amp;$C$3+SUM($I$10:I33),IF(Table245[[#This Row],[B Counter]]=1,"BV"&amp;$C$3+SUM($J$10:J33),""))</f>
        <v>AV1612</v>
      </c>
      <c r="N33" s="1"/>
    </row>
    <row r="34" spans="1:14" x14ac:dyDescent="0.25">
      <c r="A34">
        <f t="shared" si="0"/>
        <v>25</v>
      </c>
      <c r="B34" s="1" t="s">
        <v>627</v>
      </c>
      <c r="C34" s="1" t="s">
        <v>628</v>
      </c>
      <c r="D34" s="1" t="s">
        <v>70</v>
      </c>
      <c r="E34" s="57">
        <v>-22</v>
      </c>
      <c r="F34" s="57">
        <v>150</v>
      </c>
      <c r="G34" s="1"/>
      <c r="H34" s="3" t="s">
        <v>84</v>
      </c>
      <c r="I34" s="18">
        <f>IF(ISNUMBER(SEARCH("ANALOG",Table245[[#This Row],[Type]]))=TRUE,1,"")</f>
        <v>1</v>
      </c>
      <c r="J34" s="18" t="str">
        <f>IF(ISNUMBER(SEARCH("BINARY",Table245[[#This Row],[Type]]))=TRUE,1,"")</f>
        <v/>
      </c>
      <c r="K34" s="7" t="str">
        <f>IF(Table245[[#This Row],[Type]]="","",LEFT(Table245[[#This Row],[Type]],1)&amp;LEFT($C$2,1))</f>
        <v>AV</v>
      </c>
      <c r="L34" s="1"/>
      <c r="M34" s="7" t="str">
        <f>IF(Table245[[#This Row],[A Counter]]=1,"AV"&amp;$C$3+SUM($I$10:I34),IF(Table245[[#This Row],[B Counter]]=1,"BV"&amp;$C$3+SUM($J$10:J34),""))</f>
        <v>AV1613</v>
      </c>
      <c r="N34" s="1"/>
    </row>
    <row r="35" spans="1:14" x14ac:dyDescent="0.25">
      <c r="A35">
        <f t="shared" si="0"/>
        <v>26</v>
      </c>
      <c r="B35" s="1" t="s">
        <v>629</v>
      </c>
      <c r="C35" s="1" t="s">
        <v>630</v>
      </c>
      <c r="D35" s="1" t="s">
        <v>70</v>
      </c>
      <c r="E35" s="57">
        <v>32</v>
      </c>
      <c r="F35" s="57">
        <v>150</v>
      </c>
      <c r="G35" s="1"/>
      <c r="H35" s="3" t="s">
        <v>84</v>
      </c>
      <c r="I35" s="18">
        <f>IF(ISNUMBER(SEARCH("ANALOG",Table245[[#This Row],[Type]]))=TRUE,1,"")</f>
        <v>1</v>
      </c>
      <c r="J35" s="18" t="str">
        <f>IF(ISNUMBER(SEARCH("BINARY",Table245[[#This Row],[Type]]))=TRUE,1,"")</f>
        <v/>
      </c>
      <c r="K35" s="7" t="str">
        <f>IF(Table245[[#This Row],[Type]]="","",LEFT(Table245[[#This Row],[Type]],1)&amp;LEFT($C$2,1))</f>
        <v>AV</v>
      </c>
      <c r="L35" s="1"/>
      <c r="M35" s="7" t="str">
        <f>IF(Table245[[#This Row],[A Counter]]=1,"AV"&amp;$C$3+SUM($I$10:I35),IF(Table245[[#This Row],[B Counter]]=1,"BV"&amp;$C$3+SUM($J$10:J35),""))</f>
        <v>AV1614</v>
      </c>
      <c r="N35" s="1"/>
    </row>
    <row r="36" spans="1:14" x14ac:dyDescent="0.25">
      <c r="A36">
        <f t="shared" si="0"/>
        <v>27</v>
      </c>
      <c r="B36" s="1" t="s">
        <v>631</v>
      </c>
      <c r="C36" s="1" t="s">
        <v>632</v>
      </c>
      <c r="D36" s="1" t="s">
        <v>70</v>
      </c>
      <c r="E36" s="57">
        <v>32</v>
      </c>
      <c r="F36" s="57">
        <v>150</v>
      </c>
      <c r="G36" s="1"/>
      <c r="H36" s="3" t="s">
        <v>84</v>
      </c>
      <c r="I36" s="18">
        <f>IF(ISNUMBER(SEARCH("ANALOG",Table245[[#This Row],[Type]]))=TRUE,1,"")</f>
        <v>1</v>
      </c>
      <c r="J36" s="18" t="str">
        <f>IF(ISNUMBER(SEARCH("BINARY",Table245[[#This Row],[Type]]))=TRUE,1,"")</f>
        <v/>
      </c>
      <c r="K36" s="7" t="str">
        <f>IF(Table245[[#This Row],[Type]]="","",LEFT(Table245[[#This Row],[Type]],1)&amp;LEFT($C$2,1))</f>
        <v>AV</v>
      </c>
      <c r="L36" s="1"/>
      <c r="M36" s="7" t="str">
        <f>IF(Table245[[#This Row],[A Counter]]=1,"AV"&amp;$C$3+SUM($I$10:I36),IF(Table245[[#This Row],[B Counter]]=1,"BV"&amp;$C$3+SUM($J$10:J36),""))</f>
        <v>AV1615</v>
      </c>
      <c r="N36" s="1"/>
    </row>
    <row r="37" spans="1:14" x14ac:dyDescent="0.25">
      <c r="A37">
        <f t="shared" si="0"/>
        <v>28</v>
      </c>
      <c r="B37" s="1" t="s">
        <v>633</v>
      </c>
      <c r="C37" s="1" t="s">
        <v>634</v>
      </c>
      <c r="D37" s="1" t="s">
        <v>70</v>
      </c>
      <c r="E37" s="57">
        <v>32</v>
      </c>
      <c r="F37" s="57">
        <v>150</v>
      </c>
      <c r="G37" s="1"/>
      <c r="H37" s="3" t="s">
        <v>84</v>
      </c>
      <c r="I37" s="18">
        <f>IF(ISNUMBER(SEARCH("ANALOG",Table245[[#This Row],[Type]]))=TRUE,1,"")</f>
        <v>1</v>
      </c>
      <c r="J37" s="18" t="str">
        <f>IF(ISNUMBER(SEARCH("BINARY",Table245[[#This Row],[Type]]))=TRUE,1,"")</f>
        <v/>
      </c>
      <c r="K37" s="7" t="str">
        <f>IF(Table245[[#This Row],[Type]]="","",LEFT(Table245[[#This Row],[Type]],1)&amp;LEFT($C$2,1))</f>
        <v>AV</v>
      </c>
      <c r="L37" s="1"/>
      <c r="M37" s="7" t="str">
        <f>IF(Table245[[#This Row],[A Counter]]=1,"AV"&amp;$C$3+SUM($I$10:I37),IF(Table245[[#This Row],[B Counter]]=1,"BV"&amp;$C$3+SUM($J$10:J37),""))</f>
        <v>AV1616</v>
      </c>
      <c r="N37" s="1"/>
    </row>
    <row r="38" spans="1:14" x14ac:dyDescent="0.25">
      <c r="A38">
        <f t="shared" si="0"/>
        <v>29</v>
      </c>
      <c r="B38" s="1" t="s">
        <v>635</v>
      </c>
      <c r="C38" s="1" t="s">
        <v>636</v>
      </c>
      <c r="D38" s="1" t="s">
        <v>70</v>
      </c>
      <c r="E38" s="57">
        <v>32</v>
      </c>
      <c r="F38" s="57">
        <v>150</v>
      </c>
      <c r="G38" s="1"/>
      <c r="H38" s="3" t="s">
        <v>84</v>
      </c>
      <c r="I38" s="18">
        <f>IF(ISNUMBER(SEARCH("ANALOG",Table245[[#This Row],[Type]]))=TRUE,1,"")</f>
        <v>1</v>
      </c>
      <c r="J38" s="18" t="str">
        <f>IF(ISNUMBER(SEARCH("BINARY",Table245[[#This Row],[Type]]))=TRUE,1,"")</f>
        <v/>
      </c>
      <c r="K38" s="7" t="str">
        <f>IF(Table245[[#This Row],[Type]]="","",LEFT(Table245[[#This Row],[Type]],1)&amp;LEFT($C$2,1))</f>
        <v>AV</v>
      </c>
      <c r="L38" s="1"/>
      <c r="M38" s="7" t="str">
        <f>IF(Table245[[#This Row],[A Counter]]=1,"AV"&amp;$C$3+SUM($I$10:I38),IF(Table245[[#This Row],[B Counter]]=1,"BV"&amp;$C$3+SUM($J$10:J38),""))</f>
        <v>AV1617</v>
      </c>
      <c r="N38" s="1"/>
    </row>
    <row r="39" spans="1:14" x14ac:dyDescent="0.25">
      <c r="A39">
        <f t="shared" si="0"/>
        <v>30</v>
      </c>
      <c r="B39" s="23" t="s">
        <v>637</v>
      </c>
      <c r="C39" s="1" t="s">
        <v>638</v>
      </c>
      <c r="D39" s="1" t="s">
        <v>70</v>
      </c>
      <c r="E39" s="57"/>
      <c r="F39" s="57"/>
      <c r="G39" s="1" t="s">
        <v>639</v>
      </c>
      <c r="H39" s="1" t="s">
        <v>640</v>
      </c>
      <c r="I39" s="18">
        <f>IF(ISNUMBER(SEARCH("ANALOG",Table245[[#This Row],[Type]]))=TRUE,1,"")</f>
        <v>1</v>
      </c>
      <c r="J39" s="18" t="str">
        <f>IF(ISNUMBER(SEARCH("BINARY",Table245[[#This Row],[Type]]))=TRUE,1,"")</f>
        <v/>
      </c>
      <c r="K39" s="7" t="str">
        <f>IF(Table245[[#This Row],[Type]]="","",LEFT(Table245[[#This Row],[Type]],1)&amp;LEFT($C$2,1))</f>
        <v>AV</v>
      </c>
      <c r="L39" s="1"/>
      <c r="M39" s="7" t="str">
        <f>IF(Table245[[#This Row],[A Counter]]=1,"AV"&amp;$C$3+SUM($I$10:I39),IF(Table245[[#This Row],[B Counter]]=1,"BV"&amp;$C$3+SUM($J$10:J39),""))</f>
        <v>AV1618</v>
      </c>
      <c r="N39" s="1"/>
    </row>
    <row r="40" spans="1:14" x14ac:dyDescent="0.25">
      <c r="A40">
        <f t="shared" si="0"/>
        <v>31</v>
      </c>
      <c r="B40" s="23" t="s">
        <v>641</v>
      </c>
      <c r="C40" s="1" t="s">
        <v>642</v>
      </c>
      <c r="D40" s="1" t="s">
        <v>70</v>
      </c>
      <c r="E40" s="57"/>
      <c r="F40" s="57"/>
      <c r="G40" s="1" t="s">
        <v>639</v>
      </c>
      <c r="H40" s="1" t="s">
        <v>640</v>
      </c>
      <c r="I40" s="18">
        <f>IF(ISNUMBER(SEARCH("ANALOG",Table245[[#This Row],[Type]]))=TRUE,1,"")</f>
        <v>1</v>
      </c>
      <c r="J40" s="18" t="str">
        <f>IF(ISNUMBER(SEARCH("BINARY",Table245[[#This Row],[Type]]))=TRUE,1,"")</f>
        <v/>
      </c>
      <c r="K40" s="7" t="str">
        <f>IF(Table245[[#This Row],[Type]]="","",LEFT(Table245[[#This Row],[Type]],1)&amp;LEFT($C$2,1))</f>
        <v>AV</v>
      </c>
      <c r="L40" s="1"/>
      <c r="M40" s="7" t="str">
        <f>IF(Table245[[#This Row],[A Counter]]=1,"AV"&amp;$C$3+SUM($I$10:I40),IF(Table245[[#This Row],[B Counter]]=1,"BV"&amp;$C$3+SUM($J$10:J40),""))</f>
        <v>AV1619</v>
      </c>
      <c r="N40" s="1"/>
    </row>
    <row r="41" spans="1:14" x14ac:dyDescent="0.25">
      <c r="A41">
        <f t="shared" si="0"/>
        <v>32</v>
      </c>
      <c r="B41" s="23" t="s">
        <v>643</v>
      </c>
      <c r="C41" s="1" t="s">
        <v>644</v>
      </c>
      <c r="D41" s="1" t="s">
        <v>70</v>
      </c>
      <c r="E41" s="57"/>
      <c r="F41" s="57"/>
      <c r="G41" s="1" t="s">
        <v>639</v>
      </c>
      <c r="H41" s="1" t="s">
        <v>640</v>
      </c>
      <c r="I41" s="18">
        <f>IF(ISNUMBER(SEARCH("ANALOG",Table245[[#This Row],[Type]]))=TRUE,1,"")</f>
        <v>1</v>
      </c>
      <c r="J41" s="18" t="str">
        <f>IF(ISNUMBER(SEARCH("BINARY",Table245[[#This Row],[Type]]))=TRUE,1,"")</f>
        <v/>
      </c>
      <c r="K41" s="7" t="str">
        <f>IF(Table245[[#This Row],[Type]]="","",LEFT(Table245[[#This Row],[Type]],1)&amp;LEFT($C$2,1))</f>
        <v>AV</v>
      </c>
      <c r="L41" s="1"/>
      <c r="M41" s="7" t="str">
        <f>IF(Table245[[#This Row],[A Counter]]=1,"AV"&amp;$C$3+SUM($I$10:I41),IF(Table245[[#This Row],[B Counter]]=1,"BV"&amp;$C$3+SUM($J$10:J41),""))</f>
        <v>AV1620</v>
      </c>
      <c r="N41" s="1"/>
    </row>
    <row r="42" spans="1:14" x14ac:dyDescent="0.25">
      <c r="A42">
        <f t="shared" si="0"/>
        <v>33</v>
      </c>
      <c r="B42" s="11" t="s">
        <v>645</v>
      </c>
      <c r="C42" s="11" t="s">
        <v>646</v>
      </c>
      <c r="D42" s="11" t="s">
        <v>70</v>
      </c>
      <c r="E42" s="57"/>
      <c r="F42" s="57"/>
      <c r="G42" s="11" t="s">
        <v>639</v>
      </c>
      <c r="H42" s="11" t="s">
        <v>640</v>
      </c>
      <c r="I42" s="18">
        <f>IF(ISNUMBER(SEARCH("ANALOG",Table245[[#This Row],[Type]]))=TRUE,1,"")</f>
        <v>1</v>
      </c>
      <c r="J42" s="18" t="str">
        <f>IF(ISNUMBER(SEARCH("BINARY",Table245[[#This Row],[Type]]))=TRUE,1,"")</f>
        <v/>
      </c>
      <c r="K42" s="7" t="str">
        <f>IF(Table245[[#This Row],[Type]]="","",LEFT(Table245[[#This Row],[Type]],1)&amp;LEFT($C$2,1))</f>
        <v>AV</v>
      </c>
      <c r="L42" s="1"/>
      <c r="M42" s="7" t="str">
        <f>IF(Table245[[#This Row],[A Counter]]=1,"AV"&amp;$C$3+SUM($I$10:I42),IF(Table245[[#This Row],[B Counter]]=1,"BV"&amp;$C$3+SUM($J$10:J42),""))</f>
        <v>AV1621</v>
      </c>
      <c r="N42" s="1"/>
    </row>
    <row r="43" spans="1:14" x14ac:dyDescent="0.25">
      <c r="A43">
        <f t="shared" si="0"/>
        <v>34</v>
      </c>
      <c r="B43" s="1" t="s">
        <v>647</v>
      </c>
      <c r="C43" s="1" t="s">
        <v>648</v>
      </c>
      <c r="D43" s="1" t="s">
        <v>70</v>
      </c>
      <c r="E43" s="57"/>
      <c r="F43" s="57"/>
      <c r="G43" s="1">
        <v>120</v>
      </c>
      <c r="H43" s="1" t="s">
        <v>649</v>
      </c>
      <c r="I43" s="18">
        <f>IF(ISNUMBER(SEARCH("ANALOG",Table245[[#This Row],[Type]]))=TRUE,1,"")</f>
        <v>1</v>
      </c>
      <c r="J43" s="18" t="str">
        <f>IF(ISNUMBER(SEARCH("BINARY",Table245[[#This Row],[Type]]))=TRUE,1,"")</f>
        <v/>
      </c>
      <c r="K43" s="7" t="str">
        <f>IF(Table245[[#This Row],[Type]]="","",LEFT(Table245[[#This Row],[Type]],1)&amp;LEFT($C$2,1))</f>
        <v>AV</v>
      </c>
      <c r="L43" s="1"/>
      <c r="M43" s="7" t="str">
        <f>IF(Table245[[#This Row],[A Counter]]=1,"AV"&amp;$C$3+SUM($I$10:I43),IF(Table245[[#This Row],[B Counter]]=1,"BV"&amp;$C$3+SUM($J$10:J43),""))</f>
        <v>AV1622</v>
      </c>
      <c r="N43" s="1"/>
    </row>
    <row r="44" spans="1:14" x14ac:dyDescent="0.25">
      <c r="A44">
        <f t="shared" si="0"/>
        <v>35</v>
      </c>
      <c r="B44" s="1" t="s">
        <v>650</v>
      </c>
      <c r="C44" s="1" t="s">
        <v>651</v>
      </c>
      <c r="D44" s="1" t="s">
        <v>103</v>
      </c>
      <c r="E44" s="57"/>
      <c r="F44" s="57"/>
      <c r="G44" s="1"/>
      <c r="H44" s="1"/>
      <c r="I44" s="18" t="str">
        <f>IF(ISNUMBER(SEARCH("ANALOG",Table245[[#This Row],[Type]]))=TRUE,1,"")</f>
        <v/>
      </c>
      <c r="J44" s="18">
        <f>IF(ISNUMBER(SEARCH("BINARY",Table245[[#This Row],[Type]]))=TRUE,1,"")</f>
        <v>1</v>
      </c>
      <c r="K44" s="7" t="str">
        <f>IF(Table245[[#This Row],[Type]]="","",LEFT(Table245[[#This Row],[Type]],1)&amp;LEFT($C$2,1))</f>
        <v>BV</v>
      </c>
      <c r="L44" s="1"/>
      <c r="M44" s="7" t="str">
        <f>IF(Table245[[#This Row],[A Counter]]=1,"AV"&amp;$C$3+SUM($I$10:I44),IF(Table245[[#This Row],[B Counter]]=1,"BV"&amp;$C$3+SUM($J$10:J44),""))</f>
        <v>BV1605</v>
      </c>
      <c r="N44" s="1"/>
    </row>
    <row r="45" spans="1:14" x14ac:dyDescent="0.25">
      <c r="A45">
        <f t="shared" si="0"/>
        <v>36</v>
      </c>
      <c r="B45" s="1"/>
      <c r="C45" s="1"/>
      <c r="D45" s="1"/>
      <c r="E45" s="57"/>
      <c r="F45" s="57"/>
      <c r="G45" s="1"/>
      <c r="H45" s="1"/>
      <c r="I45" s="18" t="str">
        <f>IF(ISNUMBER(SEARCH("ANALOG",Table245[[#This Row],[Type]]))=TRUE,1,"")</f>
        <v/>
      </c>
      <c r="J45" s="18" t="str">
        <f>IF(ISNUMBER(SEARCH("BINARY",Table245[[#This Row],[Type]]))=TRUE,1,"")</f>
        <v/>
      </c>
      <c r="K45" s="7" t="str">
        <f>IF(Table245[[#This Row],[Type]]="","",LEFT(Table245[[#This Row],[Type]],1)&amp;LEFT($C$2,1))</f>
        <v/>
      </c>
      <c r="L45" s="1"/>
      <c r="M45" s="7" t="str">
        <f>IF(Table245[[#This Row],[A Counter]]=1,"AV"&amp;$C$3+SUM($I$10:I45),IF(Table245[[#This Row],[B Counter]]=1,"BV"&amp;$C$3+SUM($J$10:J45),""))</f>
        <v/>
      </c>
      <c r="N45" s="1"/>
    </row>
    <row r="46" spans="1:14" x14ac:dyDescent="0.25">
      <c r="A46">
        <f t="shared" si="0"/>
        <v>37</v>
      </c>
      <c r="B46" s="1"/>
      <c r="C46" s="1"/>
      <c r="D46" s="1"/>
      <c r="E46" s="57"/>
      <c r="F46" s="57"/>
      <c r="G46" s="1"/>
      <c r="H46" s="1"/>
      <c r="I46" s="18" t="str">
        <f>IF(ISNUMBER(SEARCH("ANALOG",Table245[[#This Row],[Type]]))=TRUE,1,"")</f>
        <v/>
      </c>
      <c r="J46" s="18" t="str">
        <f>IF(ISNUMBER(SEARCH("BINARY",Table245[[#This Row],[Type]]))=TRUE,1,"")</f>
        <v/>
      </c>
      <c r="K46" s="7" t="str">
        <f>IF(Table245[[#This Row],[Type]]="","",LEFT(Table245[[#This Row],[Type]],1)&amp;LEFT($C$2,1))</f>
        <v/>
      </c>
      <c r="L46" s="1"/>
      <c r="M46" s="7" t="str">
        <f>IF(Table245[[#This Row],[A Counter]]=1,"AV"&amp;$C$3+SUM($I$10:I46),IF(Table245[[#This Row],[B Counter]]=1,"BV"&amp;$C$3+SUM($J$10:J46),""))</f>
        <v/>
      </c>
      <c r="N46" s="1"/>
    </row>
    <row r="47" spans="1:14" x14ac:dyDescent="0.25">
      <c r="A47">
        <f t="shared" si="0"/>
        <v>38</v>
      </c>
      <c r="B47" s="1"/>
      <c r="C47" s="1"/>
      <c r="D47" s="1"/>
      <c r="E47" s="57"/>
      <c r="F47" s="57"/>
      <c r="G47" s="1"/>
      <c r="H47" s="1"/>
      <c r="I47" s="18" t="str">
        <f>IF(ISNUMBER(SEARCH("ANALOG",Table245[[#This Row],[Type]]))=TRUE,1,"")</f>
        <v/>
      </c>
      <c r="J47" s="18" t="str">
        <f>IF(ISNUMBER(SEARCH("BINARY",Table245[[#This Row],[Type]]))=TRUE,1,"")</f>
        <v/>
      </c>
      <c r="K47" s="7" t="str">
        <f>IF(Table245[[#This Row],[Type]]="","",LEFT(Table245[[#This Row],[Type]],1)&amp;LEFT($C$2,1))</f>
        <v/>
      </c>
      <c r="L47" s="1"/>
      <c r="M47" s="7" t="str">
        <f>IF(Table245[[#This Row],[A Counter]]=1,"AV"&amp;$C$3+SUM($I$10:I47),IF(Table245[[#This Row],[B Counter]]=1,"BV"&amp;$C$3+SUM($J$10:J47),""))</f>
        <v/>
      </c>
      <c r="N47" s="1"/>
    </row>
    <row r="48" spans="1:14" x14ac:dyDescent="0.25">
      <c r="A48">
        <f t="shared" si="0"/>
        <v>39</v>
      </c>
      <c r="B48" s="1"/>
      <c r="C48" s="1"/>
      <c r="D48" s="1"/>
      <c r="E48" s="57"/>
      <c r="F48" s="57"/>
      <c r="G48" s="1"/>
      <c r="H48" s="1"/>
      <c r="I48" s="18" t="str">
        <f>IF(ISNUMBER(SEARCH("ANALOG",Table245[[#This Row],[Type]]))=TRUE,1,"")</f>
        <v/>
      </c>
      <c r="J48" s="18" t="str">
        <f>IF(ISNUMBER(SEARCH("BINARY",Table245[[#This Row],[Type]]))=TRUE,1,"")</f>
        <v/>
      </c>
      <c r="K48" s="7" t="str">
        <f>IF(Table245[[#This Row],[Type]]="","",LEFT(Table245[[#This Row],[Type]],1)&amp;LEFT($C$2,1))</f>
        <v/>
      </c>
      <c r="L48" s="1"/>
      <c r="M48" s="7" t="str">
        <f>IF(Table245[[#This Row],[A Counter]]=1,"AV"&amp;$C$3+SUM($I$10:I48),IF(Table245[[#This Row],[B Counter]]=1,"BV"&amp;$C$3+SUM($J$10:J48),""))</f>
        <v/>
      </c>
      <c r="N48" s="1"/>
    </row>
    <row r="49" spans="1:19" x14ac:dyDescent="0.25">
      <c r="A49">
        <f t="shared" si="0"/>
        <v>40</v>
      </c>
      <c r="B49" s="1"/>
      <c r="C49" s="1"/>
      <c r="D49" s="1"/>
      <c r="E49" s="57"/>
      <c r="F49" s="57"/>
      <c r="G49" s="1"/>
      <c r="H49" s="1"/>
      <c r="I49" s="18" t="str">
        <f>IF(ISNUMBER(SEARCH("ANALOG",Table245[[#This Row],[Type]]))=TRUE,1,"")</f>
        <v/>
      </c>
      <c r="J49" s="18" t="str">
        <f>IF(ISNUMBER(SEARCH("BINARY",Table245[[#This Row],[Type]]))=TRUE,1,"")</f>
        <v/>
      </c>
      <c r="K49" s="7" t="str">
        <f>IF(Table245[[#This Row],[Type]]="","",LEFT(Table245[[#This Row],[Type]],1)&amp;LEFT($C$2,1))</f>
        <v/>
      </c>
      <c r="L49" s="1"/>
      <c r="M49" s="7" t="str">
        <f>IF(Table245[[#This Row],[A Counter]]=1,"AV"&amp;$C$3+SUM($I$10:I49),IF(Table245[[#This Row],[B Counter]]=1,"BV"&amp;$C$3+SUM($J$10:J49),""))</f>
        <v/>
      </c>
      <c r="N49" s="1"/>
    </row>
    <row r="50" spans="1:19" x14ac:dyDescent="0.25">
      <c r="A50">
        <f t="shared" si="0"/>
        <v>41</v>
      </c>
      <c r="B50" s="1"/>
      <c r="C50" s="1"/>
      <c r="D50" s="1"/>
      <c r="E50" s="57"/>
      <c r="F50" s="57"/>
      <c r="G50" s="1"/>
      <c r="H50" s="3"/>
      <c r="I50" s="18" t="str">
        <f>IF(ISNUMBER(SEARCH("ANALOG",Table245[[#This Row],[Type]]))=TRUE,1,"")</f>
        <v/>
      </c>
      <c r="J50" s="18" t="str">
        <f>IF(ISNUMBER(SEARCH("BINARY",Table245[[#This Row],[Type]]))=TRUE,1,"")</f>
        <v/>
      </c>
      <c r="K50" s="7" t="str">
        <f>IF(Table245[[#This Row],[Type]]="","",LEFT(Table245[[#This Row],[Type]],1)&amp;LEFT($C$2,1))</f>
        <v/>
      </c>
      <c r="L50" s="1"/>
      <c r="M50" s="7" t="str">
        <f>IF(Table245[[#This Row],[A Counter]]=1,"AV"&amp;$C$3+SUM($I$10:I50),IF(Table245[[#This Row],[B Counter]]=1,"BV"&amp;$C$3+SUM($J$10:J50),""))</f>
        <v/>
      </c>
      <c r="N50" s="1"/>
      <c r="Q50" s="13" t="e">
        <f>(#REF!-32)/1.8</f>
        <v>#REF!</v>
      </c>
      <c r="R50" s="13">
        <f>(Table245[[#This Row],[Comm Type]]-32)/1.8</f>
        <v>-17.777777777777779</v>
      </c>
      <c r="S50" s="13">
        <f>(Table245[[#This Row],[Column2]]-32)/1.8</f>
        <v>-17.777777777777779</v>
      </c>
    </row>
    <row r="51" spans="1:19" x14ac:dyDescent="0.25">
      <c r="A51">
        <f t="shared" si="0"/>
        <v>42</v>
      </c>
      <c r="B51" s="1"/>
      <c r="C51" s="1"/>
      <c r="D51" s="1"/>
      <c r="E51" s="57"/>
      <c r="F51" s="57"/>
      <c r="G51" s="1"/>
      <c r="H51" s="3"/>
      <c r="I51" s="18" t="str">
        <f>IF(ISNUMBER(SEARCH("ANALOG",Table245[[#This Row],[Type]]))=TRUE,1,"")</f>
        <v/>
      </c>
      <c r="J51" s="18" t="str">
        <f>IF(ISNUMBER(SEARCH("BINARY",Table245[[#This Row],[Type]]))=TRUE,1,"")</f>
        <v/>
      </c>
      <c r="K51" s="7" t="str">
        <f>IF(Table245[[#This Row],[Type]]="","",LEFT(Table245[[#This Row],[Type]],1)&amp;LEFT($C$2,1))</f>
        <v/>
      </c>
      <c r="L51" s="1"/>
      <c r="M51" s="7" t="str">
        <f>IF(Table245[[#This Row],[A Counter]]=1,"AV"&amp;$C$3+SUM($I$10:I51),IF(Table245[[#This Row],[B Counter]]=1,"BV"&amp;$C$3+SUM($J$10:J51),""))</f>
        <v/>
      </c>
      <c r="N51" s="1"/>
      <c r="Q51" s="13">
        <f>(Table245[[#This Row],[Column1]]-32)/1.8</f>
        <v>-17.777777777777779</v>
      </c>
      <c r="R51" s="13">
        <f>(Table245[[#This Row],[Comm Type]]-32)/1.8</f>
        <v>-17.777777777777779</v>
      </c>
      <c r="S51" s="13">
        <f>(Table245[[#This Row],[Column2]]-32)/1.8</f>
        <v>-17.777777777777779</v>
      </c>
    </row>
    <row r="52" spans="1:19" x14ac:dyDescent="0.25">
      <c r="A52">
        <f t="shared" si="0"/>
        <v>43</v>
      </c>
      <c r="B52" s="1"/>
      <c r="C52" s="1"/>
      <c r="D52" s="1"/>
      <c r="E52" s="57"/>
      <c r="F52" s="57"/>
      <c r="G52" s="1"/>
      <c r="H52" s="3"/>
      <c r="I52" s="18" t="str">
        <f>IF(ISNUMBER(SEARCH("ANALOG",Table245[[#This Row],[Type]]))=TRUE,1,"")</f>
        <v/>
      </c>
      <c r="J52" s="18" t="str">
        <f>IF(ISNUMBER(SEARCH("BINARY",Table245[[#This Row],[Type]]))=TRUE,1,"")</f>
        <v/>
      </c>
      <c r="K52" s="7" t="str">
        <f>IF(Table245[[#This Row],[Type]]="","",LEFT(Table245[[#This Row],[Type]],1)&amp;LEFT($C$2,1))</f>
        <v/>
      </c>
      <c r="L52" s="1"/>
      <c r="M52" s="7" t="str">
        <f>IF(Table245[[#This Row],[A Counter]]=1,"AV"&amp;$C$3+SUM($I$10:I52),IF(Table245[[#This Row],[B Counter]]=1,"BV"&amp;$C$3+SUM($J$10:J52),""))</f>
        <v/>
      </c>
      <c r="N52" s="1"/>
      <c r="Q52" s="13">
        <f>(Table245[[#This Row],[Column1]]-32)/1.8</f>
        <v>-17.777777777777779</v>
      </c>
      <c r="R52" s="13">
        <f>(Table245[[#This Row],[Comm Type]]-32)/1.8</f>
        <v>-17.777777777777779</v>
      </c>
      <c r="S52" s="13">
        <f>(Table245[[#This Row],[Column2]]-32)/1.8</f>
        <v>-17.777777777777779</v>
      </c>
    </row>
    <row r="53" spans="1:19" x14ac:dyDescent="0.25">
      <c r="A53">
        <f t="shared" si="0"/>
        <v>44</v>
      </c>
      <c r="B53" s="1" t="s">
        <v>652</v>
      </c>
      <c r="C53" s="1" t="s">
        <v>653</v>
      </c>
      <c r="D53" s="1" t="s">
        <v>103</v>
      </c>
      <c r="E53" s="57"/>
      <c r="F53" s="57"/>
      <c r="G53" s="1"/>
      <c r="H53" s="3" t="s">
        <v>112</v>
      </c>
      <c r="I53" s="18" t="str">
        <f>IF(ISNUMBER(SEARCH("ANALOG",Table245[[#This Row],[Type]]))=TRUE,1,"")</f>
        <v/>
      </c>
      <c r="J53" s="18">
        <f>IF(ISNUMBER(SEARCH("BINARY",Table245[[#This Row],[Type]]))=TRUE,1,"")</f>
        <v>1</v>
      </c>
      <c r="K53" s="7" t="str">
        <f>IF(Table245[[#This Row],[Type]]="","",LEFT(Table245[[#This Row],[Type]],1)&amp;LEFT($C$2,1))</f>
        <v>BV</v>
      </c>
      <c r="L53" s="1"/>
      <c r="M53" s="7" t="str">
        <f>IF(Table245[[#This Row],[A Counter]]=1,"AV"&amp;$C$3+SUM($I$10:I53),IF(Table245[[#This Row],[B Counter]]=1,"BV"&amp;$C$3+SUM($J$10:J53),""))</f>
        <v>BV1606</v>
      </c>
      <c r="N53" s="1"/>
      <c r="Q53" s="13">
        <f>(Table245[[#This Row],[Column1]]-32)/1.8</f>
        <v>-17.777777777777779</v>
      </c>
      <c r="R53" s="13">
        <f>(Table245[[#This Row],[Comm Type]]-32)/1.8</f>
        <v>-17.777777777777779</v>
      </c>
      <c r="S53" s="13">
        <f>(Table245[[#This Row],[Column2]]-32)/1.8</f>
        <v>-17.777777777777779</v>
      </c>
    </row>
    <row r="54" spans="1:19" x14ac:dyDescent="0.25">
      <c r="A54">
        <f t="shared" si="0"/>
        <v>45</v>
      </c>
      <c r="B54" s="1" t="s">
        <v>654</v>
      </c>
      <c r="C54" s="1" t="s">
        <v>655</v>
      </c>
      <c r="D54" s="1" t="s">
        <v>70</v>
      </c>
      <c r="E54" s="57"/>
      <c r="F54" s="57"/>
      <c r="G54" s="1"/>
      <c r="H54" s="3" t="s">
        <v>80</v>
      </c>
      <c r="I54" s="18">
        <f>IF(ISNUMBER(SEARCH("ANALOG",Table245[[#This Row],[Type]]))=TRUE,1,"")</f>
        <v>1</v>
      </c>
      <c r="J54" s="18" t="str">
        <f>IF(ISNUMBER(SEARCH("BINARY",Table245[[#This Row],[Type]]))=TRUE,1,"")</f>
        <v/>
      </c>
      <c r="K54" s="7" t="str">
        <f>IF(Table245[[#This Row],[Type]]="","",LEFT(Table245[[#This Row],[Type]],1)&amp;LEFT($C$2,1))</f>
        <v>AV</v>
      </c>
      <c r="L54" s="1"/>
      <c r="M54" s="7" t="str">
        <f>IF(Table245[[#This Row],[A Counter]]=1,"AV"&amp;$C$3+SUM($I$10:I54),IF(Table245[[#This Row],[B Counter]]=1,"BV"&amp;$C$3+SUM($J$10:J54),""))</f>
        <v>AV1623</v>
      </c>
      <c r="N54" s="1"/>
    </row>
    <row r="55" spans="1:19" x14ac:dyDescent="0.25">
      <c r="A55">
        <f t="shared" si="0"/>
        <v>46</v>
      </c>
      <c r="B55" s="1" t="s">
        <v>656</v>
      </c>
      <c r="C55" s="1" t="s">
        <v>657</v>
      </c>
      <c r="D55" s="1" t="s">
        <v>70</v>
      </c>
      <c r="E55" s="57">
        <v>-22</v>
      </c>
      <c r="F55" s="57">
        <v>150</v>
      </c>
      <c r="G55" s="1"/>
      <c r="H55" s="3" t="s">
        <v>84</v>
      </c>
      <c r="I55" s="18">
        <f>IF(ISNUMBER(SEARCH("ANALOG",Table245[[#This Row],[Type]]))=TRUE,1,"")</f>
        <v>1</v>
      </c>
      <c r="J55" s="18" t="str">
        <f>IF(ISNUMBER(SEARCH("BINARY",Table245[[#This Row],[Type]]))=TRUE,1,"")</f>
        <v/>
      </c>
      <c r="K55" s="7" t="str">
        <f>IF(Table245[[#This Row],[Type]]="","",LEFT(Table245[[#This Row],[Type]],1)&amp;LEFT($C$2,1))</f>
        <v>AV</v>
      </c>
      <c r="L55" s="1"/>
      <c r="M55" s="7" t="str">
        <f>IF(Table245[[#This Row],[A Counter]]=1,"AV"&amp;$C$3+SUM($I$10:I55),IF(Table245[[#This Row],[B Counter]]=1,"BV"&amp;$C$3+SUM($J$10:J55),""))</f>
        <v>AV1624</v>
      </c>
      <c r="N55" s="1"/>
    </row>
    <row r="56" spans="1:19" x14ac:dyDescent="0.25">
      <c r="A56">
        <f t="shared" si="0"/>
        <v>47</v>
      </c>
      <c r="B56" s="1" t="s">
        <v>658</v>
      </c>
      <c r="C56" s="1" t="s">
        <v>659</v>
      </c>
      <c r="D56" s="1" t="s">
        <v>70</v>
      </c>
      <c r="E56" s="57">
        <v>-22</v>
      </c>
      <c r="F56" s="57">
        <v>150</v>
      </c>
      <c r="G56" s="1"/>
      <c r="H56" s="3" t="s">
        <v>84</v>
      </c>
      <c r="I56" s="18">
        <f>IF(ISNUMBER(SEARCH("ANALOG",Table245[[#This Row],[Type]]))=TRUE,1,"")</f>
        <v>1</v>
      </c>
      <c r="J56" s="18" t="str">
        <f>IF(ISNUMBER(SEARCH("BINARY",Table245[[#This Row],[Type]]))=TRUE,1,"")</f>
        <v/>
      </c>
      <c r="K56" s="7" t="str">
        <f>IF(Table245[[#This Row],[Type]]="","",LEFT(Table245[[#This Row],[Type]],1)&amp;LEFT($C$2,1))</f>
        <v>AV</v>
      </c>
      <c r="L56" s="1"/>
      <c r="M56" s="7" t="str">
        <f>IF(Table245[[#This Row],[A Counter]]=1,"AV"&amp;$C$3+SUM($I$10:I56),IF(Table245[[#This Row],[B Counter]]=1,"BV"&amp;$C$3+SUM($J$10:J56),""))</f>
        <v>AV1625</v>
      </c>
      <c r="N56" s="1"/>
    </row>
    <row r="57" spans="1:19" x14ac:dyDescent="0.25">
      <c r="A57">
        <f t="shared" si="0"/>
        <v>48</v>
      </c>
      <c r="B57" s="1" t="s">
        <v>660</v>
      </c>
      <c r="C57" s="1" t="s">
        <v>661</v>
      </c>
      <c r="D57" s="1" t="s">
        <v>70</v>
      </c>
      <c r="E57" s="57">
        <v>-22</v>
      </c>
      <c r="F57" s="57">
        <v>150</v>
      </c>
      <c r="G57" s="1"/>
      <c r="H57" s="3" t="s">
        <v>84</v>
      </c>
      <c r="I57" s="18">
        <f>IF(ISNUMBER(SEARCH("ANALOG",Table245[[#This Row],[Type]]))=TRUE,1,"")</f>
        <v>1</v>
      </c>
      <c r="J57" s="18" t="str">
        <f>IF(ISNUMBER(SEARCH("BINARY",Table245[[#This Row],[Type]]))=TRUE,1,"")</f>
        <v/>
      </c>
      <c r="K57" s="7" t="str">
        <f>IF(Table245[[#This Row],[Type]]="","",LEFT(Table245[[#This Row],[Type]],1)&amp;LEFT($C$2,1))</f>
        <v>AV</v>
      </c>
      <c r="L57" s="1"/>
      <c r="M57" s="7" t="str">
        <f>IF(Table245[[#This Row],[A Counter]]=1,"AV"&amp;$C$3+SUM($I$10:I57),IF(Table245[[#This Row],[B Counter]]=1,"BV"&amp;$C$3+SUM($J$10:J57),""))</f>
        <v>AV1626</v>
      </c>
      <c r="N57" s="1"/>
    </row>
    <row r="58" spans="1:19" x14ac:dyDescent="0.25">
      <c r="A58">
        <f t="shared" si="0"/>
        <v>49</v>
      </c>
      <c r="B58" s="1" t="s">
        <v>662</v>
      </c>
      <c r="C58" s="1" t="s">
        <v>663</v>
      </c>
      <c r="D58" s="1" t="s">
        <v>70</v>
      </c>
      <c r="E58" s="57">
        <v>32</v>
      </c>
      <c r="F58" s="57">
        <v>150</v>
      </c>
      <c r="G58" s="1"/>
      <c r="H58" s="3" t="s">
        <v>84</v>
      </c>
      <c r="I58" s="18">
        <f>IF(ISNUMBER(SEARCH("ANALOG",Table245[[#This Row],[Type]]))=TRUE,1,"")</f>
        <v>1</v>
      </c>
      <c r="J58" s="18" t="str">
        <f>IF(ISNUMBER(SEARCH("BINARY",Table245[[#This Row],[Type]]))=TRUE,1,"")</f>
        <v/>
      </c>
      <c r="K58" s="7" t="str">
        <f>IF(Table245[[#This Row],[Type]]="","",LEFT(Table245[[#This Row],[Type]],1)&amp;LEFT($C$2,1))</f>
        <v>AV</v>
      </c>
      <c r="L58" s="1"/>
      <c r="M58" s="7" t="str">
        <f>IF(Table245[[#This Row],[A Counter]]=1,"AV"&amp;$C$3+SUM($I$10:I58),IF(Table245[[#This Row],[B Counter]]=1,"BV"&amp;$C$3+SUM($J$10:J58),""))</f>
        <v>AV1627</v>
      </c>
      <c r="N58" s="1"/>
    </row>
    <row r="59" spans="1:19" x14ac:dyDescent="0.25">
      <c r="A59">
        <f t="shared" si="0"/>
        <v>50</v>
      </c>
      <c r="B59" s="1" t="s">
        <v>664</v>
      </c>
      <c r="C59" s="1" t="s">
        <v>665</v>
      </c>
      <c r="D59" s="1" t="s">
        <v>70</v>
      </c>
      <c r="E59" s="57">
        <v>32</v>
      </c>
      <c r="F59" s="57">
        <v>150</v>
      </c>
      <c r="G59" s="1"/>
      <c r="H59" s="3" t="s">
        <v>84</v>
      </c>
      <c r="I59" s="18">
        <f>IF(ISNUMBER(SEARCH("ANALOG",Table245[[#This Row],[Type]]))=TRUE,1,"")</f>
        <v>1</v>
      </c>
      <c r="J59" s="18" t="str">
        <f>IF(ISNUMBER(SEARCH("BINARY",Table245[[#This Row],[Type]]))=TRUE,1,"")</f>
        <v/>
      </c>
      <c r="K59" s="7" t="str">
        <f>IF(Table245[[#This Row],[Type]]="","",LEFT(Table245[[#This Row],[Type]],1)&amp;LEFT($C$2,1))</f>
        <v>AV</v>
      </c>
      <c r="L59" s="1"/>
      <c r="M59" s="7" t="str">
        <f>IF(Table245[[#This Row],[A Counter]]=1,"AV"&amp;$C$3+SUM($I$10:I59),IF(Table245[[#This Row],[B Counter]]=1,"BV"&amp;$C$3+SUM($J$10:J59),""))</f>
        <v>AV1628</v>
      </c>
      <c r="N59" s="1"/>
    </row>
    <row r="60" spans="1:19" x14ac:dyDescent="0.25">
      <c r="A60">
        <f t="shared" si="0"/>
        <v>51</v>
      </c>
      <c r="B60" s="1" t="s">
        <v>666</v>
      </c>
      <c r="C60" s="1" t="s">
        <v>667</v>
      </c>
      <c r="D60" s="1" t="s">
        <v>70</v>
      </c>
      <c r="E60" s="57">
        <v>32</v>
      </c>
      <c r="F60" s="57">
        <v>150</v>
      </c>
      <c r="G60" s="1"/>
      <c r="H60" s="3" t="s">
        <v>84</v>
      </c>
      <c r="I60" s="18">
        <f>IF(ISNUMBER(SEARCH("ANALOG",Table245[[#This Row],[Type]]))=TRUE,1,"")</f>
        <v>1</v>
      </c>
      <c r="J60" s="18" t="str">
        <f>IF(ISNUMBER(SEARCH("BINARY",Table245[[#This Row],[Type]]))=TRUE,1,"")</f>
        <v/>
      </c>
      <c r="K60" s="7" t="str">
        <f>IF(Table245[[#This Row],[Type]]="","",LEFT(Table245[[#This Row],[Type]],1)&amp;LEFT($C$2,1))</f>
        <v>AV</v>
      </c>
      <c r="L60" s="1"/>
      <c r="M60" s="7" t="str">
        <f>IF(Table245[[#This Row],[A Counter]]=1,"AV"&amp;$C$3+SUM($I$10:I60),IF(Table245[[#This Row],[B Counter]]=1,"BV"&amp;$C$3+SUM($J$10:J60),""))</f>
        <v>AV1629</v>
      </c>
      <c r="N60" s="1"/>
      <c r="Q60" s="16">
        <f>Table245[[#This Row],[Column1]]*248.84</f>
        <v>7962.88</v>
      </c>
    </row>
    <row r="61" spans="1:19" x14ac:dyDescent="0.25">
      <c r="A61">
        <f t="shared" si="0"/>
        <v>52</v>
      </c>
      <c r="B61" s="1" t="s">
        <v>668</v>
      </c>
      <c r="C61" s="1" t="s">
        <v>669</v>
      </c>
      <c r="D61" s="1" t="s">
        <v>70</v>
      </c>
      <c r="E61" s="57">
        <v>32</v>
      </c>
      <c r="F61" s="57">
        <v>150</v>
      </c>
      <c r="G61" s="1"/>
      <c r="H61" s="3" t="s">
        <v>84</v>
      </c>
      <c r="I61" s="18">
        <f>IF(ISNUMBER(SEARCH("ANALOG",Table245[[#This Row],[Type]]))=TRUE,1,"")</f>
        <v>1</v>
      </c>
      <c r="J61" s="18" t="str">
        <f>IF(ISNUMBER(SEARCH("BINARY",Table245[[#This Row],[Type]]))=TRUE,1,"")</f>
        <v/>
      </c>
      <c r="K61" s="7" t="str">
        <f>IF(Table245[[#This Row],[Type]]="","",LEFT(Table245[[#This Row],[Type]],1)&amp;LEFT($C$2,1))</f>
        <v>AV</v>
      </c>
      <c r="L61" s="1"/>
      <c r="M61" s="7" t="str">
        <f>IF(Table245[[#This Row],[A Counter]]=1,"AV"&amp;$C$3+SUM($I$10:I61),IF(Table245[[#This Row],[B Counter]]=1,"BV"&amp;$C$3+SUM($J$10:J61),""))</f>
        <v>AV1630</v>
      </c>
      <c r="N61" s="1"/>
      <c r="Q61" s="16">
        <f>Table245[[#This Row],[Column1]]*248.84</f>
        <v>7962.88</v>
      </c>
      <c r="R61" s="16">
        <f>Table245[[#This Row],[Comm Type]]*248.84</f>
        <v>37326</v>
      </c>
      <c r="S61" s="16">
        <f>Table245[[#This Row],[Column2]]*248.84</f>
        <v>0</v>
      </c>
    </row>
    <row r="62" spans="1:19" x14ac:dyDescent="0.25">
      <c r="A62">
        <f t="shared" si="0"/>
        <v>53</v>
      </c>
      <c r="B62" s="23" t="s">
        <v>670</v>
      </c>
      <c r="C62" s="1" t="s">
        <v>671</v>
      </c>
      <c r="D62" s="1" t="s">
        <v>70</v>
      </c>
      <c r="E62" s="57"/>
      <c r="F62" s="57"/>
      <c r="G62" s="1" t="s">
        <v>639</v>
      </c>
      <c r="H62" s="1" t="s">
        <v>640</v>
      </c>
      <c r="I62" s="18">
        <f>IF(ISNUMBER(SEARCH("ANALOG",Table245[[#This Row],[Type]]))=TRUE,1,"")</f>
        <v>1</v>
      </c>
      <c r="J62" s="18" t="str">
        <f>IF(ISNUMBER(SEARCH("BINARY",Table245[[#This Row],[Type]]))=TRUE,1,"")</f>
        <v/>
      </c>
      <c r="K62" s="7" t="str">
        <f>IF(Table245[[#This Row],[Type]]="","",LEFT(Table245[[#This Row],[Type]],1)&amp;LEFT($C$2,1))</f>
        <v>AV</v>
      </c>
      <c r="L62" s="1"/>
      <c r="M62" s="7" t="str">
        <f>IF(Table245[[#This Row],[A Counter]]=1,"AV"&amp;$C$3+SUM($I$10:I62),IF(Table245[[#This Row],[B Counter]]=1,"BV"&amp;$C$3+SUM($J$10:J62),""))</f>
        <v>AV1631</v>
      </c>
      <c r="N62" s="1"/>
    </row>
    <row r="63" spans="1:19" x14ac:dyDescent="0.25">
      <c r="A63">
        <f t="shared" si="0"/>
        <v>54</v>
      </c>
      <c r="B63" s="23" t="s">
        <v>672</v>
      </c>
      <c r="C63" s="1" t="s">
        <v>673</v>
      </c>
      <c r="D63" s="1" t="s">
        <v>70</v>
      </c>
      <c r="E63" s="57"/>
      <c r="F63" s="57"/>
      <c r="G63" s="1" t="s">
        <v>639</v>
      </c>
      <c r="H63" s="1" t="s">
        <v>640</v>
      </c>
      <c r="I63" s="18">
        <f>IF(ISNUMBER(SEARCH("ANALOG",Table245[[#This Row],[Type]]))=TRUE,1,"")</f>
        <v>1</v>
      </c>
      <c r="J63" s="18" t="str">
        <f>IF(ISNUMBER(SEARCH("BINARY",Table245[[#This Row],[Type]]))=TRUE,1,"")</f>
        <v/>
      </c>
      <c r="K63" s="7" t="str">
        <f>IF(Table245[[#This Row],[Type]]="","",LEFT(Table245[[#This Row],[Type]],1)&amp;LEFT($C$2,1))</f>
        <v>AV</v>
      </c>
      <c r="L63" s="1"/>
      <c r="M63" s="7" t="str">
        <f>IF(Table245[[#This Row],[A Counter]]=1,"AV"&amp;$C$3+SUM($I$10:I63),IF(Table245[[#This Row],[B Counter]]=1,"BV"&amp;$C$3+SUM($J$10:J63),""))</f>
        <v>AV1632</v>
      </c>
      <c r="N63" s="1"/>
    </row>
    <row r="64" spans="1:19" x14ac:dyDescent="0.25">
      <c r="A64">
        <f t="shared" si="0"/>
        <v>55</v>
      </c>
      <c r="B64" s="23" t="s">
        <v>674</v>
      </c>
      <c r="C64" s="1" t="s">
        <v>675</v>
      </c>
      <c r="D64" s="1" t="s">
        <v>70</v>
      </c>
      <c r="E64" s="57"/>
      <c r="F64" s="57"/>
      <c r="G64" s="1" t="s">
        <v>639</v>
      </c>
      <c r="H64" s="1" t="s">
        <v>640</v>
      </c>
      <c r="I64" s="18">
        <f>IF(ISNUMBER(SEARCH("ANALOG",Table245[[#This Row],[Type]]))=TRUE,1,"")</f>
        <v>1</v>
      </c>
      <c r="J64" s="18" t="str">
        <f>IF(ISNUMBER(SEARCH("BINARY",Table245[[#This Row],[Type]]))=TRUE,1,"")</f>
        <v/>
      </c>
      <c r="K64" s="7" t="str">
        <f>IF(Table245[[#This Row],[Type]]="","",LEFT(Table245[[#This Row],[Type]],1)&amp;LEFT($C$2,1))</f>
        <v>AV</v>
      </c>
      <c r="L64" s="1"/>
      <c r="M64" s="7" t="str">
        <f>IF(Table245[[#This Row],[A Counter]]=1,"AV"&amp;$C$3+SUM($I$10:I64),IF(Table245[[#This Row],[B Counter]]=1,"BV"&amp;$C$3+SUM($J$10:J64),""))</f>
        <v>AV1633</v>
      </c>
      <c r="N64" s="1"/>
    </row>
    <row r="65" spans="1:14" x14ac:dyDescent="0.25">
      <c r="A65">
        <f t="shared" si="0"/>
        <v>56</v>
      </c>
      <c r="B65" s="11" t="s">
        <v>676</v>
      </c>
      <c r="C65" s="11" t="s">
        <v>677</v>
      </c>
      <c r="D65" s="11" t="s">
        <v>70</v>
      </c>
      <c r="E65" s="57"/>
      <c r="F65" s="57"/>
      <c r="G65" s="11" t="s">
        <v>639</v>
      </c>
      <c r="H65" s="11" t="s">
        <v>640</v>
      </c>
      <c r="I65" s="18">
        <f>IF(ISNUMBER(SEARCH("ANALOG",Table245[[#This Row],[Type]]))=TRUE,1,"")</f>
        <v>1</v>
      </c>
      <c r="J65" s="18" t="str">
        <f>IF(ISNUMBER(SEARCH("BINARY",Table245[[#This Row],[Type]]))=TRUE,1,"")</f>
        <v/>
      </c>
      <c r="K65" s="7" t="str">
        <f>IF(Table245[[#This Row],[Type]]="","",LEFT(Table245[[#This Row],[Type]],1)&amp;LEFT($C$2,1))</f>
        <v>AV</v>
      </c>
      <c r="L65" s="1"/>
      <c r="M65" s="7" t="str">
        <f>IF(Table245[[#This Row],[A Counter]]=1,"AV"&amp;$C$3+SUM($I$10:I65),IF(Table245[[#This Row],[B Counter]]=1,"BV"&amp;$C$3+SUM($J$10:J65),""))</f>
        <v>AV1634</v>
      </c>
      <c r="N65" s="1"/>
    </row>
    <row r="66" spans="1:14" x14ac:dyDescent="0.25">
      <c r="A66">
        <f t="shared" si="0"/>
        <v>57</v>
      </c>
      <c r="B66" s="1" t="s">
        <v>678</v>
      </c>
      <c r="C66" s="1" t="s">
        <v>679</v>
      </c>
      <c r="D66" s="1" t="s">
        <v>70</v>
      </c>
      <c r="E66" s="57"/>
      <c r="F66" s="57"/>
      <c r="G66" s="1">
        <v>120</v>
      </c>
      <c r="H66" s="1" t="s">
        <v>649</v>
      </c>
      <c r="I66" s="18">
        <f>IF(ISNUMBER(SEARCH("ANALOG",Table245[[#This Row],[Type]]))=TRUE,1,"")</f>
        <v>1</v>
      </c>
      <c r="J66" s="18" t="str">
        <f>IF(ISNUMBER(SEARCH("BINARY",Table245[[#This Row],[Type]]))=TRUE,1,"")</f>
        <v/>
      </c>
      <c r="K66" s="7" t="str">
        <f>IF(Table245[[#This Row],[Type]]="","",LEFT(Table245[[#This Row],[Type]],1)&amp;LEFT($C$2,1))</f>
        <v>AV</v>
      </c>
      <c r="L66" s="1"/>
      <c r="M66" s="7" t="str">
        <f>IF(Table245[[#This Row],[A Counter]]=1,"AV"&amp;$C$3+SUM($I$10:I66),IF(Table245[[#This Row],[B Counter]]=1,"BV"&amp;$C$3+SUM($J$10:J66),""))</f>
        <v>AV1635</v>
      </c>
      <c r="N66" s="1"/>
    </row>
    <row r="67" spans="1:14" x14ac:dyDescent="0.25">
      <c r="A67">
        <f t="shared" si="0"/>
        <v>58</v>
      </c>
      <c r="B67" s="1" t="s">
        <v>680</v>
      </c>
      <c r="C67" s="1" t="s">
        <v>681</v>
      </c>
      <c r="D67" s="1" t="s">
        <v>103</v>
      </c>
      <c r="E67" s="57"/>
      <c r="F67" s="57"/>
      <c r="G67" s="1"/>
      <c r="H67" s="1"/>
      <c r="I67" s="18" t="str">
        <f>IF(ISNUMBER(SEARCH("ANALOG",Table245[[#This Row],[Type]]))=TRUE,1,"")</f>
        <v/>
      </c>
      <c r="J67" s="18">
        <f>IF(ISNUMBER(SEARCH("BINARY",Table245[[#This Row],[Type]]))=TRUE,1,"")</f>
        <v>1</v>
      </c>
      <c r="K67" s="7" t="str">
        <f>IF(Table245[[#This Row],[Type]]="","",LEFT(Table245[[#This Row],[Type]],1)&amp;LEFT($C$2,1))</f>
        <v>BV</v>
      </c>
      <c r="L67" s="1"/>
      <c r="M67" s="7" t="str">
        <f>IF(Table245[[#This Row],[A Counter]]=1,"AV"&amp;$C$3+SUM($I$10:I67),IF(Table245[[#This Row],[B Counter]]=1,"BV"&amp;$C$3+SUM($J$10:J67),""))</f>
        <v>BV1607</v>
      </c>
      <c r="N67" s="1"/>
    </row>
    <row r="68" spans="1:14" x14ac:dyDescent="0.25">
      <c r="A68">
        <f t="shared" si="0"/>
        <v>59</v>
      </c>
      <c r="B68" s="1"/>
      <c r="C68" s="1"/>
      <c r="D68" s="1"/>
      <c r="E68" s="57"/>
      <c r="F68" s="57"/>
      <c r="G68" s="1"/>
      <c r="H68" s="3"/>
      <c r="I68" s="18" t="str">
        <f>IF(ISNUMBER(SEARCH("ANALOG",Table245[[#This Row],[Type]]))=TRUE,1,"")</f>
        <v/>
      </c>
      <c r="J68" s="18" t="str">
        <f>IF(ISNUMBER(SEARCH("BINARY",Table245[[#This Row],[Type]]))=TRUE,1,"")</f>
        <v/>
      </c>
      <c r="K68" s="7" t="str">
        <f>IF(Table245[[#This Row],[Type]]="","",LEFT(Table245[[#This Row],[Type]],1)&amp;LEFT($C$2,1))</f>
        <v/>
      </c>
      <c r="L68" s="1"/>
      <c r="M68" s="7" t="str">
        <f>IF(Table245[[#This Row],[A Counter]]=1,"AV"&amp;$C$3+SUM($I$10:I68),IF(Table245[[#This Row],[B Counter]]=1,"BV"&amp;$C$3+SUM($J$10:J68),""))</f>
        <v/>
      </c>
      <c r="N68" s="1"/>
    </row>
    <row r="69" spans="1:14" x14ac:dyDescent="0.25">
      <c r="A69">
        <f t="shared" si="0"/>
        <v>60</v>
      </c>
      <c r="B69" s="11"/>
      <c r="C69" s="11"/>
      <c r="D69" s="11"/>
      <c r="E69" s="57"/>
      <c r="F69" s="57"/>
      <c r="G69" s="11"/>
      <c r="H69" s="22"/>
      <c r="I69" s="18" t="str">
        <f>IF(ISNUMBER(SEARCH("ANALOG",Table245[[#This Row],[Type]]))=TRUE,1,"")</f>
        <v/>
      </c>
      <c r="J69" s="18" t="str">
        <f>IF(ISNUMBER(SEARCH("BINARY",Table245[[#This Row],[Type]]))=TRUE,1,"")</f>
        <v/>
      </c>
      <c r="K69" s="7" t="str">
        <f>IF(Table245[[#This Row],[Type]]="","",LEFT(Table245[[#This Row],[Type]],1)&amp;LEFT($C$2,1))</f>
        <v/>
      </c>
      <c r="L69" s="11"/>
      <c r="M69" s="7" t="str">
        <f>IF(Table245[[#This Row],[A Counter]]=1,"AV"&amp;$C$3+SUM($I$10:I69),IF(Table245[[#This Row],[B Counter]]=1,"BV"&amp;$C$3+SUM($J$10:J69),""))</f>
        <v/>
      </c>
      <c r="N69" s="1"/>
    </row>
    <row r="70" spans="1:14" x14ac:dyDescent="0.25">
      <c r="A70">
        <f t="shared" si="0"/>
        <v>61</v>
      </c>
      <c r="B70" s="1"/>
      <c r="C70" s="1"/>
      <c r="D70" s="1"/>
      <c r="E70" s="57"/>
      <c r="F70" s="57"/>
      <c r="G70" s="1"/>
      <c r="H70" s="3"/>
      <c r="I70" s="18" t="str">
        <f>IF(ISNUMBER(SEARCH("ANALOG",Table245[[#This Row],[Type]]))=TRUE,1,"")</f>
        <v/>
      </c>
      <c r="J70" s="18" t="str">
        <f>IF(ISNUMBER(SEARCH("BINARY",Table245[[#This Row],[Type]]))=TRUE,1,"")</f>
        <v/>
      </c>
      <c r="K70" s="7" t="str">
        <f>IF(Table245[[#This Row],[Type]]="","",LEFT(Table245[[#This Row],[Type]],1)&amp;LEFT($C$2,1))</f>
        <v/>
      </c>
      <c r="L70" s="1"/>
      <c r="M70" s="7" t="str">
        <f>IF(Table245[[#This Row],[A Counter]]=1,"AV"&amp;$C$3+SUM($I$10:I70),IF(Table245[[#This Row],[B Counter]]=1,"BV"&amp;$C$3+SUM($J$10:J70),""))</f>
        <v/>
      </c>
      <c r="N70" s="1"/>
    </row>
    <row r="71" spans="1:14" x14ac:dyDescent="0.25">
      <c r="A71">
        <f t="shared" si="0"/>
        <v>62</v>
      </c>
      <c r="B71" s="1"/>
      <c r="C71" s="1"/>
      <c r="D71" s="1"/>
      <c r="E71" s="57"/>
      <c r="F71" s="57"/>
      <c r="G71" s="1"/>
      <c r="H71" s="3"/>
      <c r="I71" s="18" t="str">
        <f>IF(ISNUMBER(SEARCH("ANALOG",Table245[[#This Row],[Type]]))=TRUE,1,"")</f>
        <v/>
      </c>
      <c r="J71" s="18" t="str">
        <f>IF(ISNUMBER(SEARCH("BINARY",Table245[[#This Row],[Type]]))=TRUE,1,"")</f>
        <v/>
      </c>
      <c r="K71" s="7" t="str">
        <f>IF(Table245[[#This Row],[Type]]="","",LEFT(Table245[[#This Row],[Type]],1)&amp;LEFT($C$2,1))</f>
        <v/>
      </c>
      <c r="L71" s="1"/>
      <c r="M71" s="7" t="str">
        <f>IF(Table245[[#This Row],[A Counter]]=1,"AV"&amp;$C$3+SUM($I$10:I71),IF(Table245[[#This Row],[B Counter]]=1,"BV"&amp;$C$3+SUM($J$10:J71),""))</f>
        <v/>
      </c>
      <c r="N71" s="1"/>
    </row>
    <row r="72" spans="1:14" x14ac:dyDescent="0.25">
      <c r="A72">
        <f t="shared" si="0"/>
        <v>63</v>
      </c>
      <c r="B72" s="1"/>
      <c r="C72" s="1"/>
      <c r="D72" s="1"/>
      <c r="E72" s="57"/>
      <c r="F72" s="57"/>
      <c r="G72" s="1"/>
      <c r="H72" s="3"/>
      <c r="I72" s="18" t="str">
        <f>IF(ISNUMBER(SEARCH("ANALOG",Table245[[#This Row],[Type]]))=TRUE,1,"")</f>
        <v/>
      </c>
      <c r="J72" s="18" t="str">
        <f>IF(ISNUMBER(SEARCH("BINARY",Table245[[#This Row],[Type]]))=TRUE,1,"")</f>
        <v/>
      </c>
      <c r="K72" s="7" t="str">
        <f>IF(Table245[[#This Row],[Type]]="","",LEFT(Table245[[#This Row],[Type]],1)&amp;LEFT($C$2,1))</f>
        <v/>
      </c>
      <c r="L72" s="1"/>
      <c r="M72" s="7" t="str">
        <f>IF(Table245[[#This Row],[A Counter]]=1,"AV"&amp;$C$3+SUM($I$10:I72),IF(Table245[[#This Row],[B Counter]]=1,"BV"&amp;$C$3+SUM($J$10:J72),""))</f>
        <v/>
      </c>
      <c r="N72" s="1"/>
    </row>
    <row r="73" spans="1:14" x14ac:dyDescent="0.25">
      <c r="A73">
        <f t="shared" si="0"/>
        <v>64</v>
      </c>
      <c r="B73" s="1" t="s">
        <v>682</v>
      </c>
      <c r="C73" s="1" t="s">
        <v>683</v>
      </c>
      <c r="D73" s="1" t="s">
        <v>103</v>
      </c>
      <c r="E73" s="57"/>
      <c r="F73" s="57"/>
      <c r="G73" s="1"/>
      <c r="H73" s="3" t="s">
        <v>112</v>
      </c>
      <c r="I73" s="18" t="str">
        <f>IF(ISNUMBER(SEARCH("ANALOG",Table245[[#This Row],[Type]]))=TRUE,1,"")</f>
        <v/>
      </c>
      <c r="J73" s="18">
        <f>IF(ISNUMBER(SEARCH("BINARY",Table245[[#This Row],[Type]]))=TRUE,1,"")</f>
        <v>1</v>
      </c>
      <c r="K73" s="7" t="str">
        <f>IF(Table245[[#This Row],[Type]]="","",LEFT(Table245[[#This Row],[Type]],1)&amp;LEFT($C$2,1))</f>
        <v>BV</v>
      </c>
      <c r="L73" s="1"/>
      <c r="M73" s="7" t="str">
        <f>IF(Table245[[#This Row],[A Counter]]=1,"AV"&amp;$C$3+SUM($I$10:I73),IF(Table245[[#This Row],[B Counter]]=1,"BV"&amp;$C$3+SUM($J$10:J73),""))</f>
        <v>BV1608</v>
      </c>
      <c r="N73" s="1"/>
    </row>
    <row r="74" spans="1:14" x14ac:dyDescent="0.25">
      <c r="A74">
        <f t="shared" si="0"/>
        <v>65</v>
      </c>
      <c r="B74" s="1" t="s">
        <v>684</v>
      </c>
      <c r="C74" s="1" t="s">
        <v>685</v>
      </c>
      <c r="D74" s="1" t="s">
        <v>70</v>
      </c>
      <c r="E74" s="57"/>
      <c r="F74" s="57"/>
      <c r="G74" s="1"/>
      <c r="H74" s="3" t="s">
        <v>80</v>
      </c>
      <c r="I74" s="18">
        <f>IF(ISNUMBER(SEARCH("ANALOG",Table245[[#This Row],[Type]]))=TRUE,1,"")</f>
        <v>1</v>
      </c>
      <c r="J74" s="18" t="str">
        <f>IF(ISNUMBER(SEARCH("BINARY",Table245[[#This Row],[Type]]))=TRUE,1,"")</f>
        <v/>
      </c>
      <c r="K74" s="7" t="str">
        <f>IF(Table245[[#This Row],[Type]]="","",LEFT(Table245[[#This Row],[Type]],1)&amp;LEFT($C$2,1))</f>
        <v>AV</v>
      </c>
      <c r="L74" s="1"/>
      <c r="M74" s="7" t="str">
        <f>IF(Table245[[#This Row],[A Counter]]=1,"AV"&amp;$C$3+SUM($I$10:I74),IF(Table245[[#This Row],[B Counter]]=1,"BV"&amp;$C$3+SUM($J$10:J74),""))</f>
        <v>AV1636</v>
      </c>
      <c r="N74" s="1"/>
    </row>
    <row r="75" spans="1:14" x14ac:dyDescent="0.25">
      <c r="A75">
        <f t="shared" ref="A75:A138" si="1">A74+1</f>
        <v>66</v>
      </c>
      <c r="B75" s="1" t="s">
        <v>686</v>
      </c>
      <c r="C75" s="1" t="s">
        <v>687</v>
      </c>
      <c r="D75" s="1" t="s">
        <v>70</v>
      </c>
      <c r="E75" s="57">
        <v>-22</v>
      </c>
      <c r="F75" s="57">
        <v>150</v>
      </c>
      <c r="G75" s="1"/>
      <c r="H75" s="3" t="s">
        <v>84</v>
      </c>
      <c r="I75" s="18">
        <f>IF(ISNUMBER(SEARCH("ANALOG",Table245[[#This Row],[Type]]))=TRUE,1,"")</f>
        <v>1</v>
      </c>
      <c r="J75" s="18" t="str">
        <f>IF(ISNUMBER(SEARCH("BINARY",Table245[[#This Row],[Type]]))=TRUE,1,"")</f>
        <v/>
      </c>
      <c r="K75" s="7" t="str">
        <f>IF(Table245[[#This Row],[Type]]="","",LEFT(Table245[[#This Row],[Type]],1)&amp;LEFT($C$2,1))</f>
        <v>AV</v>
      </c>
      <c r="L75" s="1"/>
      <c r="M75" s="7" t="str">
        <f>IF(Table245[[#This Row],[A Counter]]=1,"AV"&amp;$C$3+SUM($I$10:I75),IF(Table245[[#This Row],[B Counter]]=1,"BV"&amp;$C$3+SUM($J$10:J75),""))</f>
        <v>AV1637</v>
      </c>
      <c r="N75" s="1"/>
    </row>
    <row r="76" spans="1:14" x14ac:dyDescent="0.25">
      <c r="A76">
        <f t="shared" si="1"/>
        <v>67</v>
      </c>
      <c r="B76" s="1" t="s">
        <v>688</v>
      </c>
      <c r="C76" s="1" t="s">
        <v>689</v>
      </c>
      <c r="D76" s="1" t="s">
        <v>70</v>
      </c>
      <c r="E76" s="57">
        <v>-22</v>
      </c>
      <c r="F76" s="57">
        <v>150</v>
      </c>
      <c r="G76" s="1"/>
      <c r="H76" s="3" t="s">
        <v>84</v>
      </c>
      <c r="I76" s="18">
        <f>IF(ISNUMBER(SEARCH("ANALOG",Table245[[#This Row],[Type]]))=TRUE,1,"")</f>
        <v>1</v>
      </c>
      <c r="J76" s="18" t="str">
        <f>IF(ISNUMBER(SEARCH("BINARY",Table245[[#This Row],[Type]]))=TRUE,1,"")</f>
        <v/>
      </c>
      <c r="K76" s="7" t="str">
        <f>IF(Table245[[#This Row],[Type]]="","",LEFT(Table245[[#This Row],[Type]],1)&amp;LEFT($C$2,1))</f>
        <v>AV</v>
      </c>
      <c r="L76" s="1"/>
      <c r="M76" s="7" t="str">
        <f>IF(Table245[[#This Row],[A Counter]]=1,"AV"&amp;$C$3+SUM($I$10:I76),IF(Table245[[#This Row],[B Counter]]=1,"BV"&amp;$C$3+SUM($J$10:J76),""))</f>
        <v>AV1638</v>
      </c>
      <c r="N76" s="1"/>
    </row>
    <row r="77" spans="1:14" x14ac:dyDescent="0.25">
      <c r="A77">
        <f t="shared" si="1"/>
        <v>68</v>
      </c>
      <c r="B77" s="1" t="s">
        <v>690</v>
      </c>
      <c r="C77" s="1" t="s">
        <v>691</v>
      </c>
      <c r="D77" s="1" t="s">
        <v>70</v>
      </c>
      <c r="E77" s="57">
        <v>-22</v>
      </c>
      <c r="F77" s="57">
        <v>150</v>
      </c>
      <c r="G77" s="1"/>
      <c r="H77" s="3" t="s">
        <v>84</v>
      </c>
      <c r="I77" s="18">
        <f>IF(ISNUMBER(SEARCH("ANALOG",Table245[[#This Row],[Type]]))=TRUE,1,"")</f>
        <v>1</v>
      </c>
      <c r="J77" s="18" t="str">
        <f>IF(ISNUMBER(SEARCH("BINARY",Table245[[#This Row],[Type]]))=TRUE,1,"")</f>
        <v/>
      </c>
      <c r="K77" s="7" t="str">
        <f>IF(Table245[[#This Row],[Type]]="","",LEFT(Table245[[#This Row],[Type]],1)&amp;LEFT($C$2,1))</f>
        <v>AV</v>
      </c>
      <c r="L77" s="1"/>
      <c r="M77" s="7" t="str">
        <f>IF(Table245[[#This Row],[A Counter]]=1,"AV"&amp;$C$3+SUM($I$10:I77),IF(Table245[[#This Row],[B Counter]]=1,"BV"&amp;$C$3+SUM($J$10:J77),""))</f>
        <v>AV1639</v>
      </c>
      <c r="N77" s="1"/>
    </row>
    <row r="78" spans="1:14" x14ac:dyDescent="0.25">
      <c r="A78">
        <f t="shared" si="1"/>
        <v>69</v>
      </c>
      <c r="B78" s="1" t="s">
        <v>692</v>
      </c>
      <c r="C78" s="1" t="s">
        <v>693</v>
      </c>
      <c r="D78" s="1" t="s">
        <v>70</v>
      </c>
      <c r="E78" s="57">
        <v>32</v>
      </c>
      <c r="F78" s="57">
        <v>150</v>
      </c>
      <c r="G78" s="1"/>
      <c r="H78" s="3" t="s">
        <v>84</v>
      </c>
      <c r="I78" s="18">
        <f>IF(ISNUMBER(SEARCH("ANALOG",Table245[[#This Row],[Type]]))=TRUE,1,"")</f>
        <v>1</v>
      </c>
      <c r="J78" s="18" t="str">
        <f>IF(ISNUMBER(SEARCH("BINARY",Table245[[#This Row],[Type]]))=TRUE,1,"")</f>
        <v/>
      </c>
      <c r="K78" s="7" t="str">
        <f>IF(Table245[[#This Row],[Type]]="","",LEFT(Table245[[#This Row],[Type]],1)&amp;LEFT($C$2,1))</f>
        <v>AV</v>
      </c>
      <c r="L78" s="1"/>
      <c r="M78" s="7" t="str">
        <f>IF(Table245[[#This Row],[A Counter]]=1,"AV"&amp;$C$3+SUM($I$10:I78),IF(Table245[[#This Row],[B Counter]]=1,"BV"&amp;$C$3+SUM($J$10:J78),""))</f>
        <v>AV1640</v>
      </c>
      <c r="N78" s="1"/>
    </row>
    <row r="79" spans="1:14" x14ac:dyDescent="0.25">
      <c r="A79">
        <f t="shared" si="1"/>
        <v>70</v>
      </c>
      <c r="B79" s="1" t="s">
        <v>694</v>
      </c>
      <c r="C79" s="1" t="s">
        <v>695</v>
      </c>
      <c r="D79" s="1" t="s">
        <v>70</v>
      </c>
      <c r="E79" s="57">
        <v>32</v>
      </c>
      <c r="F79" s="57">
        <v>150</v>
      </c>
      <c r="G79" s="1"/>
      <c r="H79" s="3" t="s">
        <v>84</v>
      </c>
      <c r="I79" s="18">
        <f>IF(ISNUMBER(SEARCH("ANALOG",Table245[[#This Row],[Type]]))=TRUE,1,"")</f>
        <v>1</v>
      </c>
      <c r="J79" s="18" t="str">
        <f>IF(ISNUMBER(SEARCH("BINARY",Table245[[#This Row],[Type]]))=TRUE,1,"")</f>
        <v/>
      </c>
      <c r="K79" s="7" t="str">
        <f>IF(Table245[[#This Row],[Type]]="","",LEFT(Table245[[#This Row],[Type]],1)&amp;LEFT($C$2,1))</f>
        <v>AV</v>
      </c>
      <c r="L79" s="1"/>
      <c r="M79" s="7" t="str">
        <f>IF(Table245[[#This Row],[A Counter]]=1,"AV"&amp;$C$3+SUM($I$10:I79),IF(Table245[[#This Row],[B Counter]]=1,"BV"&amp;$C$3+SUM($J$10:J79),""))</f>
        <v>AV1641</v>
      </c>
      <c r="N79" s="1"/>
    </row>
    <row r="80" spans="1:14" x14ac:dyDescent="0.25">
      <c r="A80">
        <f t="shared" si="1"/>
        <v>71</v>
      </c>
      <c r="B80" s="1" t="s">
        <v>696</v>
      </c>
      <c r="C80" s="1" t="s">
        <v>697</v>
      </c>
      <c r="D80" s="1" t="s">
        <v>70</v>
      </c>
      <c r="E80" s="57">
        <v>32</v>
      </c>
      <c r="F80" s="57">
        <v>150</v>
      </c>
      <c r="G80" s="1"/>
      <c r="H80" s="3" t="s">
        <v>84</v>
      </c>
      <c r="I80" s="18">
        <f>IF(ISNUMBER(SEARCH("ANALOG",Table245[[#This Row],[Type]]))=TRUE,1,"")</f>
        <v>1</v>
      </c>
      <c r="J80" s="18" t="str">
        <f>IF(ISNUMBER(SEARCH("BINARY",Table245[[#This Row],[Type]]))=TRUE,1,"")</f>
        <v/>
      </c>
      <c r="K80" s="7" t="str">
        <f>IF(Table245[[#This Row],[Type]]="","",LEFT(Table245[[#This Row],[Type]],1)&amp;LEFT($C$2,1))</f>
        <v>AV</v>
      </c>
      <c r="L80" s="1"/>
      <c r="M80" s="7" t="str">
        <f>IF(Table245[[#This Row],[A Counter]]=1,"AV"&amp;$C$3+SUM($I$10:I80),IF(Table245[[#This Row],[B Counter]]=1,"BV"&amp;$C$3+SUM($J$10:J80),""))</f>
        <v>AV1642</v>
      </c>
      <c r="N80" s="1"/>
    </row>
    <row r="81" spans="1:14" x14ac:dyDescent="0.25">
      <c r="A81">
        <f t="shared" si="1"/>
        <v>72</v>
      </c>
      <c r="B81" s="1" t="s">
        <v>698</v>
      </c>
      <c r="C81" s="1" t="s">
        <v>699</v>
      </c>
      <c r="D81" s="1" t="s">
        <v>70</v>
      </c>
      <c r="E81" s="57">
        <v>32</v>
      </c>
      <c r="F81" s="57">
        <v>150</v>
      </c>
      <c r="G81" s="1"/>
      <c r="H81" s="3" t="s">
        <v>84</v>
      </c>
      <c r="I81" s="18">
        <f>IF(ISNUMBER(SEARCH("ANALOG",Table245[[#This Row],[Type]]))=TRUE,1,"")</f>
        <v>1</v>
      </c>
      <c r="J81" s="18" t="str">
        <f>IF(ISNUMBER(SEARCH("BINARY",Table245[[#This Row],[Type]]))=TRUE,1,"")</f>
        <v/>
      </c>
      <c r="K81" s="7" t="str">
        <f>IF(Table245[[#This Row],[Type]]="","",LEFT(Table245[[#This Row],[Type]],1)&amp;LEFT($C$2,1))</f>
        <v>AV</v>
      </c>
      <c r="L81" s="1"/>
      <c r="M81" s="7" t="str">
        <f>IF(Table245[[#This Row],[A Counter]]=1,"AV"&amp;$C$3+SUM($I$10:I81),IF(Table245[[#This Row],[B Counter]]=1,"BV"&amp;$C$3+SUM($J$10:J81),""))</f>
        <v>AV1643</v>
      </c>
      <c r="N81" s="1"/>
    </row>
    <row r="82" spans="1:14" x14ac:dyDescent="0.25">
      <c r="A82">
        <f t="shared" si="1"/>
        <v>73</v>
      </c>
      <c r="B82" s="23" t="s">
        <v>700</v>
      </c>
      <c r="C82" s="1" t="s">
        <v>701</v>
      </c>
      <c r="D82" s="1" t="s">
        <v>70</v>
      </c>
      <c r="E82" s="57"/>
      <c r="F82" s="57"/>
      <c r="G82" s="1" t="s">
        <v>639</v>
      </c>
      <c r="H82" s="1" t="s">
        <v>640</v>
      </c>
      <c r="I82" s="18">
        <f>IF(ISNUMBER(SEARCH("ANALOG",Table245[[#This Row],[Type]]))=TRUE,1,"")</f>
        <v>1</v>
      </c>
      <c r="J82" s="18" t="str">
        <f>IF(ISNUMBER(SEARCH("BINARY",Table245[[#This Row],[Type]]))=TRUE,1,"")</f>
        <v/>
      </c>
      <c r="K82" s="7" t="str">
        <f>IF(Table245[[#This Row],[Type]]="","",LEFT(Table245[[#This Row],[Type]],1)&amp;LEFT($C$2,1))</f>
        <v>AV</v>
      </c>
      <c r="L82" s="1"/>
      <c r="M82" s="7" t="str">
        <f>IF(Table245[[#This Row],[A Counter]]=1,"AV"&amp;$C$3+SUM($I$10:I82),IF(Table245[[#This Row],[B Counter]]=1,"BV"&amp;$C$3+SUM($J$10:J82),""))</f>
        <v>AV1644</v>
      </c>
      <c r="N82" s="1"/>
    </row>
    <row r="83" spans="1:14" x14ac:dyDescent="0.25">
      <c r="A83">
        <f t="shared" si="1"/>
        <v>74</v>
      </c>
      <c r="B83" s="23" t="s">
        <v>702</v>
      </c>
      <c r="C83" s="1" t="s">
        <v>703</v>
      </c>
      <c r="D83" s="1" t="s">
        <v>70</v>
      </c>
      <c r="E83" s="57"/>
      <c r="F83" s="57"/>
      <c r="G83" s="1" t="s">
        <v>639</v>
      </c>
      <c r="H83" s="1" t="s">
        <v>640</v>
      </c>
      <c r="I83" s="18">
        <f>IF(ISNUMBER(SEARCH("ANALOG",Table245[[#This Row],[Type]]))=TRUE,1,"")</f>
        <v>1</v>
      </c>
      <c r="J83" s="18" t="str">
        <f>IF(ISNUMBER(SEARCH("BINARY",Table245[[#This Row],[Type]]))=TRUE,1,"")</f>
        <v/>
      </c>
      <c r="K83" s="7" t="str">
        <f>IF(Table245[[#This Row],[Type]]="","",LEFT(Table245[[#This Row],[Type]],1)&amp;LEFT($C$2,1))</f>
        <v>AV</v>
      </c>
      <c r="L83" s="1"/>
      <c r="M83" s="7" t="str">
        <f>IF(Table245[[#This Row],[A Counter]]=1,"AV"&amp;$C$3+SUM($I$10:I83),IF(Table245[[#This Row],[B Counter]]=1,"BV"&amp;$C$3+SUM($J$10:J83),""))</f>
        <v>AV1645</v>
      </c>
      <c r="N83" s="1"/>
    </row>
    <row r="84" spans="1:14" x14ac:dyDescent="0.25">
      <c r="A84">
        <f t="shared" si="1"/>
        <v>75</v>
      </c>
      <c r="B84" s="23" t="s">
        <v>704</v>
      </c>
      <c r="C84" s="1" t="s">
        <v>705</v>
      </c>
      <c r="D84" s="1" t="s">
        <v>70</v>
      </c>
      <c r="E84" s="57"/>
      <c r="F84" s="57"/>
      <c r="G84" s="1" t="s">
        <v>639</v>
      </c>
      <c r="H84" s="1" t="s">
        <v>640</v>
      </c>
      <c r="I84" s="18">
        <f>IF(ISNUMBER(SEARCH("ANALOG",Table245[[#This Row],[Type]]))=TRUE,1,"")</f>
        <v>1</v>
      </c>
      <c r="J84" s="18" t="str">
        <f>IF(ISNUMBER(SEARCH("BINARY",Table245[[#This Row],[Type]]))=TRUE,1,"")</f>
        <v/>
      </c>
      <c r="K84" s="7" t="str">
        <f>IF(Table245[[#This Row],[Type]]="","",LEFT(Table245[[#This Row],[Type]],1)&amp;LEFT($C$2,1))</f>
        <v>AV</v>
      </c>
      <c r="L84" s="1"/>
      <c r="M84" s="7" t="str">
        <f>IF(Table245[[#This Row],[A Counter]]=1,"AV"&amp;$C$3+SUM($I$10:I84),IF(Table245[[#This Row],[B Counter]]=1,"BV"&amp;$C$3+SUM($J$10:J84),""))</f>
        <v>AV1646</v>
      </c>
      <c r="N84" s="1"/>
    </row>
    <row r="85" spans="1:14" x14ac:dyDescent="0.25">
      <c r="A85">
        <f t="shared" si="1"/>
        <v>76</v>
      </c>
      <c r="B85" s="11" t="s">
        <v>706</v>
      </c>
      <c r="C85" s="11" t="s">
        <v>707</v>
      </c>
      <c r="D85" s="11" t="s">
        <v>70</v>
      </c>
      <c r="E85" s="57"/>
      <c r="F85" s="57"/>
      <c r="G85" s="11" t="s">
        <v>639</v>
      </c>
      <c r="H85" s="11" t="s">
        <v>640</v>
      </c>
      <c r="I85" s="18">
        <f>IF(ISNUMBER(SEARCH("ANALOG",Table245[[#This Row],[Type]]))=TRUE,1,"")</f>
        <v>1</v>
      </c>
      <c r="J85" s="18" t="str">
        <f>IF(ISNUMBER(SEARCH("BINARY",Table245[[#This Row],[Type]]))=TRUE,1,"")</f>
        <v/>
      </c>
      <c r="K85" s="7" t="str">
        <f>IF(Table245[[#This Row],[Type]]="","",LEFT(Table245[[#This Row],[Type]],1)&amp;LEFT($C$2,1))</f>
        <v>AV</v>
      </c>
      <c r="L85" s="1"/>
      <c r="M85" s="7" t="str">
        <f>IF(Table245[[#This Row],[A Counter]]=1,"AV"&amp;$C$3+SUM($I$10:I85),IF(Table245[[#This Row],[B Counter]]=1,"BV"&amp;$C$3+SUM($J$10:J85),""))</f>
        <v>AV1647</v>
      </c>
      <c r="N85" s="1"/>
    </row>
    <row r="86" spans="1:14" x14ac:dyDescent="0.25">
      <c r="A86">
        <f t="shared" si="1"/>
        <v>77</v>
      </c>
      <c r="B86" s="1" t="s">
        <v>708</v>
      </c>
      <c r="C86" s="1" t="s">
        <v>709</v>
      </c>
      <c r="D86" s="1" t="s">
        <v>70</v>
      </c>
      <c r="E86" s="57"/>
      <c r="F86" s="57"/>
      <c r="G86" s="1">
        <v>120</v>
      </c>
      <c r="H86" s="1" t="s">
        <v>649</v>
      </c>
      <c r="I86" s="18">
        <f>IF(ISNUMBER(SEARCH("ANALOG",Table245[[#This Row],[Type]]))=TRUE,1,"")</f>
        <v>1</v>
      </c>
      <c r="J86" s="18" t="str">
        <f>IF(ISNUMBER(SEARCH("BINARY",Table245[[#This Row],[Type]]))=TRUE,1,"")</f>
        <v/>
      </c>
      <c r="K86" s="7" t="str">
        <f>IF(Table245[[#This Row],[Type]]="","",LEFT(Table245[[#This Row],[Type]],1)&amp;LEFT($C$2,1))</f>
        <v>AV</v>
      </c>
      <c r="L86" s="1"/>
      <c r="M86" s="7" t="str">
        <f>IF(Table245[[#This Row],[A Counter]]=1,"AV"&amp;$C$3+SUM($I$10:I86),IF(Table245[[#This Row],[B Counter]]=1,"BV"&amp;$C$3+SUM($J$10:J86),""))</f>
        <v>AV1648</v>
      </c>
      <c r="N86" s="1"/>
    </row>
    <row r="87" spans="1:14" x14ac:dyDescent="0.25">
      <c r="A87">
        <f t="shared" si="1"/>
        <v>78</v>
      </c>
      <c r="B87" s="1" t="s">
        <v>680</v>
      </c>
      <c r="C87" s="1" t="s">
        <v>710</v>
      </c>
      <c r="D87" s="1" t="s">
        <v>103</v>
      </c>
      <c r="E87" s="57"/>
      <c r="F87" s="57"/>
      <c r="G87" s="1"/>
      <c r="H87" s="1"/>
      <c r="I87" s="18" t="str">
        <f>IF(ISNUMBER(SEARCH("ANALOG",Table245[[#This Row],[Type]]))=TRUE,1,"")</f>
        <v/>
      </c>
      <c r="J87" s="18">
        <f>IF(ISNUMBER(SEARCH("BINARY",Table245[[#This Row],[Type]]))=TRUE,1,"")</f>
        <v>1</v>
      </c>
      <c r="K87" s="7" t="str">
        <f>IF(Table245[[#This Row],[Type]]="","",LEFT(Table245[[#This Row],[Type]],1)&amp;LEFT($C$2,1))</f>
        <v>BV</v>
      </c>
      <c r="L87" s="1"/>
      <c r="M87" s="7" t="str">
        <f>IF(Table245[[#This Row],[A Counter]]=1,"AV"&amp;$C$3+SUM($I$10:I87),IF(Table245[[#This Row],[B Counter]]=1,"BV"&amp;$C$3+SUM($J$10:J87),""))</f>
        <v>BV1609</v>
      </c>
      <c r="N87" s="1"/>
    </row>
    <row r="88" spans="1:14" x14ac:dyDescent="0.25">
      <c r="A88">
        <f t="shared" si="1"/>
        <v>79</v>
      </c>
      <c r="B88" s="23"/>
      <c r="C88" s="1"/>
      <c r="D88" s="1"/>
      <c r="E88" s="57"/>
      <c r="F88" s="57"/>
      <c r="G88" s="1"/>
      <c r="H88" s="1"/>
      <c r="I88" s="18" t="str">
        <f>IF(ISNUMBER(SEARCH("ANALOG",Table245[[#This Row],[Type]]))=TRUE,1,"")</f>
        <v/>
      </c>
      <c r="J88" s="18" t="str">
        <f>IF(ISNUMBER(SEARCH("BINARY",Table245[[#This Row],[Type]]))=TRUE,1,"")</f>
        <v/>
      </c>
      <c r="K88" s="7" t="str">
        <f>IF(Table245[[#This Row],[Type]]="","",LEFT(Table245[[#This Row],[Type]],1)&amp;LEFT($C$2,1))</f>
        <v/>
      </c>
      <c r="L88" s="1"/>
      <c r="M88" s="7" t="str">
        <f>IF(Table245[[#This Row],[A Counter]]=1,"AV"&amp;$C$3+SUM($I$10:I88),IF(Table245[[#This Row],[B Counter]]=1,"BV"&amp;$C$3+SUM($J$10:J88),""))</f>
        <v/>
      </c>
      <c r="N88" s="1"/>
    </row>
    <row r="89" spans="1:14" x14ac:dyDescent="0.25">
      <c r="A89">
        <f t="shared" si="1"/>
        <v>80</v>
      </c>
      <c r="B89" s="11"/>
      <c r="C89" s="11"/>
      <c r="D89" s="11"/>
      <c r="E89" s="57"/>
      <c r="F89" s="57"/>
      <c r="G89" s="11"/>
      <c r="H89" s="11"/>
      <c r="I89" s="18" t="str">
        <f>IF(ISNUMBER(SEARCH("ANALOG",Table245[[#This Row],[Type]]))=TRUE,1,"")</f>
        <v/>
      </c>
      <c r="J89" s="18" t="str">
        <f>IF(ISNUMBER(SEARCH("BINARY",Table245[[#This Row],[Type]]))=TRUE,1,"")</f>
        <v/>
      </c>
      <c r="K89" s="7" t="str">
        <f>IF(Table245[[#This Row],[Type]]="","",LEFT(Table245[[#This Row],[Type]],1)&amp;LEFT($C$2,1))</f>
        <v/>
      </c>
      <c r="L89" s="1"/>
      <c r="M89" s="7" t="str">
        <f>IF(Table245[[#This Row],[A Counter]]=1,"AV"&amp;$C$3+SUM($I$10:I89),IF(Table245[[#This Row],[B Counter]]=1,"BV"&amp;$C$3+SUM($J$10:J89),""))</f>
        <v/>
      </c>
      <c r="N89" s="1"/>
    </row>
    <row r="90" spans="1:14" x14ac:dyDescent="0.25">
      <c r="A90">
        <f t="shared" si="1"/>
        <v>81</v>
      </c>
      <c r="B90" s="23"/>
      <c r="C90" s="1"/>
      <c r="D90" s="1"/>
      <c r="E90" s="57"/>
      <c r="F90" s="57"/>
      <c r="G90" s="1"/>
      <c r="H90" s="1"/>
      <c r="I90" s="18" t="str">
        <f>IF(ISNUMBER(SEARCH("ANALOG",Table245[[#This Row],[Type]]))=TRUE,1,"")</f>
        <v/>
      </c>
      <c r="J90" s="18" t="str">
        <f>IF(ISNUMBER(SEARCH("BINARY",Table245[[#This Row],[Type]]))=TRUE,1,"")</f>
        <v/>
      </c>
      <c r="K90" s="7" t="str">
        <f>IF(Table245[[#This Row],[Type]]="","",LEFT(Table245[[#This Row],[Type]],1)&amp;LEFT($C$2,1))</f>
        <v/>
      </c>
      <c r="L90" s="1"/>
      <c r="M90" s="7" t="str">
        <f>IF(Table245[[#This Row],[A Counter]]=1,"AV"&amp;$C$3+SUM($I$10:I90),IF(Table245[[#This Row],[B Counter]]=1,"BV"&amp;$C$3+SUM($J$10:J90),""))</f>
        <v/>
      </c>
      <c r="N90" s="1"/>
    </row>
    <row r="91" spans="1:14" x14ac:dyDescent="0.25">
      <c r="A91">
        <f t="shared" si="1"/>
        <v>82</v>
      </c>
      <c r="B91" s="23"/>
      <c r="C91" s="1"/>
      <c r="D91" s="1"/>
      <c r="E91" s="57"/>
      <c r="F91" s="57"/>
      <c r="G91" s="1"/>
      <c r="H91" s="1"/>
      <c r="I91" s="18" t="str">
        <f>IF(ISNUMBER(SEARCH("ANALOG",Table245[[#This Row],[Type]]))=TRUE,1,"")</f>
        <v/>
      </c>
      <c r="J91" s="18" t="str">
        <f>IF(ISNUMBER(SEARCH("BINARY",Table245[[#This Row],[Type]]))=TRUE,1,"")</f>
        <v/>
      </c>
      <c r="K91" s="7" t="str">
        <f>IF(Table245[[#This Row],[Type]]="","",LEFT(Table245[[#This Row],[Type]],1)&amp;LEFT($C$2,1))</f>
        <v/>
      </c>
      <c r="L91" s="1"/>
      <c r="M91" s="7" t="str">
        <f>IF(Table245[[#This Row],[A Counter]]=1,"AV"&amp;$C$3+SUM($I$10:I91),IF(Table245[[#This Row],[B Counter]]=1,"BV"&amp;$C$3+SUM($J$10:J91),""))</f>
        <v/>
      </c>
      <c r="N91" s="1"/>
    </row>
    <row r="92" spans="1:14" x14ac:dyDescent="0.25">
      <c r="A92">
        <f t="shared" si="1"/>
        <v>83</v>
      </c>
      <c r="B92" s="23"/>
      <c r="C92" s="1"/>
      <c r="D92" s="1"/>
      <c r="E92" s="57"/>
      <c r="F92" s="57"/>
      <c r="G92" s="1"/>
      <c r="H92" s="1"/>
      <c r="I92" s="18" t="str">
        <f>IF(ISNUMBER(SEARCH("ANALOG",Table245[[#This Row],[Type]]))=TRUE,1,"")</f>
        <v/>
      </c>
      <c r="J92" s="18" t="str">
        <f>IF(ISNUMBER(SEARCH("BINARY",Table245[[#This Row],[Type]]))=TRUE,1,"")</f>
        <v/>
      </c>
      <c r="K92" s="7" t="str">
        <f>IF(Table245[[#This Row],[Type]]="","",LEFT(Table245[[#This Row],[Type]],1)&amp;LEFT($C$2,1))</f>
        <v/>
      </c>
      <c r="L92" s="1"/>
      <c r="M92" s="7" t="str">
        <f>IF(Table245[[#This Row],[A Counter]]=1,"AV"&amp;$C$3+SUM($I$10:I92),IF(Table245[[#This Row],[B Counter]]=1,"BV"&amp;$C$3+SUM($J$10:J92),""))</f>
        <v/>
      </c>
      <c r="N92" s="1"/>
    </row>
    <row r="93" spans="1:14" x14ac:dyDescent="0.25">
      <c r="A93">
        <f t="shared" si="1"/>
        <v>84</v>
      </c>
      <c r="B93" s="1" t="s">
        <v>711</v>
      </c>
      <c r="C93" s="1" t="s">
        <v>712</v>
      </c>
      <c r="D93" s="1" t="s">
        <v>103</v>
      </c>
      <c r="E93" s="57"/>
      <c r="F93" s="57"/>
      <c r="G93" s="1"/>
      <c r="H93" s="3" t="s">
        <v>112</v>
      </c>
      <c r="I93" s="18" t="str">
        <f>IF(ISNUMBER(SEARCH("ANALOG",Table245[[#This Row],[Type]]))=TRUE,1,"")</f>
        <v/>
      </c>
      <c r="J93" s="18">
        <f>IF(ISNUMBER(SEARCH("BINARY",Table245[[#This Row],[Type]]))=TRUE,1,"")</f>
        <v>1</v>
      </c>
      <c r="K93" s="7" t="str">
        <f>IF(Table245[[#This Row],[Type]]="","",LEFT(Table245[[#This Row],[Type]],1)&amp;LEFT($C$2,1))</f>
        <v>BV</v>
      </c>
      <c r="L93" s="1"/>
      <c r="M93" s="7" t="str">
        <f>IF(Table245[[#This Row],[A Counter]]=1,"AV"&amp;$C$3+SUM($I$10:I93),IF(Table245[[#This Row],[B Counter]]=1,"BV"&amp;$C$3+SUM($J$10:J93),""))</f>
        <v>BV1610</v>
      </c>
      <c r="N93" s="1"/>
    </row>
    <row r="94" spans="1:14" x14ac:dyDescent="0.25">
      <c r="A94">
        <f t="shared" si="1"/>
        <v>85</v>
      </c>
      <c r="B94" s="1" t="s">
        <v>713</v>
      </c>
      <c r="C94" s="1" t="s">
        <v>714</v>
      </c>
      <c r="D94" s="1" t="s">
        <v>70</v>
      </c>
      <c r="E94" s="57"/>
      <c r="F94" s="57"/>
      <c r="G94" s="1"/>
      <c r="H94" s="3" t="s">
        <v>80</v>
      </c>
      <c r="I94" s="18">
        <f>IF(ISNUMBER(SEARCH("ANALOG",Table245[[#This Row],[Type]]))=TRUE,1,"")</f>
        <v>1</v>
      </c>
      <c r="J94" s="18" t="str">
        <f>IF(ISNUMBER(SEARCH("BINARY",Table245[[#This Row],[Type]]))=TRUE,1,"")</f>
        <v/>
      </c>
      <c r="K94" s="7" t="str">
        <f>IF(Table245[[#This Row],[Type]]="","",LEFT(Table245[[#This Row],[Type]],1)&amp;LEFT($C$2,1))</f>
        <v>AV</v>
      </c>
      <c r="L94" s="1"/>
      <c r="M94" s="7" t="str">
        <f>IF(Table245[[#This Row],[A Counter]]=1,"AV"&amp;$C$3+SUM($I$10:I94),IF(Table245[[#This Row],[B Counter]]=1,"BV"&amp;$C$3+SUM($J$10:J94),""))</f>
        <v>AV1649</v>
      </c>
      <c r="N94" s="1"/>
    </row>
    <row r="95" spans="1:14" x14ac:dyDescent="0.25">
      <c r="A95">
        <f t="shared" si="1"/>
        <v>86</v>
      </c>
      <c r="B95" s="1" t="s">
        <v>715</v>
      </c>
      <c r="C95" s="1" t="s">
        <v>716</v>
      </c>
      <c r="D95" s="1" t="s">
        <v>70</v>
      </c>
      <c r="E95" s="57">
        <v>-22</v>
      </c>
      <c r="F95" s="57">
        <v>150</v>
      </c>
      <c r="G95" s="1"/>
      <c r="H95" s="3" t="s">
        <v>84</v>
      </c>
      <c r="I95" s="18">
        <f>IF(ISNUMBER(SEARCH("ANALOG",Table245[[#This Row],[Type]]))=TRUE,1,"")</f>
        <v>1</v>
      </c>
      <c r="J95" s="18" t="str">
        <f>IF(ISNUMBER(SEARCH("BINARY",Table245[[#This Row],[Type]]))=TRUE,1,"")</f>
        <v/>
      </c>
      <c r="K95" s="7" t="str">
        <f>IF(Table245[[#This Row],[Type]]="","",LEFT(Table245[[#This Row],[Type]],1)&amp;LEFT($C$2,1))</f>
        <v>AV</v>
      </c>
      <c r="L95" s="1"/>
      <c r="M95" s="7" t="str">
        <f>IF(Table245[[#This Row],[A Counter]]=1,"AV"&amp;$C$3+SUM($I$10:I95),IF(Table245[[#This Row],[B Counter]]=1,"BV"&amp;$C$3+SUM($J$10:J95),""))</f>
        <v>AV1650</v>
      </c>
      <c r="N95" s="1"/>
    </row>
    <row r="96" spans="1:14" x14ac:dyDescent="0.25">
      <c r="A96">
        <f t="shared" si="1"/>
        <v>87</v>
      </c>
      <c r="B96" s="1" t="s">
        <v>717</v>
      </c>
      <c r="C96" s="1" t="s">
        <v>718</v>
      </c>
      <c r="D96" s="1" t="s">
        <v>70</v>
      </c>
      <c r="E96" s="57">
        <v>-22</v>
      </c>
      <c r="F96" s="57">
        <v>150</v>
      </c>
      <c r="G96" s="1"/>
      <c r="H96" s="3" t="s">
        <v>84</v>
      </c>
      <c r="I96" s="18">
        <f>IF(ISNUMBER(SEARCH("ANALOG",Table245[[#This Row],[Type]]))=TRUE,1,"")</f>
        <v>1</v>
      </c>
      <c r="J96" s="18" t="str">
        <f>IF(ISNUMBER(SEARCH("BINARY",Table245[[#This Row],[Type]]))=TRUE,1,"")</f>
        <v/>
      </c>
      <c r="K96" s="7" t="str">
        <f>IF(Table245[[#This Row],[Type]]="","",LEFT(Table245[[#This Row],[Type]],1)&amp;LEFT($C$2,1))</f>
        <v>AV</v>
      </c>
      <c r="L96" s="1"/>
      <c r="M96" s="7" t="str">
        <f>IF(Table245[[#This Row],[A Counter]]=1,"AV"&amp;$C$3+SUM($I$10:I96),IF(Table245[[#This Row],[B Counter]]=1,"BV"&amp;$C$3+SUM($J$10:J96),""))</f>
        <v>AV1651</v>
      </c>
      <c r="N96" s="1"/>
    </row>
    <row r="97" spans="1:14" x14ac:dyDescent="0.25">
      <c r="A97">
        <f t="shared" si="1"/>
        <v>88</v>
      </c>
      <c r="B97" s="1" t="s">
        <v>719</v>
      </c>
      <c r="C97" s="1" t="s">
        <v>720</v>
      </c>
      <c r="D97" s="1" t="s">
        <v>70</v>
      </c>
      <c r="E97" s="57">
        <v>-22</v>
      </c>
      <c r="F97" s="57">
        <v>150</v>
      </c>
      <c r="G97" s="1"/>
      <c r="H97" s="3" t="s">
        <v>84</v>
      </c>
      <c r="I97" s="18">
        <f>IF(ISNUMBER(SEARCH("ANALOG",Table245[[#This Row],[Type]]))=TRUE,1,"")</f>
        <v>1</v>
      </c>
      <c r="J97" s="18" t="str">
        <f>IF(ISNUMBER(SEARCH("BINARY",Table245[[#This Row],[Type]]))=TRUE,1,"")</f>
        <v/>
      </c>
      <c r="K97" s="7" t="str">
        <f>IF(Table245[[#This Row],[Type]]="","",LEFT(Table245[[#This Row],[Type]],1)&amp;LEFT($C$2,1))</f>
        <v>AV</v>
      </c>
      <c r="L97" s="1"/>
      <c r="M97" s="7" t="str">
        <f>IF(Table245[[#This Row],[A Counter]]=1,"AV"&amp;$C$3+SUM($I$10:I97),IF(Table245[[#This Row],[B Counter]]=1,"BV"&amp;$C$3+SUM($J$10:J97),""))</f>
        <v>AV1652</v>
      </c>
      <c r="N97" s="1"/>
    </row>
    <row r="98" spans="1:14" x14ac:dyDescent="0.25">
      <c r="A98">
        <f t="shared" si="1"/>
        <v>89</v>
      </c>
      <c r="B98" s="1" t="s">
        <v>721</v>
      </c>
      <c r="C98" s="1" t="s">
        <v>722</v>
      </c>
      <c r="D98" s="1" t="s">
        <v>70</v>
      </c>
      <c r="E98" s="57">
        <v>32</v>
      </c>
      <c r="F98" s="57">
        <v>150</v>
      </c>
      <c r="G98" s="1"/>
      <c r="H98" s="3" t="s">
        <v>84</v>
      </c>
      <c r="I98" s="18">
        <f>IF(ISNUMBER(SEARCH("ANALOG",Table245[[#This Row],[Type]]))=TRUE,1,"")</f>
        <v>1</v>
      </c>
      <c r="J98" s="18" t="str">
        <f>IF(ISNUMBER(SEARCH("BINARY",Table245[[#This Row],[Type]]))=TRUE,1,"")</f>
        <v/>
      </c>
      <c r="K98" s="7" t="str">
        <f>IF(Table245[[#This Row],[Type]]="","",LEFT(Table245[[#This Row],[Type]],1)&amp;LEFT($C$2,1))</f>
        <v>AV</v>
      </c>
      <c r="L98" s="1"/>
      <c r="M98" s="7" t="str">
        <f>IF(Table245[[#This Row],[A Counter]]=1,"AV"&amp;$C$3+SUM($I$10:I98),IF(Table245[[#This Row],[B Counter]]=1,"BV"&amp;$C$3+SUM($J$10:J98),""))</f>
        <v>AV1653</v>
      </c>
      <c r="N98" s="1"/>
    </row>
    <row r="99" spans="1:14" x14ac:dyDescent="0.25">
      <c r="A99">
        <f t="shared" si="1"/>
        <v>90</v>
      </c>
      <c r="B99" s="1" t="s">
        <v>723</v>
      </c>
      <c r="C99" s="1" t="s">
        <v>724</v>
      </c>
      <c r="D99" s="1" t="s">
        <v>70</v>
      </c>
      <c r="E99" s="57">
        <v>32</v>
      </c>
      <c r="F99" s="57">
        <v>150</v>
      </c>
      <c r="G99" s="1"/>
      <c r="H99" s="3" t="s">
        <v>84</v>
      </c>
      <c r="I99" s="18">
        <f>IF(ISNUMBER(SEARCH("ANALOG",Table245[[#This Row],[Type]]))=TRUE,1,"")</f>
        <v>1</v>
      </c>
      <c r="J99" s="18" t="str">
        <f>IF(ISNUMBER(SEARCH("BINARY",Table245[[#This Row],[Type]]))=TRUE,1,"")</f>
        <v/>
      </c>
      <c r="K99" s="7" t="str">
        <f>IF(Table245[[#This Row],[Type]]="","",LEFT(Table245[[#This Row],[Type]],1)&amp;LEFT($C$2,1))</f>
        <v>AV</v>
      </c>
      <c r="L99" s="1"/>
      <c r="M99" s="7" t="str">
        <f>IF(Table245[[#This Row],[A Counter]]=1,"AV"&amp;$C$3+SUM($I$10:I99),IF(Table245[[#This Row],[B Counter]]=1,"BV"&amp;$C$3+SUM($J$10:J99),""))</f>
        <v>AV1654</v>
      </c>
      <c r="N99" s="1"/>
    </row>
    <row r="100" spans="1:14" x14ac:dyDescent="0.25">
      <c r="A100">
        <f t="shared" si="1"/>
        <v>91</v>
      </c>
      <c r="B100" s="1" t="s">
        <v>725</v>
      </c>
      <c r="C100" s="1" t="s">
        <v>726</v>
      </c>
      <c r="D100" s="1" t="s">
        <v>70</v>
      </c>
      <c r="E100" s="57">
        <v>32</v>
      </c>
      <c r="F100" s="57">
        <v>150</v>
      </c>
      <c r="G100" s="1"/>
      <c r="H100" s="3" t="s">
        <v>84</v>
      </c>
      <c r="I100" s="18">
        <f>IF(ISNUMBER(SEARCH("ANALOG",Table245[[#This Row],[Type]]))=TRUE,1,"")</f>
        <v>1</v>
      </c>
      <c r="J100" s="18" t="str">
        <f>IF(ISNUMBER(SEARCH("BINARY",Table245[[#This Row],[Type]]))=TRUE,1,"")</f>
        <v/>
      </c>
      <c r="K100" s="7" t="str">
        <f>IF(Table245[[#This Row],[Type]]="","",LEFT(Table245[[#This Row],[Type]],1)&amp;LEFT($C$2,1))</f>
        <v>AV</v>
      </c>
      <c r="L100" s="1"/>
      <c r="M100" s="7" t="str">
        <f>IF(Table245[[#This Row],[A Counter]]=1,"AV"&amp;$C$3+SUM($I$10:I100),IF(Table245[[#This Row],[B Counter]]=1,"BV"&amp;$C$3+SUM($J$10:J100),""))</f>
        <v>AV1655</v>
      </c>
      <c r="N100" s="1"/>
    </row>
    <row r="101" spans="1:14" x14ac:dyDescent="0.25">
      <c r="A101">
        <f t="shared" si="1"/>
        <v>92</v>
      </c>
      <c r="B101" s="1" t="s">
        <v>727</v>
      </c>
      <c r="C101" s="1" t="s">
        <v>728</v>
      </c>
      <c r="D101" s="1" t="s">
        <v>70</v>
      </c>
      <c r="E101" s="57">
        <v>32</v>
      </c>
      <c r="F101" s="57">
        <v>150</v>
      </c>
      <c r="G101" s="1"/>
      <c r="H101" s="3" t="s">
        <v>84</v>
      </c>
      <c r="I101" s="18">
        <f>IF(ISNUMBER(SEARCH("ANALOG",Table245[[#This Row],[Type]]))=TRUE,1,"")</f>
        <v>1</v>
      </c>
      <c r="J101" s="18" t="str">
        <f>IF(ISNUMBER(SEARCH("BINARY",Table245[[#This Row],[Type]]))=TRUE,1,"")</f>
        <v/>
      </c>
      <c r="K101" s="7" t="str">
        <f>IF(Table245[[#This Row],[Type]]="","",LEFT(Table245[[#This Row],[Type]],1)&amp;LEFT($C$2,1))</f>
        <v>AV</v>
      </c>
      <c r="L101" s="1"/>
      <c r="M101" s="7" t="str">
        <f>IF(Table245[[#This Row],[A Counter]]=1,"AV"&amp;$C$3+SUM($I$10:I101),IF(Table245[[#This Row],[B Counter]]=1,"BV"&amp;$C$3+SUM($J$10:J101),""))</f>
        <v>AV1656</v>
      </c>
      <c r="N101" s="1"/>
    </row>
    <row r="102" spans="1:14" x14ac:dyDescent="0.25">
      <c r="A102">
        <f t="shared" si="1"/>
        <v>93</v>
      </c>
      <c r="B102" s="23" t="s">
        <v>729</v>
      </c>
      <c r="C102" s="1" t="s">
        <v>730</v>
      </c>
      <c r="D102" s="1" t="s">
        <v>70</v>
      </c>
      <c r="E102" s="57"/>
      <c r="F102" s="57"/>
      <c r="G102" s="1" t="s">
        <v>639</v>
      </c>
      <c r="H102" s="1" t="s">
        <v>640</v>
      </c>
      <c r="I102" s="18">
        <f>IF(ISNUMBER(SEARCH("ANALOG",Table245[[#This Row],[Type]]))=TRUE,1,"")</f>
        <v>1</v>
      </c>
      <c r="J102" s="18" t="str">
        <f>IF(ISNUMBER(SEARCH("BINARY",Table245[[#This Row],[Type]]))=TRUE,1,"")</f>
        <v/>
      </c>
      <c r="K102" s="7" t="str">
        <f>IF(Table245[[#This Row],[Type]]="","",LEFT(Table245[[#This Row],[Type]],1)&amp;LEFT($C$2,1))</f>
        <v>AV</v>
      </c>
      <c r="L102" s="1"/>
      <c r="M102" s="7" t="str">
        <f>IF(Table245[[#This Row],[A Counter]]=1,"AV"&amp;$C$3+SUM($I$10:I102),IF(Table245[[#This Row],[B Counter]]=1,"BV"&amp;$C$3+SUM($J$10:J102),""))</f>
        <v>AV1657</v>
      </c>
      <c r="N102" s="1"/>
    </row>
    <row r="103" spans="1:14" x14ac:dyDescent="0.25">
      <c r="A103">
        <f t="shared" si="1"/>
        <v>94</v>
      </c>
      <c r="B103" s="23" t="s">
        <v>731</v>
      </c>
      <c r="C103" s="1" t="s">
        <v>732</v>
      </c>
      <c r="D103" s="1" t="s">
        <v>70</v>
      </c>
      <c r="E103" s="57"/>
      <c r="F103" s="57"/>
      <c r="G103" s="1" t="s">
        <v>639</v>
      </c>
      <c r="H103" s="1" t="s">
        <v>640</v>
      </c>
      <c r="I103" s="18">
        <f>IF(ISNUMBER(SEARCH("ANALOG",Table245[[#This Row],[Type]]))=TRUE,1,"")</f>
        <v>1</v>
      </c>
      <c r="J103" s="18" t="str">
        <f>IF(ISNUMBER(SEARCH("BINARY",Table245[[#This Row],[Type]]))=TRUE,1,"")</f>
        <v/>
      </c>
      <c r="K103" s="7" t="str">
        <f>IF(Table245[[#This Row],[Type]]="","",LEFT(Table245[[#This Row],[Type]],1)&amp;LEFT($C$2,1))</f>
        <v>AV</v>
      </c>
      <c r="L103" s="1"/>
      <c r="M103" s="7" t="str">
        <f>IF(Table245[[#This Row],[A Counter]]=1,"AV"&amp;$C$3+SUM($I$10:I103),IF(Table245[[#This Row],[B Counter]]=1,"BV"&amp;$C$3+SUM($J$10:J103),""))</f>
        <v>AV1658</v>
      </c>
      <c r="N103" s="1"/>
    </row>
    <row r="104" spans="1:14" x14ac:dyDescent="0.25">
      <c r="A104">
        <f t="shared" si="1"/>
        <v>95</v>
      </c>
      <c r="B104" s="23" t="s">
        <v>733</v>
      </c>
      <c r="C104" s="1" t="s">
        <v>734</v>
      </c>
      <c r="D104" s="1" t="s">
        <v>70</v>
      </c>
      <c r="E104" s="57"/>
      <c r="F104" s="57"/>
      <c r="G104" s="1" t="s">
        <v>639</v>
      </c>
      <c r="H104" s="1" t="s">
        <v>640</v>
      </c>
      <c r="I104" s="18">
        <f>IF(ISNUMBER(SEARCH("ANALOG",Table245[[#This Row],[Type]]))=TRUE,1,"")</f>
        <v>1</v>
      </c>
      <c r="J104" s="18" t="str">
        <f>IF(ISNUMBER(SEARCH("BINARY",Table245[[#This Row],[Type]]))=TRUE,1,"")</f>
        <v/>
      </c>
      <c r="K104" s="7" t="str">
        <f>IF(Table245[[#This Row],[Type]]="","",LEFT(Table245[[#This Row],[Type]],1)&amp;LEFT($C$2,1))</f>
        <v>AV</v>
      </c>
      <c r="L104" s="1"/>
      <c r="M104" s="7" t="str">
        <f>IF(Table245[[#This Row],[A Counter]]=1,"AV"&amp;$C$3+SUM($I$10:I104),IF(Table245[[#This Row],[B Counter]]=1,"BV"&amp;$C$3+SUM($J$10:J104),""))</f>
        <v>AV1659</v>
      </c>
      <c r="N104" s="1"/>
    </row>
    <row r="105" spans="1:14" x14ac:dyDescent="0.25">
      <c r="A105">
        <f t="shared" si="1"/>
        <v>96</v>
      </c>
      <c r="B105" s="11" t="s">
        <v>735</v>
      </c>
      <c r="C105" s="11" t="s">
        <v>736</v>
      </c>
      <c r="D105" s="11" t="s">
        <v>70</v>
      </c>
      <c r="E105" s="57"/>
      <c r="F105" s="57"/>
      <c r="G105" s="11" t="s">
        <v>639</v>
      </c>
      <c r="H105" s="11" t="s">
        <v>640</v>
      </c>
      <c r="I105" s="18">
        <f>IF(ISNUMBER(SEARCH("ANALOG",Table245[[#This Row],[Type]]))=TRUE,1,"")</f>
        <v>1</v>
      </c>
      <c r="J105" s="18" t="str">
        <f>IF(ISNUMBER(SEARCH("BINARY",Table245[[#This Row],[Type]]))=TRUE,1,"")</f>
        <v/>
      </c>
      <c r="K105" s="7" t="str">
        <f>IF(Table245[[#This Row],[Type]]="","",LEFT(Table245[[#This Row],[Type]],1)&amp;LEFT($C$2,1))</f>
        <v>AV</v>
      </c>
      <c r="L105" s="1"/>
      <c r="M105" s="7" t="str">
        <f>IF(Table245[[#This Row],[A Counter]]=1,"AV"&amp;$C$3+SUM($I$10:I105),IF(Table245[[#This Row],[B Counter]]=1,"BV"&amp;$C$3+SUM($J$10:J105),""))</f>
        <v>AV1660</v>
      </c>
      <c r="N105" s="1"/>
    </row>
    <row r="106" spans="1:14" x14ac:dyDescent="0.25">
      <c r="A106">
        <f t="shared" si="1"/>
        <v>97</v>
      </c>
      <c r="B106" s="1" t="s">
        <v>737</v>
      </c>
      <c r="C106" s="1" t="s">
        <v>738</v>
      </c>
      <c r="D106" s="1" t="s">
        <v>70</v>
      </c>
      <c r="E106" s="57"/>
      <c r="F106" s="57"/>
      <c r="G106" s="1">
        <v>120</v>
      </c>
      <c r="H106" s="1" t="s">
        <v>649</v>
      </c>
      <c r="I106" s="18">
        <f>IF(ISNUMBER(SEARCH("ANALOG",Table245[[#This Row],[Type]]))=TRUE,1,"")</f>
        <v>1</v>
      </c>
      <c r="J106" s="18" t="str">
        <f>IF(ISNUMBER(SEARCH("BINARY",Table245[[#This Row],[Type]]))=TRUE,1,"")</f>
        <v/>
      </c>
      <c r="K106" s="7" t="str">
        <f>IF(Table245[[#This Row],[Type]]="","",LEFT(Table245[[#This Row],[Type]],1)&amp;LEFT($C$2,1))</f>
        <v>AV</v>
      </c>
      <c r="L106" s="1"/>
      <c r="M106" s="7" t="str">
        <f>IF(Table245[[#This Row],[A Counter]]=1,"AV"&amp;$C$3+SUM($I$10:I147),IF(Table245[[#This Row],[B Counter]]=1,"BV"&amp;$C$3+SUM($J$10:J147),""))</f>
        <v>AV1687</v>
      </c>
      <c r="N106" s="1"/>
    </row>
    <row r="107" spans="1:14" x14ac:dyDescent="0.25">
      <c r="A107">
        <f t="shared" si="1"/>
        <v>98</v>
      </c>
      <c r="B107" s="1" t="s">
        <v>680</v>
      </c>
      <c r="C107" s="1" t="s">
        <v>739</v>
      </c>
      <c r="D107" s="1" t="s">
        <v>103</v>
      </c>
      <c r="E107" s="57"/>
      <c r="F107" s="57"/>
      <c r="G107" s="1"/>
      <c r="H107" s="1"/>
      <c r="I107" s="1" t="str">
        <f>IF(ISNUMBER(SEARCH("ANALOG",Table245[[#This Row],[Type]]))=TRUE,1,"")</f>
        <v/>
      </c>
      <c r="J107" s="1">
        <f>IF(ISNUMBER(SEARCH("BINARY",Table245[[#This Row],[Type]]))=TRUE,1,"")</f>
        <v>1</v>
      </c>
      <c r="K107" t="str">
        <f>IF(Table245[[#This Row],[Type]]="","",LEFT(Table245[[#This Row],[Type]],1)&amp;LEFT($C$2,1))</f>
        <v>BV</v>
      </c>
      <c r="L107" s="1"/>
      <c r="M107" t="str">
        <f>IF(Table245[[#This Row],[A Counter]]=1,"AV"&amp;$C$3+SUM($I$10:I147),IF(Table245[[#This Row],[B Counter]]=1,"BV"&amp;$C$3+SUM($J$10:J147),""))</f>
        <v>BV1615</v>
      </c>
      <c r="N107" s="1"/>
    </row>
    <row r="108" spans="1:14" x14ac:dyDescent="0.25">
      <c r="A108">
        <f t="shared" si="1"/>
        <v>99</v>
      </c>
      <c r="B108" s="23"/>
      <c r="C108" s="1"/>
      <c r="D108" s="1"/>
      <c r="E108" s="14">
        <f t="shared" ref="E108:E114" si="2">(-22-32)/1.8</f>
        <v>-30</v>
      </c>
      <c r="F108" s="14">
        <f t="shared" ref="F108:F114" si="3">(149-32)/1.8</f>
        <v>65</v>
      </c>
      <c r="G108" s="1"/>
      <c r="H108" s="1"/>
      <c r="I108" s="18" t="str">
        <f>IF(ISNUMBER(SEARCH("ANALOG",Table245[[#This Row],[Type]]))=TRUE,1,"")</f>
        <v/>
      </c>
      <c r="J108" s="18" t="str">
        <f>IF(ISNUMBER(SEARCH("BINARY",Table245[[#This Row],[Type]]))=TRUE,1,"")</f>
        <v/>
      </c>
      <c r="K108" s="7" t="str">
        <f>IF(Table245[[#This Row],[Type]]="","",LEFT(Table245[[#This Row],[Type]],1)&amp;LEFT($C$2,1))</f>
        <v/>
      </c>
      <c r="L108" s="1"/>
      <c r="M108" s="7" t="str">
        <f>IF(Table245[[#This Row],[A Counter]]=1,"AV"&amp;$C$3+SUM($I$10:I108),IF(Table245[[#This Row],[B Counter]]=1,"BV"&amp;$C$3+SUM($J$10:J108),""))</f>
        <v/>
      </c>
      <c r="N108" s="1"/>
    </row>
    <row r="109" spans="1:14" x14ac:dyDescent="0.25">
      <c r="A109">
        <f t="shared" si="1"/>
        <v>100</v>
      </c>
      <c r="B109" s="11"/>
      <c r="C109" s="11"/>
      <c r="D109" s="11"/>
      <c r="E109" s="14">
        <f t="shared" si="2"/>
        <v>-30</v>
      </c>
      <c r="F109" s="14">
        <f t="shared" si="3"/>
        <v>65</v>
      </c>
      <c r="G109" s="11"/>
      <c r="H109" s="11"/>
      <c r="I109" s="18" t="str">
        <f>IF(ISNUMBER(SEARCH("ANALOG",Table245[[#This Row],[Type]]))=TRUE,1,"")</f>
        <v/>
      </c>
      <c r="J109" s="18" t="str">
        <f>IF(ISNUMBER(SEARCH("BINARY",Table245[[#This Row],[Type]]))=TRUE,1,"")</f>
        <v/>
      </c>
      <c r="K109" s="7" t="str">
        <f>IF(Table245[[#This Row],[Type]]="","",LEFT(Table245[[#This Row],[Type]],1)&amp;LEFT($C$2,1))</f>
        <v/>
      </c>
      <c r="L109" s="1"/>
      <c r="M109" s="7" t="str">
        <f>IF(Table245[[#This Row],[A Counter]]=1,"AV"&amp;$C$3+SUM($I$10:I109),IF(Table245[[#This Row],[B Counter]]=1,"BV"&amp;$C$3+SUM($J$10:J109),""))</f>
        <v/>
      </c>
      <c r="N109" s="1"/>
    </row>
    <row r="110" spans="1:14" x14ac:dyDescent="0.25">
      <c r="A110">
        <f t="shared" si="1"/>
        <v>101</v>
      </c>
      <c r="B110" s="23"/>
      <c r="C110" s="1"/>
      <c r="D110" s="1"/>
      <c r="E110" s="14">
        <f t="shared" si="2"/>
        <v>-30</v>
      </c>
      <c r="F110" s="14">
        <f t="shared" si="3"/>
        <v>65</v>
      </c>
      <c r="G110" s="1"/>
      <c r="H110" s="1"/>
      <c r="I110" s="18" t="str">
        <f>IF(ISNUMBER(SEARCH("ANALOG",Table245[[#This Row],[Type]]))=TRUE,1,"")</f>
        <v/>
      </c>
      <c r="J110" s="18" t="str">
        <f>IF(ISNUMBER(SEARCH("BINARY",Table245[[#This Row],[Type]]))=TRUE,1,"")</f>
        <v/>
      </c>
      <c r="K110" s="7" t="str">
        <f>IF(Table245[[#This Row],[Type]]="","",LEFT(Table245[[#This Row],[Type]],1)&amp;LEFT($C$2,1))</f>
        <v/>
      </c>
      <c r="L110" s="1"/>
      <c r="M110" s="7" t="str">
        <f>IF(Table245[[#This Row],[A Counter]]=1,"AV"&amp;$C$3+SUM($I$10:I110),IF(Table245[[#This Row],[B Counter]]=1,"BV"&amp;$C$3+SUM($J$10:J110),""))</f>
        <v/>
      </c>
      <c r="N110" s="1"/>
    </row>
    <row r="111" spans="1:14" x14ac:dyDescent="0.25">
      <c r="A111">
        <f t="shared" si="1"/>
        <v>102</v>
      </c>
      <c r="B111" s="23"/>
      <c r="C111" s="1"/>
      <c r="D111" s="1"/>
      <c r="E111" s="14">
        <f t="shared" si="2"/>
        <v>-30</v>
      </c>
      <c r="F111" s="14">
        <f t="shared" si="3"/>
        <v>65</v>
      </c>
      <c r="G111" s="1"/>
      <c r="H111" s="1"/>
      <c r="I111" s="18" t="str">
        <f>IF(ISNUMBER(SEARCH("ANALOG",Table245[[#This Row],[Type]]))=TRUE,1,"")</f>
        <v/>
      </c>
      <c r="J111" s="18" t="str">
        <f>IF(ISNUMBER(SEARCH("BINARY",Table245[[#This Row],[Type]]))=TRUE,1,"")</f>
        <v/>
      </c>
      <c r="K111" s="7" t="str">
        <f>IF(Table245[[#This Row],[Type]]="","",LEFT(Table245[[#This Row],[Type]],1)&amp;LEFT($C$2,1))</f>
        <v/>
      </c>
      <c r="L111" s="1"/>
      <c r="M111" s="7" t="str">
        <f>IF(Table245[[#This Row],[A Counter]]=1,"AV"&amp;$C$3+SUM($I$10:I111),IF(Table245[[#This Row],[B Counter]]=1,"BV"&amp;$C$3+SUM($J$10:J111),""))</f>
        <v/>
      </c>
      <c r="N111" s="1"/>
    </row>
    <row r="112" spans="1:14" x14ac:dyDescent="0.25">
      <c r="A112">
        <f t="shared" si="1"/>
        <v>103</v>
      </c>
      <c r="B112" s="23"/>
      <c r="C112" s="1"/>
      <c r="D112" s="1"/>
      <c r="E112" s="14">
        <f t="shared" si="2"/>
        <v>-30</v>
      </c>
      <c r="F112" s="14">
        <f t="shared" si="3"/>
        <v>65</v>
      </c>
      <c r="G112" s="1"/>
      <c r="H112" s="1"/>
      <c r="I112" s="18" t="str">
        <f>IF(ISNUMBER(SEARCH("ANALOG",Table245[[#This Row],[Type]]))=TRUE,1,"")</f>
        <v/>
      </c>
      <c r="J112" s="18" t="str">
        <f>IF(ISNUMBER(SEARCH("BINARY",Table245[[#This Row],[Type]]))=TRUE,1,"")</f>
        <v/>
      </c>
      <c r="K112" s="7" t="str">
        <f>IF(Table245[[#This Row],[Type]]="","",LEFT(Table245[[#This Row],[Type]],1)&amp;LEFT($C$2,1))</f>
        <v/>
      </c>
      <c r="L112" s="1"/>
      <c r="M112" s="7" t="str">
        <f>IF(Table245[[#This Row],[A Counter]]=1,"AV"&amp;$C$3+SUM($I$10:I112),IF(Table245[[#This Row],[B Counter]]=1,"BV"&amp;$C$3+SUM($J$10:J112),""))</f>
        <v/>
      </c>
      <c r="N112" s="1"/>
    </row>
    <row r="113" spans="1:14" x14ac:dyDescent="0.25">
      <c r="A113">
        <f t="shared" si="1"/>
        <v>104</v>
      </c>
      <c r="B113" s="1" t="s">
        <v>740</v>
      </c>
      <c r="C113" s="1" t="s">
        <v>741</v>
      </c>
      <c r="D113" s="1" t="s">
        <v>103</v>
      </c>
      <c r="E113" s="14">
        <f t="shared" si="2"/>
        <v>-30</v>
      </c>
      <c r="F113" s="14">
        <f t="shared" si="3"/>
        <v>65</v>
      </c>
      <c r="G113" s="1"/>
      <c r="H113" s="3" t="s">
        <v>112</v>
      </c>
      <c r="I113" s="18" t="str">
        <f>IF(ISNUMBER(SEARCH("ANALOG",Table245[[#This Row],[Type]]))=TRUE,1,"")</f>
        <v/>
      </c>
      <c r="J113" s="18">
        <f>IF(ISNUMBER(SEARCH("BINARY",Table245[[#This Row],[Type]]))=TRUE,1,"")</f>
        <v>1</v>
      </c>
      <c r="K113" s="7" t="str">
        <f>IF(Table245[[#This Row],[Type]]="","",LEFT(Table245[[#This Row],[Type]],1)&amp;LEFT($C$2,1))</f>
        <v>BV</v>
      </c>
      <c r="L113" s="1"/>
      <c r="M113" s="7" t="str">
        <f>IF(Table245[[#This Row],[A Counter]]=1,"AV"&amp;$C$3+SUM($I$10:I113),IF(Table245[[#This Row],[B Counter]]=1,"BV"&amp;$C$3+SUM($J$10:J113),""))</f>
        <v>BV1612</v>
      </c>
      <c r="N113" s="1"/>
    </row>
    <row r="114" spans="1:14" x14ac:dyDescent="0.25">
      <c r="A114">
        <f t="shared" si="1"/>
        <v>105</v>
      </c>
      <c r="B114" s="1" t="s">
        <v>742</v>
      </c>
      <c r="C114" s="1" t="s">
        <v>743</v>
      </c>
      <c r="D114" s="1" t="s">
        <v>70</v>
      </c>
      <c r="E114" s="14">
        <f t="shared" si="2"/>
        <v>-30</v>
      </c>
      <c r="F114" s="14">
        <f t="shared" si="3"/>
        <v>65</v>
      </c>
      <c r="G114" s="1"/>
      <c r="H114" s="3" t="s">
        <v>80</v>
      </c>
      <c r="I114" s="18">
        <f>IF(ISNUMBER(SEARCH("ANALOG",Table245[[#This Row],[Type]]))=TRUE,1,"")</f>
        <v>1</v>
      </c>
      <c r="J114" s="18" t="str">
        <f>IF(ISNUMBER(SEARCH("BINARY",Table245[[#This Row],[Type]]))=TRUE,1,"")</f>
        <v/>
      </c>
      <c r="K114" s="7" t="str">
        <f>IF(Table245[[#This Row],[Type]]="","",LEFT(Table245[[#This Row],[Type]],1)&amp;LEFT($C$2,1))</f>
        <v>AV</v>
      </c>
      <c r="L114" s="1"/>
      <c r="M114" s="7" t="str">
        <f>IF(Table245[[#This Row],[A Counter]]=1,"AV"&amp;$C$3+SUM($I$10:I114),IF(Table245[[#This Row],[B Counter]]=1,"BV"&amp;$C$3+SUM($J$10:J114),""))</f>
        <v>AV1662</v>
      </c>
      <c r="N114" s="1"/>
    </row>
    <row r="115" spans="1:14" x14ac:dyDescent="0.25">
      <c r="A115">
        <f t="shared" si="1"/>
        <v>106</v>
      </c>
      <c r="B115" s="1" t="s">
        <v>744</v>
      </c>
      <c r="C115" s="1" t="s">
        <v>745</v>
      </c>
      <c r="D115" s="1" t="s">
        <v>70</v>
      </c>
      <c r="E115" s="14">
        <v>-22</v>
      </c>
      <c r="F115" s="14">
        <v>150</v>
      </c>
      <c r="G115" s="1"/>
      <c r="H115" s="3" t="s">
        <v>84</v>
      </c>
      <c r="I115" s="18">
        <f>IF(ISNUMBER(SEARCH("ANALOG",Table245[[#This Row],[Type]]))=TRUE,1,"")</f>
        <v>1</v>
      </c>
      <c r="J115" s="18" t="str">
        <f>IF(ISNUMBER(SEARCH("BINARY",Table245[[#This Row],[Type]]))=TRUE,1,"")</f>
        <v/>
      </c>
      <c r="K115" s="7" t="str">
        <f>IF(Table245[[#This Row],[Type]]="","",LEFT(Table245[[#This Row],[Type]],1)&amp;LEFT($C$2,1))</f>
        <v>AV</v>
      </c>
      <c r="L115" s="1"/>
      <c r="M115" s="7" t="str">
        <f>IF(Table245[[#This Row],[A Counter]]=1,"AV"&amp;$C$3+SUM($I$10:I115),IF(Table245[[#This Row],[B Counter]]=1,"BV"&amp;$C$3+SUM($J$10:J115),""))</f>
        <v>AV1663</v>
      </c>
      <c r="N115" s="1"/>
    </row>
    <row r="116" spans="1:14" x14ac:dyDescent="0.25">
      <c r="A116">
        <f t="shared" si="1"/>
        <v>107</v>
      </c>
      <c r="B116" s="1" t="s">
        <v>746</v>
      </c>
      <c r="C116" s="1" t="s">
        <v>747</v>
      </c>
      <c r="D116" s="1" t="s">
        <v>70</v>
      </c>
      <c r="E116" s="14">
        <v>-22</v>
      </c>
      <c r="F116" s="14">
        <v>150</v>
      </c>
      <c r="G116" s="1"/>
      <c r="H116" s="3" t="s">
        <v>84</v>
      </c>
      <c r="I116" s="18">
        <f>IF(ISNUMBER(SEARCH("ANALOG",Table245[[#This Row],[Type]]))=TRUE,1,"")</f>
        <v>1</v>
      </c>
      <c r="J116" s="18" t="str">
        <f>IF(ISNUMBER(SEARCH("BINARY",Table245[[#This Row],[Type]]))=TRUE,1,"")</f>
        <v/>
      </c>
      <c r="K116" s="7" t="str">
        <f>IF(Table245[[#This Row],[Type]]="","",LEFT(Table245[[#This Row],[Type]],1)&amp;LEFT($C$2,1))</f>
        <v>AV</v>
      </c>
      <c r="L116" s="1"/>
      <c r="M116" s="7" t="str">
        <f>IF(Table245[[#This Row],[A Counter]]=1,"AV"&amp;$C$3+SUM($I$10:I116),IF(Table245[[#This Row],[B Counter]]=1,"BV"&amp;$C$3+SUM($J$10:J116),""))</f>
        <v>AV1664</v>
      </c>
      <c r="N116" s="1"/>
    </row>
    <row r="117" spans="1:14" x14ac:dyDescent="0.25">
      <c r="A117">
        <f t="shared" si="1"/>
        <v>108</v>
      </c>
      <c r="B117" s="1" t="s">
        <v>748</v>
      </c>
      <c r="C117" s="1" t="s">
        <v>749</v>
      </c>
      <c r="D117" s="1" t="s">
        <v>70</v>
      </c>
      <c r="E117" s="14">
        <v>-22</v>
      </c>
      <c r="F117" s="14">
        <v>150</v>
      </c>
      <c r="G117" s="1"/>
      <c r="H117" s="3" t="s">
        <v>84</v>
      </c>
      <c r="I117" s="18">
        <f>IF(ISNUMBER(SEARCH("ANALOG",Table245[[#This Row],[Type]]))=TRUE,1,"")</f>
        <v>1</v>
      </c>
      <c r="J117" s="18" t="str">
        <f>IF(ISNUMBER(SEARCH("BINARY",Table245[[#This Row],[Type]]))=TRUE,1,"")</f>
        <v/>
      </c>
      <c r="K117" s="7" t="str">
        <f>IF(Table245[[#This Row],[Type]]="","",LEFT(Table245[[#This Row],[Type]],1)&amp;LEFT($C$2,1))</f>
        <v>AV</v>
      </c>
      <c r="L117" s="1"/>
      <c r="M117" s="7" t="str">
        <f>IF(Table245[[#This Row],[A Counter]]=1,"AV"&amp;$C$3+SUM($I$10:I117),IF(Table245[[#This Row],[B Counter]]=1,"BV"&amp;$C$3+SUM($J$10:J117),""))</f>
        <v>AV1665</v>
      </c>
      <c r="N117" s="1"/>
    </row>
    <row r="118" spans="1:14" x14ac:dyDescent="0.25">
      <c r="A118">
        <f t="shared" si="1"/>
        <v>109</v>
      </c>
      <c r="B118" s="1" t="s">
        <v>750</v>
      </c>
      <c r="C118" s="1" t="s">
        <v>751</v>
      </c>
      <c r="D118" s="1" t="s">
        <v>70</v>
      </c>
      <c r="E118" s="14">
        <v>32</v>
      </c>
      <c r="F118" s="14">
        <v>150</v>
      </c>
      <c r="G118" s="1"/>
      <c r="H118" s="3" t="s">
        <v>84</v>
      </c>
      <c r="I118" s="18">
        <f>IF(ISNUMBER(SEARCH("ANALOG",Table245[[#This Row],[Type]]))=TRUE,1,"")</f>
        <v>1</v>
      </c>
      <c r="J118" s="18" t="str">
        <f>IF(ISNUMBER(SEARCH("BINARY",Table245[[#This Row],[Type]]))=TRUE,1,"")</f>
        <v/>
      </c>
      <c r="K118" s="7" t="str">
        <f>IF(Table245[[#This Row],[Type]]="","",LEFT(Table245[[#This Row],[Type]],1)&amp;LEFT($C$2,1))</f>
        <v>AV</v>
      </c>
      <c r="L118" s="1"/>
      <c r="M118" s="7" t="str">
        <f>IF(Table245[[#This Row],[A Counter]]=1,"AV"&amp;$C$3+SUM($I$10:I118),IF(Table245[[#This Row],[B Counter]]=1,"BV"&amp;$C$3+SUM($J$10:J118),""))</f>
        <v>AV1666</v>
      </c>
      <c r="N118" s="1"/>
    </row>
    <row r="119" spans="1:14" x14ac:dyDescent="0.25">
      <c r="A119">
        <f t="shared" si="1"/>
        <v>110</v>
      </c>
      <c r="B119" s="1" t="s">
        <v>752</v>
      </c>
      <c r="C119" s="1" t="s">
        <v>753</v>
      </c>
      <c r="D119" s="1" t="s">
        <v>70</v>
      </c>
      <c r="E119" s="14">
        <v>32</v>
      </c>
      <c r="F119" s="14">
        <v>150</v>
      </c>
      <c r="G119" s="1"/>
      <c r="H119" s="3" t="s">
        <v>84</v>
      </c>
      <c r="I119" s="18">
        <f>IF(ISNUMBER(SEARCH("ANALOG",Table245[[#This Row],[Type]]))=TRUE,1,"")</f>
        <v>1</v>
      </c>
      <c r="J119" s="18" t="str">
        <f>IF(ISNUMBER(SEARCH("BINARY",Table245[[#This Row],[Type]]))=TRUE,1,"")</f>
        <v/>
      </c>
      <c r="K119" s="7" t="str">
        <f>IF(Table245[[#This Row],[Type]]="","",LEFT(Table245[[#This Row],[Type]],1)&amp;LEFT($C$2,1))</f>
        <v>AV</v>
      </c>
      <c r="L119" s="1"/>
      <c r="M119" s="7" t="str">
        <f>IF(Table245[[#This Row],[A Counter]]=1,"AV"&amp;$C$3+SUM($I$10:I119),IF(Table245[[#This Row],[B Counter]]=1,"BV"&amp;$C$3+SUM($J$10:J119),""))</f>
        <v>AV1667</v>
      </c>
      <c r="N119" s="1"/>
    </row>
    <row r="120" spans="1:14" x14ac:dyDescent="0.25">
      <c r="A120">
        <f t="shared" si="1"/>
        <v>111</v>
      </c>
      <c r="B120" s="1" t="s">
        <v>754</v>
      </c>
      <c r="C120" s="1" t="s">
        <v>755</v>
      </c>
      <c r="D120" s="1" t="s">
        <v>70</v>
      </c>
      <c r="E120" s="14">
        <v>32</v>
      </c>
      <c r="F120" s="14">
        <v>150</v>
      </c>
      <c r="G120" s="1"/>
      <c r="H120" s="3" t="s">
        <v>84</v>
      </c>
      <c r="I120" s="18">
        <f>IF(ISNUMBER(SEARCH("ANALOG",Table245[[#This Row],[Type]]))=TRUE,1,"")</f>
        <v>1</v>
      </c>
      <c r="J120" s="18" t="str">
        <f>IF(ISNUMBER(SEARCH("BINARY",Table245[[#This Row],[Type]]))=TRUE,1,"")</f>
        <v/>
      </c>
      <c r="K120" s="7" t="str">
        <f>IF(Table245[[#This Row],[Type]]="","",LEFT(Table245[[#This Row],[Type]],1)&amp;LEFT($C$2,1))</f>
        <v>AV</v>
      </c>
      <c r="L120" s="1"/>
      <c r="M120" s="7" t="str">
        <f>IF(Table245[[#This Row],[A Counter]]=1,"AV"&amp;$C$3+SUM($I$10:I120),IF(Table245[[#This Row],[B Counter]]=1,"BV"&amp;$C$3+SUM($J$10:J120),""))</f>
        <v>AV1668</v>
      </c>
      <c r="N120" s="1"/>
    </row>
    <row r="121" spans="1:14" x14ac:dyDescent="0.25">
      <c r="A121">
        <f t="shared" si="1"/>
        <v>112</v>
      </c>
      <c r="B121" s="1" t="s">
        <v>756</v>
      </c>
      <c r="C121" s="1" t="s">
        <v>757</v>
      </c>
      <c r="D121" s="1" t="s">
        <v>70</v>
      </c>
      <c r="E121" s="14">
        <v>32</v>
      </c>
      <c r="F121" s="14">
        <v>150</v>
      </c>
      <c r="G121" s="1"/>
      <c r="H121" s="3" t="s">
        <v>84</v>
      </c>
      <c r="I121" s="18">
        <f>IF(ISNUMBER(SEARCH("ANALOG",Table245[[#This Row],[Type]]))=TRUE,1,"")</f>
        <v>1</v>
      </c>
      <c r="J121" s="18" t="str">
        <f>IF(ISNUMBER(SEARCH("BINARY",Table245[[#This Row],[Type]]))=TRUE,1,"")</f>
        <v/>
      </c>
      <c r="K121" s="7" t="str">
        <f>IF(Table245[[#This Row],[Type]]="","",LEFT(Table245[[#This Row],[Type]],1)&amp;LEFT($C$2,1))</f>
        <v>AV</v>
      </c>
      <c r="L121" s="1"/>
      <c r="M121" s="7" t="str">
        <f>IF(Table245[[#This Row],[A Counter]]=1,"AV"&amp;$C$3+SUM($I$10:I121),IF(Table245[[#This Row],[B Counter]]=1,"BV"&amp;$C$3+SUM($J$10:J121),""))</f>
        <v>AV1669</v>
      </c>
      <c r="N121" s="1"/>
    </row>
    <row r="122" spans="1:14" x14ac:dyDescent="0.25">
      <c r="A122">
        <f t="shared" si="1"/>
        <v>113</v>
      </c>
      <c r="B122" s="23" t="s">
        <v>758</v>
      </c>
      <c r="C122" s="1" t="s">
        <v>759</v>
      </c>
      <c r="D122" s="1" t="s">
        <v>70</v>
      </c>
      <c r="E122" s="14">
        <f t="shared" ref="E122:E134" si="4">(-22-32)/1.8</f>
        <v>-30</v>
      </c>
      <c r="F122" s="14">
        <f t="shared" ref="F122:F134" si="5">(149-32)/1.8</f>
        <v>65</v>
      </c>
      <c r="G122" s="1" t="s">
        <v>639</v>
      </c>
      <c r="H122" s="1" t="s">
        <v>640</v>
      </c>
      <c r="I122" s="18">
        <f>IF(ISNUMBER(SEARCH("ANALOG",Table245[[#This Row],[Type]]))=TRUE,1,"")</f>
        <v>1</v>
      </c>
      <c r="J122" s="18" t="str">
        <f>IF(ISNUMBER(SEARCH("BINARY",Table245[[#This Row],[Type]]))=TRUE,1,"")</f>
        <v/>
      </c>
      <c r="K122" s="7" t="str">
        <f>IF(Table245[[#This Row],[Type]]="","",LEFT(Table245[[#This Row],[Type]],1)&amp;LEFT($C$2,1))</f>
        <v>AV</v>
      </c>
      <c r="L122" s="1"/>
      <c r="M122" s="7" t="str">
        <f>IF(Table245[[#This Row],[A Counter]]=1,"AV"&amp;$C$3+SUM($I$10:I122),IF(Table245[[#This Row],[B Counter]]=1,"BV"&amp;$C$3+SUM($J$10:J122),""))</f>
        <v>AV1670</v>
      </c>
      <c r="N122" s="1"/>
    </row>
    <row r="123" spans="1:14" x14ac:dyDescent="0.25">
      <c r="A123">
        <f t="shared" si="1"/>
        <v>114</v>
      </c>
      <c r="B123" s="23" t="s">
        <v>760</v>
      </c>
      <c r="C123" s="1" t="s">
        <v>761</v>
      </c>
      <c r="D123" s="1" t="s">
        <v>70</v>
      </c>
      <c r="E123" s="14">
        <f t="shared" si="4"/>
        <v>-30</v>
      </c>
      <c r="F123" s="14">
        <f t="shared" si="5"/>
        <v>65</v>
      </c>
      <c r="G123" s="1" t="s">
        <v>639</v>
      </c>
      <c r="H123" s="1" t="s">
        <v>640</v>
      </c>
      <c r="I123" s="18">
        <f>IF(ISNUMBER(SEARCH("ANALOG",Table245[[#This Row],[Type]]))=TRUE,1,"")</f>
        <v>1</v>
      </c>
      <c r="J123" s="18" t="str">
        <f>IF(ISNUMBER(SEARCH("BINARY",Table245[[#This Row],[Type]]))=TRUE,1,"")</f>
        <v/>
      </c>
      <c r="K123" s="7" t="str">
        <f>IF(Table245[[#This Row],[Type]]="","",LEFT(Table245[[#This Row],[Type]],1)&amp;LEFT($C$2,1))</f>
        <v>AV</v>
      </c>
      <c r="L123" s="1"/>
      <c r="M123" s="7" t="str">
        <f>IF(Table245[[#This Row],[A Counter]]=1,"AV"&amp;$C$3+SUM($I$10:I123),IF(Table245[[#This Row],[B Counter]]=1,"BV"&amp;$C$3+SUM($J$10:J123),""))</f>
        <v>AV1671</v>
      </c>
      <c r="N123" s="1"/>
    </row>
    <row r="124" spans="1:14" x14ac:dyDescent="0.25">
      <c r="A124">
        <f t="shared" si="1"/>
        <v>115</v>
      </c>
      <c r="B124" s="23" t="s">
        <v>762</v>
      </c>
      <c r="C124" s="1" t="s">
        <v>763</v>
      </c>
      <c r="D124" s="1" t="s">
        <v>70</v>
      </c>
      <c r="E124" s="14">
        <f t="shared" si="4"/>
        <v>-30</v>
      </c>
      <c r="F124" s="14">
        <f t="shared" si="5"/>
        <v>65</v>
      </c>
      <c r="G124" s="1" t="s">
        <v>639</v>
      </c>
      <c r="H124" s="1" t="s">
        <v>640</v>
      </c>
      <c r="I124" s="18">
        <f>IF(ISNUMBER(SEARCH("ANALOG",Table245[[#This Row],[Type]]))=TRUE,1,"")</f>
        <v>1</v>
      </c>
      <c r="J124" s="18" t="str">
        <f>IF(ISNUMBER(SEARCH("BINARY",Table245[[#This Row],[Type]]))=TRUE,1,"")</f>
        <v/>
      </c>
      <c r="K124" s="7" t="str">
        <f>IF(Table245[[#This Row],[Type]]="","",LEFT(Table245[[#This Row],[Type]],1)&amp;LEFT($C$2,1))</f>
        <v>AV</v>
      </c>
      <c r="L124" s="1"/>
      <c r="M124" s="7" t="str">
        <f>IF(Table245[[#This Row],[A Counter]]=1,"AV"&amp;$C$3+SUM($I$10:I124),IF(Table245[[#This Row],[B Counter]]=1,"BV"&amp;$C$3+SUM($J$10:J124),""))</f>
        <v>AV1672</v>
      </c>
      <c r="N124" s="1"/>
    </row>
    <row r="125" spans="1:14" x14ac:dyDescent="0.25">
      <c r="A125">
        <f t="shared" si="1"/>
        <v>116</v>
      </c>
      <c r="B125" s="11" t="s">
        <v>764</v>
      </c>
      <c r="C125" s="11" t="s">
        <v>765</v>
      </c>
      <c r="D125" s="11" t="s">
        <v>70</v>
      </c>
      <c r="E125" s="14">
        <f t="shared" si="4"/>
        <v>-30</v>
      </c>
      <c r="F125" s="14">
        <f t="shared" si="5"/>
        <v>65</v>
      </c>
      <c r="G125" s="11" t="s">
        <v>639</v>
      </c>
      <c r="H125" s="11" t="s">
        <v>640</v>
      </c>
      <c r="I125" s="18">
        <f>IF(ISNUMBER(SEARCH("ANALOG",Table245[[#This Row],[Type]]))=TRUE,1,"")</f>
        <v>1</v>
      </c>
      <c r="J125" s="18" t="str">
        <f>IF(ISNUMBER(SEARCH("BINARY",Table245[[#This Row],[Type]]))=TRUE,1,"")</f>
        <v/>
      </c>
      <c r="K125" s="7" t="str">
        <f>IF(Table245[[#This Row],[Type]]="","",LEFT(Table245[[#This Row],[Type]],1)&amp;LEFT($C$2,1))</f>
        <v>AV</v>
      </c>
      <c r="L125" s="1"/>
      <c r="M125" s="7" t="str">
        <f>IF(Table245[[#This Row],[A Counter]]=1,"AV"&amp;$C$3+SUM($I$10:I125),IF(Table245[[#This Row],[B Counter]]=1,"BV"&amp;$C$3+SUM($J$10:J125),""))</f>
        <v>AV1673</v>
      </c>
      <c r="N125" s="1"/>
    </row>
    <row r="126" spans="1:14" x14ac:dyDescent="0.25">
      <c r="A126">
        <f t="shared" si="1"/>
        <v>117</v>
      </c>
      <c r="B126" s="1" t="s">
        <v>766</v>
      </c>
      <c r="C126" s="1" t="s">
        <v>767</v>
      </c>
      <c r="D126" s="1" t="s">
        <v>70</v>
      </c>
      <c r="E126" s="14">
        <f t="shared" si="4"/>
        <v>-30</v>
      </c>
      <c r="F126" s="14">
        <f t="shared" si="5"/>
        <v>65</v>
      </c>
      <c r="G126" s="1">
        <v>120</v>
      </c>
      <c r="H126" s="1" t="s">
        <v>649</v>
      </c>
      <c r="I126" s="18">
        <f>IF(ISNUMBER(SEARCH("ANALOG",Table245[[#This Row],[Type]]))=TRUE,1,"")</f>
        <v>1</v>
      </c>
      <c r="J126" s="18" t="str">
        <f>IF(ISNUMBER(SEARCH("BINARY",Table245[[#This Row],[Type]]))=TRUE,1,"")</f>
        <v/>
      </c>
      <c r="K126" s="7" t="str">
        <f>IF(Table245[[#This Row],[Type]]="","",LEFT(Table245[[#This Row],[Type]],1)&amp;LEFT($C$2,1))</f>
        <v>AV</v>
      </c>
      <c r="L126" s="1"/>
      <c r="M126" s="7" t="str">
        <f>IF(Table245[[#This Row],[A Counter]]=1,"AV"&amp;$C$3+SUM($I$10:I147),IF(Table245[[#This Row],[B Counter]]=1,"BV"&amp;$C$3+SUM($J$10:J147),""))</f>
        <v>AV1687</v>
      </c>
      <c r="N126" s="1"/>
    </row>
    <row r="127" spans="1:14" x14ac:dyDescent="0.25">
      <c r="A127">
        <f t="shared" si="1"/>
        <v>118</v>
      </c>
      <c r="B127" s="1" t="s">
        <v>680</v>
      </c>
      <c r="C127" s="1" t="s">
        <v>768</v>
      </c>
      <c r="D127" s="1" t="s">
        <v>103</v>
      </c>
      <c r="E127" s="14">
        <f t="shared" si="4"/>
        <v>-30</v>
      </c>
      <c r="F127" s="14">
        <f t="shared" si="5"/>
        <v>65</v>
      </c>
      <c r="G127" s="1"/>
      <c r="H127" s="1"/>
      <c r="I127" s="1" t="str">
        <f>IF(ISNUMBER(SEARCH("ANALOG",Table245[[#This Row],[Type]]))=TRUE,1,"")</f>
        <v/>
      </c>
      <c r="J127" s="1">
        <f>IF(ISNUMBER(SEARCH("BINARY",Table245[[#This Row],[Type]]))=TRUE,1,"")</f>
        <v>1</v>
      </c>
      <c r="K127" t="str">
        <f>IF(Table245[[#This Row],[Type]]="","",LEFT(Table245[[#This Row],[Type]],1)&amp;LEFT($C$2,1))</f>
        <v>BV</v>
      </c>
      <c r="L127" s="1"/>
      <c r="M127" t="str">
        <f>IF(Table245[[#This Row],[A Counter]]=1,"AV"&amp;$C$3+SUM($I$10:I147),IF(Table245[[#This Row],[B Counter]]=1,"BV"&amp;$C$3+SUM($J$10:J147),""))</f>
        <v>BV1615</v>
      </c>
      <c r="N127" s="1"/>
    </row>
    <row r="128" spans="1:14" x14ac:dyDescent="0.25">
      <c r="A128">
        <f t="shared" si="1"/>
        <v>119</v>
      </c>
      <c r="B128" s="23"/>
      <c r="C128" s="1"/>
      <c r="D128" s="1"/>
      <c r="E128" s="14">
        <f t="shared" si="4"/>
        <v>-30</v>
      </c>
      <c r="F128" s="14">
        <f t="shared" si="5"/>
        <v>65</v>
      </c>
      <c r="G128" s="1"/>
      <c r="H128" s="1"/>
      <c r="I128" s="18" t="str">
        <f>IF(ISNUMBER(SEARCH("ANALOG",Table245[[#This Row],[Type]]))=TRUE,1,"")</f>
        <v/>
      </c>
      <c r="J128" s="18" t="str">
        <f>IF(ISNUMBER(SEARCH("BINARY",Table245[[#This Row],[Type]]))=TRUE,1,"")</f>
        <v/>
      </c>
      <c r="K128" s="7" t="str">
        <f>IF(Table245[[#This Row],[Type]]="","",LEFT(Table245[[#This Row],[Type]],1)&amp;LEFT($C$2,1))</f>
        <v/>
      </c>
      <c r="L128" s="1"/>
      <c r="M128" s="7" t="str">
        <f>IF(Table245[[#This Row],[A Counter]]=1,"AV"&amp;$C$3+SUM($I$10:I128),IF(Table245[[#This Row],[B Counter]]=1,"BV"&amp;$C$3+SUM($J$10:J128),""))</f>
        <v/>
      </c>
      <c r="N128" s="1"/>
    </row>
    <row r="129" spans="1:14" x14ac:dyDescent="0.25">
      <c r="A129">
        <f t="shared" si="1"/>
        <v>120</v>
      </c>
      <c r="B129" s="11"/>
      <c r="C129" s="11"/>
      <c r="D129" s="11"/>
      <c r="E129" s="14">
        <f t="shared" si="4"/>
        <v>-30</v>
      </c>
      <c r="F129" s="14">
        <f t="shared" si="5"/>
        <v>65</v>
      </c>
      <c r="G129" s="11"/>
      <c r="H129" s="11"/>
      <c r="I129" s="18" t="str">
        <f>IF(ISNUMBER(SEARCH("ANALOG",Table245[[#This Row],[Type]]))=TRUE,1,"")</f>
        <v/>
      </c>
      <c r="J129" s="18" t="str">
        <f>IF(ISNUMBER(SEARCH("BINARY",Table245[[#This Row],[Type]]))=TRUE,1,"")</f>
        <v/>
      </c>
      <c r="K129" s="7" t="str">
        <f>IF(Table245[[#This Row],[Type]]="","",LEFT(Table245[[#This Row],[Type]],1)&amp;LEFT($C$2,1))</f>
        <v/>
      </c>
      <c r="L129" s="1"/>
      <c r="M129" s="7" t="str">
        <f>IF(Table245[[#This Row],[A Counter]]=1,"AV"&amp;$C$3+SUM($I$10:I129),IF(Table245[[#This Row],[B Counter]]=1,"BV"&amp;$C$3+SUM($J$10:J129),""))</f>
        <v/>
      </c>
      <c r="N129" s="1"/>
    </row>
    <row r="130" spans="1:14" x14ac:dyDescent="0.25">
      <c r="A130">
        <f t="shared" si="1"/>
        <v>121</v>
      </c>
      <c r="B130" s="23"/>
      <c r="C130" s="1"/>
      <c r="D130" s="1"/>
      <c r="E130" s="14">
        <f t="shared" si="4"/>
        <v>-30</v>
      </c>
      <c r="F130" s="14">
        <f t="shared" si="5"/>
        <v>65</v>
      </c>
      <c r="G130" s="1"/>
      <c r="H130" s="1"/>
      <c r="I130" s="18" t="str">
        <f>IF(ISNUMBER(SEARCH("ANALOG",Table245[[#This Row],[Type]]))=TRUE,1,"")</f>
        <v/>
      </c>
      <c r="J130" s="18" t="str">
        <f>IF(ISNUMBER(SEARCH("BINARY",Table245[[#This Row],[Type]]))=TRUE,1,"")</f>
        <v/>
      </c>
      <c r="K130" s="7" t="str">
        <f>IF(Table245[[#This Row],[Type]]="","",LEFT(Table245[[#This Row],[Type]],1)&amp;LEFT($C$2,1))</f>
        <v/>
      </c>
      <c r="L130" s="1"/>
      <c r="M130" s="7" t="str">
        <f>IF(Table245[[#This Row],[A Counter]]=1,"AV"&amp;$C$3+SUM($I$10:I130),IF(Table245[[#This Row],[B Counter]]=1,"BV"&amp;$C$3+SUM($J$10:J130),""))</f>
        <v/>
      </c>
      <c r="N130" s="1"/>
    </row>
    <row r="131" spans="1:14" x14ac:dyDescent="0.25">
      <c r="A131">
        <f t="shared" si="1"/>
        <v>122</v>
      </c>
      <c r="B131" s="23"/>
      <c r="C131" s="1"/>
      <c r="D131" s="1"/>
      <c r="E131" s="14">
        <f t="shared" si="4"/>
        <v>-30</v>
      </c>
      <c r="F131" s="14">
        <f t="shared" si="5"/>
        <v>65</v>
      </c>
      <c r="G131" s="1"/>
      <c r="H131" s="1"/>
      <c r="I131" s="18" t="str">
        <f>IF(ISNUMBER(SEARCH("ANALOG",Table245[[#This Row],[Type]]))=TRUE,1,"")</f>
        <v/>
      </c>
      <c r="J131" s="18" t="str">
        <f>IF(ISNUMBER(SEARCH("BINARY",Table245[[#This Row],[Type]]))=TRUE,1,"")</f>
        <v/>
      </c>
      <c r="K131" s="7" t="str">
        <f>IF(Table245[[#This Row],[Type]]="","",LEFT(Table245[[#This Row],[Type]],1)&amp;LEFT($C$2,1))</f>
        <v/>
      </c>
      <c r="L131" s="1"/>
      <c r="M131" s="7" t="str">
        <f>IF(Table245[[#This Row],[A Counter]]=1,"AV"&amp;$C$3+SUM($I$10:I131),IF(Table245[[#This Row],[B Counter]]=1,"BV"&amp;$C$3+SUM($J$10:J131),""))</f>
        <v/>
      </c>
      <c r="N131" s="1"/>
    </row>
    <row r="132" spans="1:14" x14ac:dyDescent="0.25">
      <c r="A132">
        <f t="shared" si="1"/>
        <v>123</v>
      </c>
      <c r="B132" s="23"/>
      <c r="C132" s="1"/>
      <c r="D132" s="1"/>
      <c r="E132" s="14">
        <f t="shared" si="4"/>
        <v>-30</v>
      </c>
      <c r="F132" s="14">
        <f t="shared" si="5"/>
        <v>65</v>
      </c>
      <c r="G132" s="1"/>
      <c r="H132" s="1"/>
      <c r="I132" s="18" t="str">
        <f>IF(ISNUMBER(SEARCH("ANALOG",Table245[[#This Row],[Type]]))=TRUE,1,"")</f>
        <v/>
      </c>
      <c r="J132" s="18" t="str">
        <f>IF(ISNUMBER(SEARCH("BINARY",Table245[[#This Row],[Type]]))=TRUE,1,"")</f>
        <v/>
      </c>
      <c r="K132" s="7" t="str">
        <f>IF(Table245[[#This Row],[Type]]="","",LEFT(Table245[[#This Row],[Type]],1)&amp;LEFT($C$2,1))</f>
        <v/>
      </c>
      <c r="L132" s="1"/>
      <c r="M132" s="7" t="str">
        <f>IF(Table245[[#This Row],[A Counter]]=1,"AV"&amp;$C$3+SUM($I$10:I132),IF(Table245[[#This Row],[B Counter]]=1,"BV"&amp;$C$3+SUM($J$10:J132),""))</f>
        <v/>
      </c>
      <c r="N132" s="1"/>
    </row>
    <row r="133" spans="1:14" x14ac:dyDescent="0.25">
      <c r="A133">
        <f t="shared" si="1"/>
        <v>124</v>
      </c>
      <c r="B133" s="1" t="s">
        <v>769</v>
      </c>
      <c r="C133" s="1" t="s">
        <v>770</v>
      </c>
      <c r="D133" s="1" t="s">
        <v>103</v>
      </c>
      <c r="E133" s="14">
        <f t="shared" si="4"/>
        <v>-30</v>
      </c>
      <c r="F133" s="14">
        <f t="shared" si="5"/>
        <v>65</v>
      </c>
      <c r="G133" s="1"/>
      <c r="H133" s="3" t="s">
        <v>112</v>
      </c>
      <c r="I133" s="18" t="str">
        <f>IF(ISNUMBER(SEARCH("ANALOG",Table245[[#This Row],[Type]]))=TRUE,1,"")</f>
        <v/>
      </c>
      <c r="J133" s="18">
        <f>IF(ISNUMBER(SEARCH("BINARY",Table245[[#This Row],[Type]]))=TRUE,1,"")</f>
        <v>1</v>
      </c>
      <c r="K133" s="7" t="str">
        <f>IF(Table245[[#This Row],[Type]]="","",LEFT(Table245[[#This Row],[Type]],1)&amp;LEFT($C$2,1))</f>
        <v>BV</v>
      </c>
      <c r="L133" s="1"/>
      <c r="M133" s="7" t="str">
        <f>IF(Table245[[#This Row],[A Counter]]=1,"AV"&amp;$C$3+SUM($I$10:I133),IF(Table245[[#This Row],[B Counter]]=1,"BV"&amp;$C$3+SUM($J$10:J133),""))</f>
        <v>BV1614</v>
      </c>
      <c r="N133" s="1"/>
    </row>
    <row r="134" spans="1:14" x14ac:dyDescent="0.25">
      <c r="A134">
        <f t="shared" si="1"/>
        <v>125</v>
      </c>
      <c r="B134" s="1" t="s">
        <v>771</v>
      </c>
      <c r="C134" s="1" t="s">
        <v>772</v>
      </c>
      <c r="D134" s="1" t="s">
        <v>70</v>
      </c>
      <c r="E134" s="14">
        <f t="shared" si="4"/>
        <v>-30</v>
      </c>
      <c r="F134" s="14">
        <f t="shared" si="5"/>
        <v>65</v>
      </c>
      <c r="G134" s="1"/>
      <c r="H134" s="3" t="s">
        <v>80</v>
      </c>
      <c r="I134" s="18">
        <f>IF(ISNUMBER(SEARCH("ANALOG",Table245[[#This Row],[Type]]))=TRUE,1,"")</f>
        <v>1</v>
      </c>
      <c r="J134" s="18" t="str">
        <f>IF(ISNUMBER(SEARCH("BINARY",Table245[[#This Row],[Type]]))=TRUE,1,"")</f>
        <v/>
      </c>
      <c r="K134" s="7" t="str">
        <f>IF(Table245[[#This Row],[Type]]="","",LEFT(Table245[[#This Row],[Type]],1)&amp;LEFT($C$2,1))</f>
        <v>AV</v>
      </c>
      <c r="L134" s="1"/>
      <c r="M134" s="7" t="str">
        <f>IF(Table245[[#This Row],[A Counter]]=1,"AV"&amp;$C$3+SUM($I$10:I134),IF(Table245[[#This Row],[B Counter]]=1,"BV"&amp;$C$3+SUM($J$10:J134),""))</f>
        <v>AV1675</v>
      </c>
      <c r="N134" s="1"/>
    </row>
    <row r="135" spans="1:14" x14ac:dyDescent="0.25">
      <c r="A135">
        <f t="shared" si="1"/>
        <v>126</v>
      </c>
      <c r="B135" s="1" t="s">
        <v>773</v>
      </c>
      <c r="C135" s="1" t="s">
        <v>774</v>
      </c>
      <c r="D135" s="1" t="s">
        <v>70</v>
      </c>
      <c r="E135" s="14">
        <v>-22</v>
      </c>
      <c r="F135" s="14">
        <v>150</v>
      </c>
      <c r="G135" s="1"/>
      <c r="H135" s="3" t="s">
        <v>84</v>
      </c>
      <c r="I135" s="18">
        <f>IF(ISNUMBER(SEARCH("ANALOG",Table245[[#This Row],[Type]]))=TRUE,1,"")</f>
        <v>1</v>
      </c>
      <c r="J135" s="18" t="str">
        <f>IF(ISNUMBER(SEARCH("BINARY",Table245[[#This Row],[Type]]))=TRUE,1,"")</f>
        <v/>
      </c>
      <c r="K135" s="7" t="str">
        <f>IF(Table245[[#This Row],[Type]]="","",LEFT(Table245[[#This Row],[Type]],1)&amp;LEFT($C$2,1))</f>
        <v>AV</v>
      </c>
      <c r="L135" s="1"/>
      <c r="M135" s="7" t="str">
        <f>IF(Table245[[#This Row],[A Counter]]=1,"AV"&amp;$C$3+SUM($I$10:I135),IF(Table245[[#This Row],[B Counter]]=1,"BV"&amp;$C$3+SUM($J$10:J135),""))</f>
        <v>AV1676</v>
      </c>
      <c r="N135" s="1"/>
    </row>
    <row r="136" spans="1:14" x14ac:dyDescent="0.25">
      <c r="A136">
        <f t="shared" si="1"/>
        <v>127</v>
      </c>
      <c r="B136" s="1" t="s">
        <v>775</v>
      </c>
      <c r="C136" s="1" t="s">
        <v>776</v>
      </c>
      <c r="D136" s="1" t="s">
        <v>70</v>
      </c>
      <c r="E136" s="14">
        <v>-22</v>
      </c>
      <c r="F136" s="14">
        <v>150</v>
      </c>
      <c r="G136" s="1"/>
      <c r="H136" s="3" t="s">
        <v>84</v>
      </c>
      <c r="I136" s="18">
        <f>IF(ISNUMBER(SEARCH("ANALOG",Table245[[#This Row],[Type]]))=TRUE,1,"")</f>
        <v>1</v>
      </c>
      <c r="J136" s="18" t="str">
        <f>IF(ISNUMBER(SEARCH("BINARY",Table245[[#This Row],[Type]]))=TRUE,1,"")</f>
        <v/>
      </c>
      <c r="K136" s="7" t="str">
        <f>IF(Table245[[#This Row],[Type]]="","",LEFT(Table245[[#This Row],[Type]],1)&amp;LEFT($C$2,1))</f>
        <v>AV</v>
      </c>
      <c r="L136" s="1"/>
      <c r="M136" s="7" t="str">
        <f>IF(Table245[[#This Row],[A Counter]]=1,"AV"&amp;$C$3+SUM($I$10:I136),IF(Table245[[#This Row],[B Counter]]=1,"BV"&amp;$C$3+SUM($J$10:J136),""))</f>
        <v>AV1677</v>
      </c>
      <c r="N136" s="1"/>
    </row>
    <row r="137" spans="1:14" x14ac:dyDescent="0.25">
      <c r="A137">
        <f t="shared" si="1"/>
        <v>128</v>
      </c>
      <c r="B137" s="1" t="s">
        <v>777</v>
      </c>
      <c r="C137" s="1" t="s">
        <v>778</v>
      </c>
      <c r="D137" s="1" t="s">
        <v>70</v>
      </c>
      <c r="E137" s="14">
        <v>-22</v>
      </c>
      <c r="F137" s="14">
        <v>150</v>
      </c>
      <c r="G137" s="1"/>
      <c r="H137" s="3" t="s">
        <v>84</v>
      </c>
      <c r="I137" s="18">
        <f>IF(ISNUMBER(SEARCH("ANALOG",Table245[[#This Row],[Type]]))=TRUE,1,"")</f>
        <v>1</v>
      </c>
      <c r="J137" s="18" t="str">
        <f>IF(ISNUMBER(SEARCH("BINARY",Table245[[#This Row],[Type]]))=TRUE,1,"")</f>
        <v/>
      </c>
      <c r="K137" s="7" t="str">
        <f>IF(Table245[[#This Row],[Type]]="","",LEFT(Table245[[#This Row],[Type]],1)&amp;LEFT($C$2,1))</f>
        <v>AV</v>
      </c>
      <c r="L137" s="1"/>
      <c r="M137" s="7" t="str">
        <f>IF(Table245[[#This Row],[A Counter]]=1,"AV"&amp;$C$3+SUM($I$10:I137),IF(Table245[[#This Row],[B Counter]]=1,"BV"&amp;$C$3+SUM($J$10:J137),""))</f>
        <v>AV1678</v>
      </c>
      <c r="N137" s="1"/>
    </row>
    <row r="138" spans="1:14" x14ac:dyDescent="0.25">
      <c r="A138">
        <f t="shared" si="1"/>
        <v>129</v>
      </c>
      <c r="B138" s="1" t="s">
        <v>779</v>
      </c>
      <c r="C138" s="1" t="s">
        <v>780</v>
      </c>
      <c r="D138" s="1" t="s">
        <v>70</v>
      </c>
      <c r="E138" s="14">
        <v>32</v>
      </c>
      <c r="F138" s="14">
        <v>150</v>
      </c>
      <c r="G138" s="1"/>
      <c r="H138" s="3" t="s">
        <v>84</v>
      </c>
      <c r="I138" s="18">
        <f>IF(ISNUMBER(SEARCH("ANALOG",Table245[[#This Row],[Type]]))=TRUE,1,"")</f>
        <v>1</v>
      </c>
      <c r="J138" s="18" t="str">
        <f>IF(ISNUMBER(SEARCH("BINARY",Table245[[#This Row],[Type]]))=TRUE,1,"")</f>
        <v/>
      </c>
      <c r="K138" s="7" t="str">
        <f>IF(Table245[[#This Row],[Type]]="","",LEFT(Table245[[#This Row],[Type]],1)&amp;LEFT($C$2,1))</f>
        <v>AV</v>
      </c>
      <c r="L138" s="1"/>
      <c r="M138" s="7" t="str">
        <f>IF(Table245[[#This Row],[A Counter]]=1,"AV"&amp;$C$3+SUM($I$10:I138),IF(Table245[[#This Row],[B Counter]]=1,"BV"&amp;$C$3+SUM($J$10:J138),""))</f>
        <v>AV1679</v>
      </c>
      <c r="N138" s="1"/>
    </row>
    <row r="139" spans="1:14" x14ac:dyDescent="0.25">
      <c r="A139">
        <f t="shared" ref="A139:A147" si="6">A138+1</f>
        <v>130</v>
      </c>
      <c r="B139" s="1" t="s">
        <v>781</v>
      </c>
      <c r="C139" s="1" t="s">
        <v>782</v>
      </c>
      <c r="D139" s="1" t="s">
        <v>70</v>
      </c>
      <c r="E139" s="14">
        <v>32</v>
      </c>
      <c r="F139" s="14">
        <v>150</v>
      </c>
      <c r="G139" s="1"/>
      <c r="H139" s="3" t="s">
        <v>84</v>
      </c>
      <c r="I139" s="18">
        <f>IF(ISNUMBER(SEARCH("ANALOG",Table245[[#This Row],[Type]]))=TRUE,1,"")</f>
        <v>1</v>
      </c>
      <c r="J139" s="18" t="str">
        <f>IF(ISNUMBER(SEARCH("BINARY",Table245[[#This Row],[Type]]))=TRUE,1,"")</f>
        <v/>
      </c>
      <c r="K139" s="7" t="str">
        <f>IF(Table245[[#This Row],[Type]]="","",LEFT(Table245[[#This Row],[Type]],1)&amp;LEFT($C$2,1))</f>
        <v>AV</v>
      </c>
      <c r="L139" s="1"/>
      <c r="M139" s="7" t="str">
        <f>IF(Table245[[#This Row],[A Counter]]=1,"AV"&amp;$C$3+SUM($I$10:I139),IF(Table245[[#This Row],[B Counter]]=1,"BV"&amp;$C$3+SUM($J$10:J139),""))</f>
        <v>AV1680</v>
      </c>
      <c r="N139" s="1"/>
    </row>
    <row r="140" spans="1:14" x14ac:dyDescent="0.25">
      <c r="A140">
        <f t="shared" si="6"/>
        <v>131</v>
      </c>
      <c r="B140" s="1" t="s">
        <v>783</v>
      </c>
      <c r="C140" s="1" t="s">
        <v>784</v>
      </c>
      <c r="D140" s="1" t="s">
        <v>70</v>
      </c>
      <c r="E140" s="14">
        <v>32</v>
      </c>
      <c r="F140" s="14">
        <v>150</v>
      </c>
      <c r="G140" s="1"/>
      <c r="H140" s="3" t="s">
        <v>84</v>
      </c>
      <c r="I140" s="18">
        <f>IF(ISNUMBER(SEARCH("ANALOG",Table245[[#This Row],[Type]]))=TRUE,1,"")</f>
        <v>1</v>
      </c>
      <c r="J140" s="18" t="str">
        <f>IF(ISNUMBER(SEARCH("BINARY",Table245[[#This Row],[Type]]))=TRUE,1,"")</f>
        <v/>
      </c>
      <c r="K140" s="7" t="str">
        <f>IF(Table245[[#This Row],[Type]]="","",LEFT(Table245[[#This Row],[Type]],1)&amp;LEFT($C$2,1))</f>
        <v>AV</v>
      </c>
      <c r="L140" s="1"/>
      <c r="M140" s="7" t="str">
        <f>IF(Table245[[#This Row],[A Counter]]=1,"AV"&amp;$C$3+SUM($I$10:I140),IF(Table245[[#This Row],[B Counter]]=1,"BV"&amp;$C$3+SUM($J$10:J140),""))</f>
        <v>AV1681</v>
      </c>
      <c r="N140" s="1"/>
    </row>
    <row r="141" spans="1:14" x14ac:dyDescent="0.25">
      <c r="A141">
        <f t="shared" si="6"/>
        <v>132</v>
      </c>
      <c r="B141" s="1" t="s">
        <v>785</v>
      </c>
      <c r="C141" s="1" t="s">
        <v>786</v>
      </c>
      <c r="D141" s="1" t="s">
        <v>70</v>
      </c>
      <c r="E141" s="14">
        <v>32</v>
      </c>
      <c r="F141" s="14">
        <v>150</v>
      </c>
      <c r="G141" s="1"/>
      <c r="H141" s="3" t="s">
        <v>84</v>
      </c>
      <c r="I141" s="18">
        <f>IF(ISNUMBER(SEARCH("ANALOG",Table245[[#This Row],[Type]]))=TRUE,1,"")</f>
        <v>1</v>
      </c>
      <c r="J141" s="18" t="str">
        <f>IF(ISNUMBER(SEARCH("BINARY",Table245[[#This Row],[Type]]))=TRUE,1,"")</f>
        <v/>
      </c>
      <c r="K141" s="7" t="str">
        <f>IF(Table245[[#This Row],[Type]]="","",LEFT(Table245[[#This Row],[Type]],1)&amp;LEFT($C$2,1))</f>
        <v>AV</v>
      </c>
      <c r="L141" s="1"/>
      <c r="M141" s="7" t="str">
        <f>IF(Table245[[#This Row],[A Counter]]=1,"AV"&amp;$C$3+SUM($I$10:I141),IF(Table245[[#This Row],[B Counter]]=1,"BV"&amp;$C$3+SUM($J$10:J141),""))</f>
        <v>AV1682</v>
      </c>
      <c r="N141" s="1"/>
    </row>
    <row r="142" spans="1:14" x14ac:dyDescent="0.25">
      <c r="A142">
        <f t="shared" si="6"/>
        <v>133</v>
      </c>
      <c r="B142" s="23" t="s">
        <v>787</v>
      </c>
      <c r="C142" s="1" t="s">
        <v>788</v>
      </c>
      <c r="D142" s="1" t="s">
        <v>70</v>
      </c>
      <c r="E142" s="14">
        <f t="shared" ref="E142:E147" si="7">(-22-32)/1.8</f>
        <v>-30</v>
      </c>
      <c r="F142" s="14">
        <f t="shared" ref="F142:F147" si="8">(149-32)/1.8</f>
        <v>65</v>
      </c>
      <c r="G142" s="1" t="s">
        <v>639</v>
      </c>
      <c r="H142" s="1" t="s">
        <v>640</v>
      </c>
      <c r="I142" s="18">
        <f>IF(ISNUMBER(SEARCH("ANALOG",Table245[[#This Row],[Type]]))=TRUE,1,"")</f>
        <v>1</v>
      </c>
      <c r="J142" s="18" t="str">
        <f>IF(ISNUMBER(SEARCH("BINARY",Table245[[#This Row],[Type]]))=TRUE,1,"")</f>
        <v/>
      </c>
      <c r="K142" s="7" t="str">
        <f>IF(Table245[[#This Row],[Type]]="","",LEFT(Table245[[#This Row],[Type]],1)&amp;LEFT($C$2,1))</f>
        <v>AV</v>
      </c>
      <c r="L142" s="1"/>
      <c r="M142" s="7" t="str">
        <f>IF(Table245[[#This Row],[A Counter]]=1,"AV"&amp;$C$3+SUM($I$10:I142),IF(Table245[[#This Row],[B Counter]]=1,"BV"&amp;$C$3+SUM($J$10:J142),""))</f>
        <v>AV1683</v>
      </c>
      <c r="N142" s="1"/>
    </row>
    <row r="143" spans="1:14" x14ac:dyDescent="0.25">
      <c r="A143">
        <f t="shared" si="6"/>
        <v>134</v>
      </c>
      <c r="B143" s="23" t="s">
        <v>789</v>
      </c>
      <c r="C143" s="1" t="s">
        <v>790</v>
      </c>
      <c r="D143" s="1" t="s">
        <v>70</v>
      </c>
      <c r="E143" s="14">
        <f t="shared" si="7"/>
        <v>-30</v>
      </c>
      <c r="F143" s="14">
        <f t="shared" si="8"/>
        <v>65</v>
      </c>
      <c r="G143" s="1" t="s">
        <v>639</v>
      </c>
      <c r="H143" s="1" t="s">
        <v>640</v>
      </c>
      <c r="I143" s="18">
        <f>IF(ISNUMBER(SEARCH("ANALOG",Table245[[#This Row],[Type]]))=TRUE,1,"")</f>
        <v>1</v>
      </c>
      <c r="J143" s="18" t="str">
        <f>IF(ISNUMBER(SEARCH("BINARY",Table245[[#This Row],[Type]]))=TRUE,1,"")</f>
        <v/>
      </c>
      <c r="K143" s="7" t="str">
        <f>IF(Table245[[#This Row],[Type]]="","",LEFT(Table245[[#This Row],[Type]],1)&amp;LEFT($C$2,1))</f>
        <v>AV</v>
      </c>
      <c r="L143" s="1"/>
      <c r="M143" s="7" t="str">
        <f>IF(Table245[[#This Row],[A Counter]]=1,"AV"&amp;$C$3+SUM($I$10:I143),IF(Table245[[#This Row],[B Counter]]=1,"BV"&amp;$C$3+SUM($J$10:J143),""))</f>
        <v>AV1684</v>
      </c>
      <c r="N143" s="1"/>
    </row>
    <row r="144" spans="1:14" x14ac:dyDescent="0.25">
      <c r="A144">
        <f t="shared" si="6"/>
        <v>135</v>
      </c>
      <c r="B144" s="23" t="s">
        <v>791</v>
      </c>
      <c r="C144" s="1" t="s">
        <v>792</v>
      </c>
      <c r="D144" s="1" t="s">
        <v>70</v>
      </c>
      <c r="E144" s="14">
        <f t="shared" si="7"/>
        <v>-30</v>
      </c>
      <c r="F144" s="14">
        <f t="shared" si="8"/>
        <v>65</v>
      </c>
      <c r="G144" s="1" t="s">
        <v>639</v>
      </c>
      <c r="H144" s="1" t="s">
        <v>640</v>
      </c>
      <c r="I144" s="18">
        <f>IF(ISNUMBER(SEARCH("ANALOG",Table245[[#This Row],[Type]]))=TRUE,1,"")</f>
        <v>1</v>
      </c>
      <c r="J144" s="18" t="str">
        <f>IF(ISNUMBER(SEARCH("BINARY",Table245[[#This Row],[Type]]))=TRUE,1,"")</f>
        <v/>
      </c>
      <c r="K144" s="7" t="str">
        <f>IF(Table245[[#This Row],[Type]]="","",LEFT(Table245[[#This Row],[Type]],1)&amp;LEFT($C$2,1))</f>
        <v>AV</v>
      </c>
      <c r="L144" s="1"/>
      <c r="M144" s="7" t="str">
        <f>IF(Table245[[#This Row],[A Counter]]=1,"AV"&amp;$C$3+SUM($I$10:I144),IF(Table245[[#This Row],[B Counter]]=1,"BV"&amp;$C$3+SUM($J$10:J144),""))</f>
        <v>AV1685</v>
      </c>
      <c r="N144" s="1"/>
    </row>
    <row r="145" spans="1:14" x14ac:dyDescent="0.25">
      <c r="A145">
        <f t="shared" si="6"/>
        <v>136</v>
      </c>
      <c r="B145" s="11" t="s">
        <v>793</v>
      </c>
      <c r="C145" s="11" t="s">
        <v>794</v>
      </c>
      <c r="D145" s="11" t="s">
        <v>70</v>
      </c>
      <c r="E145" s="14">
        <f t="shared" si="7"/>
        <v>-30</v>
      </c>
      <c r="F145" s="14">
        <f t="shared" si="8"/>
        <v>65</v>
      </c>
      <c r="G145" s="11" t="s">
        <v>639</v>
      </c>
      <c r="H145" s="11" t="s">
        <v>640</v>
      </c>
      <c r="I145" s="18">
        <f>IF(ISNUMBER(SEARCH("ANALOG",Table245[[#This Row],[Type]]))=TRUE,1,"")</f>
        <v>1</v>
      </c>
      <c r="J145" s="18" t="str">
        <f>IF(ISNUMBER(SEARCH("BINARY",Table245[[#This Row],[Type]]))=TRUE,1,"")</f>
        <v/>
      </c>
      <c r="K145" s="7" t="str">
        <f>IF(Table245[[#This Row],[Type]]="","",LEFT(Table245[[#This Row],[Type]],1)&amp;LEFT($C$2,1))</f>
        <v>AV</v>
      </c>
      <c r="L145" s="1"/>
      <c r="M145" s="7" t="str">
        <f>IF(Table245[[#This Row],[A Counter]]=1,"AV"&amp;$C$3+SUM($I$10:I145),IF(Table245[[#This Row],[B Counter]]=1,"BV"&amp;$C$3+SUM($J$10:J145),""))</f>
        <v>AV1686</v>
      </c>
      <c r="N145" s="1"/>
    </row>
    <row r="146" spans="1:14" x14ac:dyDescent="0.25">
      <c r="A146">
        <f t="shared" si="6"/>
        <v>137</v>
      </c>
      <c r="B146" s="1" t="s">
        <v>795</v>
      </c>
      <c r="C146" s="1" t="s">
        <v>796</v>
      </c>
      <c r="D146" s="1" t="s">
        <v>70</v>
      </c>
      <c r="E146" s="14">
        <f t="shared" si="7"/>
        <v>-30</v>
      </c>
      <c r="F146" s="14">
        <f t="shared" si="8"/>
        <v>65</v>
      </c>
      <c r="G146" s="1">
        <v>120</v>
      </c>
      <c r="H146" s="1" t="s">
        <v>649</v>
      </c>
      <c r="I146" s="18">
        <f>IF(ISNUMBER(SEARCH("ANALOG",Table245[[#This Row],[Type]]))=TRUE,1,"")</f>
        <v>1</v>
      </c>
      <c r="J146" s="18" t="str">
        <f>IF(ISNUMBER(SEARCH("BINARY",Table245[[#This Row],[Type]]))=TRUE,1,"")</f>
        <v/>
      </c>
      <c r="K146" s="7" t="str">
        <f>IF(Table245[[#This Row],[Type]]="","",LEFT(Table245[[#This Row],[Type]],1)&amp;LEFT($C$2,1))</f>
        <v>AV</v>
      </c>
      <c r="L146" s="1"/>
      <c r="M146" s="7" t="str">
        <f>IF(Table245[[#This Row],[A Counter]]=1,"AV"&amp;$C$3+SUM($I$10:I147),IF(Table245[[#This Row],[B Counter]]=1,"BV"&amp;$C$3+SUM($J$10:J147),""))</f>
        <v>AV1687</v>
      </c>
      <c r="N146" s="1"/>
    </row>
    <row r="147" spans="1:14" x14ac:dyDescent="0.25">
      <c r="A147">
        <f t="shared" si="6"/>
        <v>138</v>
      </c>
      <c r="B147" s="1" t="s">
        <v>680</v>
      </c>
      <c r="C147" s="1" t="s">
        <v>797</v>
      </c>
      <c r="D147" s="1" t="s">
        <v>103</v>
      </c>
      <c r="E147" s="14">
        <f t="shared" si="7"/>
        <v>-30</v>
      </c>
      <c r="F147" s="14">
        <f t="shared" si="8"/>
        <v>65</v>
      </c>
      <c r="G147" s="1"/>
      <c r="H147" s="1"/>
      <c r="I147" s="1" t="str">
        <f>IF(ISNUMBER(SEARCH("ANALOG",Table245[[#This Row],[Type]]))=TRUE,1,"")</f>
        <v/>
      </c>
      <c r="J147" s="1">
        <f>IF(ISNUMBER(SEARCH("BINARY",Table245[[#This Row],[Type]]))=TRUE,1,"")</f>
        <v>1</v>
      </c>
      <c r="K147" t="str">
        <f>IF(Table245[[#This Row],[Type]]="","",LEFT(Table245[[#This Row],[Type]],1)&amp;LEFT($C$2,1))</f>
        <v>BV</v>
      </c>
      <c r="L147" s="1"/>
      <c r="M147" t="str">
        <f>IF(Table245[[#This Row],[A Counter]]=1,"AV"&amp;$C$3+SUM($I$10:I147),IF(Table245[[#This Row],[B Counter]]=1,"BV"&amp;$C$3+SUM($J$10:J147),""))</f>
        <v>BV1615</v>
      </c>
      <c r="N147" s="1"/>
    </row>
  </sheetData>
  <mergeCells count="6">
    <mergeCell ref="A2:B2"/>
    <mergeCell ref="A3:B3"/>
    <mergeCell ref="D2:O2"/>
    <mergeCell ref="D3:O3"/>
    <mergeCell ref="A4:B4"/>
    <mergeCell ref="D4:O4"/>
  </mergeCells>
  <phoneticPr fontId="4" type="noConversion"/>
  <dataValidations count="6">
    <dataValidation type="list" allowBlank="1" showInputMessage="1" showErrorMessage="1" sqref="C2" xr:uid="{210D1F59-1BAD-43CC-84FC-CE91F5E77BCB}">
      <formula1>"Input, Output, Variable, Alarm, Trem, Schedule"</formula1>
    </dataValidation>
    <dataValidation type="list" allowBlank="1" showInputMessage="1" showErrorMessage="1" sqref="D10:D13 D39:E43 D44 D30:D42 D21:E26 D19:D20 D50:D65 D62:E66 D67:D85 D82:E92 D93:D105 D102:E112 D113:D125 D122:E132 D142:E468 D133:D145" xr:uid="{C5FD99C2-3D8C-4C05-BD3D-A4D809266A2B}">
      <formula1>Type</formula1>
    </dataValidation>
    <dataValidation type="list" allowBlank="1" showInputMessage="1" showErrorMessage="1" sqref="L10:L12 L30:L43 L19:L26 L50:L66 L68:L468" xr:uid="{BA1C2C64-9D90-41A3-9E59-19A4FFE440BD}">
      <formula1>BacNetStatus</formula1>
    </dataValidation>
    <dataValidation type="list" allowBlank="1" showInputMessage="1" showErrorMessage="1" sqref="H30:H43 H10:H13 H19:H26 H50:H66 H68:H468" xr:uid="{CA605E05-30AB-4F34-B086-E4628C0B2DCF}">
      <formula1>Units</formula1>
    </dataValidation>
    <dataValidation type="list" allowBlank="1" showInputMessage="1" showErrorMessage="1" sqref="F23:F26 F43 F66 F86 F106:F107 F126:F127 F146:F468" xr:uid="{FCA58239-5258-4805-A124-660C3DCFB1BC}">
      <formula1>"Direct, Comm"</formula1>
    </dataValidation>
    <dataValidation type="list" allowBlank="1" showInputMessage="1" showErrorMessage="1" sqref="N30:N468" xr:uid="{62CAF23A-1E7A-412E-9D99-4878CFDEA8BE}">
      <formula1>Visibility</formula1>
    </dataValidation>
  </dataValidations>
  <pageMargins left="0.25" right="0.25" top="0.75" bottom="0.75" header="0.3" footer="0.3"/>
  <pageSetup paperSize="5" scale="72" orientation="portrait" r:id="rId1"/>
  <colBreaks count="1" manualBreakCount="1">
    <brk id="13" max="155" man="1"/>
  </colBreak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F301C5-6F5B-4E59-92FF-8D96B9B2320A}">
          <x14:formula1>
            <xm:f>Tables!$D$1:$D$5</xm:f>
          </x14:formula1>
          <xm:sqref>O10:O147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29894-86B6-441C-83A7-4F4EB470EAAD}">
  <sheetPr codeName="Sheet5"/>
  <dimension ref="A1:H85"/>
  <sheetViews>
    <sheetView topLeftCell="A68" zoomScale="130" zoomScaleNormal="130" zoomScaleSheetLayoutView="115" workbookViewId="0">
      <selection activeCell="B13" sqref="B13"/>
    </sheetView>
  </sheetViews>
  <sheetFormatPr defaultColWidth="9.140625" defaultRowHeight="15" x14ac:dyDescent="0.25"/>
  <cols>
    <col min="1" max="1" width="17.7109375" bestFit="1" customWidth="1"/>
    <col min="2" max="2" width="60" customWidth="1"/>
    <col min="3" max="3" width="18.7109375" customWidth="1"/>
    <col min="4" max="4" width="11" customWidth="1"/>
    <col min="5" max="5" width="6.28515625" bestFit="1" customWidth="1"/>
    <col min="6" max="6" width="7.140625" bestFit="1" customWidth="1"/>
    <col min="7" max="7" width="12" customWidth="1"/>
  </cols>
  <sheetData>
    <row r="1" spans="1:8" ht="67.5" customHeight="1" x14ac:dyDescent="0.25"/>
    <row r="2" spans="1:8" x14ac:dyDescent="0.25">
      <c r="A2" s="189" t="s">
        <v>42</v>
      </c>
      <c r="B2" s="189"/>
      <c r="C2" s="1" t="s">
        <v>497</v>
      </c>
      <c r="E2" s="192"/>
      <c r="F2" s="192"/>
      <c r="G2" s="192"/>
      <c r="H2" s="192"/>
    </row>
    <row r="3" spans="1:8" x14ac:dyDescent="0.25">
      <c r="A3" s="17"/>
      <c r="B3" s="17" t="s">
        <v>43</v>
      </c>
      <c r="C3" s="2">
        <v>1700</v>
      </c>
      <c r="E3" s="191"/>
      <c r="F3" s="191"/>
      <c r="G3" s="191"/>
      <c r="H3" s="191"/>
    </row>
    <row r="4" spans="1:8" ht="42.75" customHeight="1" x14ac:dyDescent="0.25">
      <c r="A4" s="189" t="s">
        <v>484</v>
      </c>
      <c r="B4" s="189"/>
      <c r="C4" s="2"/>
      <c r="E4" s="191"/>
      <c r="F4" s="191"/>
      <c r="G4" s="191"/>
      <c r="H4" s="191"/>
    </row>
    <row r="5" spans="1:8" ht="29.25" customHeight="1" x14ac:dyDescent="0.25">
      <c r="A5" s="189"/>
      <c r="B5" s="189"/>
      <c r="C5" s="1"/>
      <c r="E5" s="191"/>
      <c r="F5" s="191"/>
      <c r="G5" s="191"/>
      <c r="H5" s="191"/>
    </row>
    <row r="6" spans="1:8" ht="28.5" customHeight="1" x14ac:dyDescent="0.25">
      <c r="A6" s="189"/>
      <c r="B6" s="189"/>
      <c r="C6" s="1"/>
      <c r="E6" s="191"/>
      <c r="F6" s="191"/>
      <c r="G6" s="191"/>
      <c r="H6" s="191"/>
    </row>
    <row r="7" spans="1:8" ht="29.25" customHeight="1" x14ac:dyDescent="0.25">
      <c r="A7" s="189"/>
      <c r="B7" s="189"/>
      <c r="C7" s="1"/>
      <c r="E7" s="191"/>
      <c r="F7" s="191"/>
      <c r="G7" s="191"/>
      <c r="H7" s="191"/>
    </row>
    <row r="8" spans="1:8" hidden="1" x14ac:dyDescent="0.25"/>
    <row r="9" spans="1:8" hidden="1" x14ac:dyDescent="0.25"/>
    <row r="10" spans="1:8" ht="7.5" hidden="1" customHeight="1" x14ac:dyDescent="0.25"/>
    <row r="11" spans="1:8" ht="53.25" customHeight="1" x14ac:dyDescent="0.25">
      <c r="A11" s="4" t="s">
        <v>44</v>
      </c>
      <c r="B11" s="4" t="s">
        <v>48</v>
      </c>
      <c r="C11" s="5" t="s">
        <v>49</v>
      </c>
      <c r="D11" s="4" t="s">
        <v>51</v>
      </c>
      <c r="E11" s="4" t="s">
        <v>53</v>
      </c>
      <c r="F11" s="4" t="s">
        <v>56</v>
      </c>
      <c r="G11" s="4" t="s">
        <v>61</v>
      </c>
      <c r="H11" s="4" t="s">
        <v>798</v>
      </c>
    </row>
    <row r="12" spans="1:8" ht="53.25" customHeight="1" x14ac:dyDescent="0.25">
      <c r="A12" t="s">
        <v>44</v>
      </c>
      <c r="B12" t="s">
        <v>48</v>
      </c>
      <c r="C12" t="s">
        <v>49</v>
      </c>
      <c r="D12" t="s">
        <v>51</v>
      </c>
      <c r="E12" s="7" t="s">
        <v>56</v>
      </c>
      <c r="F12" s="7" t="s">
        <v>57</v>
      </c>
      <c r="G12" s="7" t="s">
        <v>62</v>
      </c>
      <c r="H12" s="9" t="s">
        <v>798</v>
      </c>
    </row>
    <row r="13" spans="1:8" ht="15" customHeight="1" x14ac:dyDescent="0.25">
      <c r="A13">
        <v>1</v>
      </c>
      <c r="B13" s="1" t="s">
        <v>799</v>
      </c>
      <c r="C13" s="1" t="s">
        <v>800</v>
      </c>
      <c r="D13" s="1" t="s">
        <v>497</v>
      </c>
      <c r="E13" s="3" t="s">
        <v>102</v>
      </c>
      <c r="F13" s="18">
        <f>IF(ISNUMBER(SEARCH($C$2,Table2453[[#This Row],[Type]]))=TRUE,1,"")</f>
        <v>1</v>
      </c>
      <c r="G13" s="7" t="str">
        <f>"BV"&amp;$C$3+SUM($F$13:F13)</f>
        <v>BV1701</v>
      </c>
    </row>
    <row r="14" spans="1:8" x14ac:dyDescent="0.25">
      <c r="A14">
        <f>A13+1</f>
        <v>2</v>
      </c>
      <c r="B14" s="1" t="s">
        <v>801</v>
      </c>
      <c r="C14" s="1" t="s">
        <v>802</v>
      </c>
      <c r="D14" s="1" t="s">
        <v>497</v>
      </c>
      <c r="E14" s="3" t="s">
        <v>102</v>
      </c>
      <c r="F14" s="1">
        <f>IF(ISNUMBER(SEARCH($C$2,Table2453[[#This Row],[Type]]))=TRUE,1,"")</f>
        <v>1</v>
      </c>
      <c r="G14" s="7" t="str">
        <f>"BV"&amp;$C$3+SUM($F$13:F14)</f>
        <v>BV1702</v>
      </c>
    </row>
    <row r="15" spans="1:8" ht="15" customHeight="1" x14ac:dyDescent="0.25">
      <c r="A15">
        <f t="shared" ref="A15:A26" si="0">A14+1</f>
        <v>3</v>
      </c>
      <c r="B15" s="1" t="s">
        <v>803</v>
      </c>
      <c r="C15" s="1" t="s">
        <v>804</v>
      </c>
      <c r="D15" s="1" t="s">
        <v>497</v>
      </c>
      <c r="E15" s="3" t="s">
        <v>102</v>
      </c>
      <c r="F15" s="1">
        <f>IF(ISNUMBER(SEARCH($C$2,Table2453[[#This Row],[Type]]))=TRUE,1,"")</f>
        <v>1</v>
      </c>
      <c r="G15" s="7" t="str">
        <f>"BV"&amp;$C$3+SUM($F$13:F15)</f>
        <v>BV1703</v>
      </c>
    </row>
    <row r="16" spans="1:8" x14ac:dyDescent="0.25">
      <c r="A16">
        <f t="shared" si="0"/>
        <v>4</v>
      </c>
      <c r="B16" s="1" t="s">
        <v>805</v>
      </c>
      <c r="C16" s="1" t="s">
        <v>806</v>
      </c>
      <c r="D16" s="1" t="s">
        <v>497</v>
      </c>
      <c r="E16" s="3" t="s">
        <v>102</v>
      </c>
      <c r="F16" s="1">
        <f>IF(ISNUMBER(SEARCH($C$2,Table2453[[#This Row],[Type]]))=TRUE,1,"")</f>
        <v>1</v>
      </c>
      <c r="G16" s="7" t="str">
        <f>"BV"&amp;$C$3+SUM($F$13:F16)</f>
        <v>BV1704</v>
      </c>
    </row>
    <row r="17" spans="1:7" x14ac:dyDescent="0.25">
      <c r="A17">
        <f t="shared" si="0"/>
        <v>5</v>
      </c>
      <c r="B17" s="1" t="s">
        <v>807</v>
      </c>
      <c r="C17" s="1" t="s">
        <v>808</v>
      </c>
      <c r="D17" s="1" t="s">
        <v>497</v>
      </c>
      <c r="E17" s="3" t="s">
        <v>102</v>
      </c>
      <c r="F17" s="1">
        <f>IF(ISNUMBER(SEARCH($C$2,Table2453[[#This Row],[Type]]))=TRUE,1,"")</f>
        <v>1</v>
      </c>
      <c r="G17" s="7" t="str">
        <f>"BV"&amp;$C$3+SUM($F$13:F17)</f>
        <v>BV1705</v>
      </c>
    </row>
    <row r="18" spans="1:7" x14ac:dyDescent="0.25">
      <c r="A18">
        <f t="shared" si="0"/>
        <v>6</v>
      </c>
      <c r="B18" s="1" t="s">
        <v>809</v>
      </c>
      <c r="C18" s="1" t="s">
        <v>810</v>
      </c>
      <c r="D18" s="1" t="s">
        <v>497</v>
      </c>
      <c r="E18" s="3" t="s">
        <v>102</v>
      </c>
      <c r="F18" s="1">
        <f>IF(ISNUMBER(SEARCH($C$2,Table2453[[#This Row],[Type]]))=TRUE,1,"")</f>
        <v>1</v>
      </c>
      <c r="G18" s="7" t="str">
        <f>"BV"&amp;$C$3+SUM($F$13:F18)</f>
        <v>BV1706</v>
      </c>
    </row>
    <row r="19" spans="1:7" x14ac:dyDescent="0.25">
      <c r="A19">
        <f t="shared" si="0"/>
        <v>7</v>
      </c>
      <c r="B19" s="1" t="s">
        <v>811</v>
      </c>
      <c r="C19" s="1" t="s">
        <v>812</v>
      </c>
      <c r="D19" s="1" t="s">
        <v>497</v>
      </c>
      <c r="E19" s="3" t="s">
        <v>102</v>
      </c>
      <c r="F19" s="1">
        <f>IF(ISNUMBER(SEARCH($C$2,Table2453[[#This Row],[Type]]))=TRUE,1,"")</f>
        <v>1</v>
      </c>
      <c r="G19" s="7" t="str">
        <f>"BV"&amp;$C$3+SUM($F$13:F19)</f>
        <v>BV1707</v>
      </c>
    </row>
    <row r="20" spans="1:7" ht="15" customHeight="1" x14ac:dyDescent="0.25">
      <c r="A20">
        <f t="shared" si="0"/>
        <v>8</v>
      </c>
      <c r="B20" s="1" t="s">
        <v>813</v>
      </c>
      <c r="C20" s="1" t="s">
        <v>814</v>
      </c>
      <c r="D20" s="1" t="s">
        <v>497</v>
      </c>
      <c r="E20" s="3" t="s">
        <v>102</v>
      </c>
      <c r="F20" s="1">
        <f>IF(ISNUMBER(SEARCH($C$2,Table2453[[#This Row],[Type]]))=TRUE,1,"")</f>
        <v>1</v>
      </c>
      <c r="G20" s="7" t="str">
        <f>"BV"&amp;$C$3+SUM($F$13:F20)</f>
        <v>BV1708</v>
      </c>
    </row>
    <row r="21" spans="1:7" x14ac:dyDescent="0.25">
      <c r="A21">
        <f t="shared" si="0"/>
        <v>9</v>
      </c>
      <c r="B21" s="1" t="s">
        <v>809</v>
      </c>
      <c r="C21" s="1" t="s">
        <v>810</v>
      </c>
      <c r="D21" s="1" t="s">
        <v>497</v>
      </c>
      <c r="E21" s="3" t="s">
        <v>102</v>
      </c>
      <c r="F21" s="1">
        <f>IF(ISNUMBER(SEARCH($C$2,Table2453[[#This Row],[Type]]))=TRUE,1,"")</f>
        <v>1</v>
      </c>
      <c r="G21" s="7" t="str">
        <f>"BV"&amp;$C$3+SUM($F$13:F21)</f>
        <v>BV1709</v>
      </c>
    </row>
    <row r="22" spans="1:7" x14ac:dyDescent="0.25">
      <c r="A22">
        <f t="shared" si="0"/>
        <v>10</v>
      </c>
      <c r="B22" s="1" t="s">
        <v>815</v>
      </c>
      <c r="C22" s="1" t="s">
        <v>816</v>
      </c>
      <c r="D22" s="1" t="s">
        <v>497</v>
      </c>
      <c r="E22" s="3" t="s">
        <v>102</v>
      </c>
      <c r="F22" s="1">
        <f>IF(ISNUMBER(SEARCH($C$2,Table2453[[#This Row],[Type]]))=TRUE,1,"")</f>
        <v>1</v>
      </c>
      <c r="G22" s="7" t="str">
        <f>"BV"&amp;$C$3+SUM($F$13:F22)</f>
        <v>BV1710</v>
      </c>
    </row>
    <row r="23" spans="1:7" x14ac:dyDescent="0.25">
      <c r="A23">
        <f t="shared" si="0"/>
        <v>11</v>
      </c>
      <c r="B23" s="1" t="s">
        <v>817</v>
      </c>
      <c r="C23" s="1" t="s">
        <v>818</v>
      </c>
      <c r="D23" s="1" t="s">
        <v>497</v>
      </c>
      <c r="E23" s="3" t="s">
        <v>102</v>
      </c>
      <c r="F23" s="1">
        <f>IF(ISNUMBER(SEARCH($C$2,Table2453[[#This Row],[Type]]))=TRUE,1,"")</f>
        <v>1</v>
      </c>
      <c r="G23" s="7" t="str">
        <f>"BV"&amp;$C$3+SUM($F$13:F23)</f>
        <v>BV1711</v>
      </c>
    </row>
    <row r="24" spans="1:7" x14ac:dyDescent="0.25">
      <c r="A24">
        <f t="shared" si="0"/>
        <v>12</v>
      </c>
      <c r="B24" s="1" t="s">
        <v>819</v>
      </c>
      <c r="C24" s="1" t="s">
        <v>820</v>
      </c>
      <c r="D24" s="1" t="s">
        <v>497</v>
      </c>
      <c r="E24" s="3" t="s">
        <v>102</v>
      </c>
      <c r="F24" s="1">
        <f>IF(ISNUMBER(SEARCH($C$2,Table2453[[#This Row],[Type]]))=TRUE,1,"")</f>
        <v>1</v>
      </c>
      <c r="G24" s="7" t="str">
        <f>"BV"&amp;$C$3+SUM($F$13:F24)</f>
        <v>BV1712</v>
      </c>
    </row>
    <row r="25" spans="1:7" x14ac:dyDescent="0.25">
      <c r="A25">
        <f t="shared" si="0"/>
        <v>13</v>
      </c>
      <c r="B25" s="1" t="s">
        <v>821</v>
      </c>
      <c r="C25" s="1" t="s">
        <v>822</v>
      </c>
      <c r="D25" s="1" t="s">
        <v>497</v>
      </c>
      <c r="E25" s="3" t="s">
        <v>102</v>
      </c>
      <c r="F25" s="1">
        <f>IF(ISNUMBER(SEARCH($C$2,Table2453[[#This Row],[Type]]))=TRUE,1,"")</f>
        <v>1</v>
      </c>
      <c r="G25" s="7" t="str">
        <f>"BV"&amp;$C$3+SUM($F$13:F25)</f>
        <v>BV1713</v>
      </c>
    </row>
    <row r="26" spans="1:7" x14ac:dyDescent="0.25">
      <c r="A26">
        <f t="shared" si="0"/>
        <v>14</v>
      </c>
      <c r="B26" s="1" t="s">
        <v>823</v>
      </c>
      <c r="C26" s="1" t="s">
        <v>824</v>
      </c>
      <c r="D26" s="1" t="s">
        <v>497</v>
      </c>
      <c r="E26" s="3" t="s">
        <v>102</v>
      </c>
      <c r="F26" s="1">
        <f>IF(ISNUMBER(SEARCH($C$2,Table2453[[#This Row],[Type]]))=TRUE,1,"")</f>
        <v>1</v>
      </c>
      <c r="G26" s="7" t="str">
        <f>"BV"&amp;$C$3+SUM($F$13:F26)</f>
        <v>BV1714</v>
      </c>
    </row>
    <row r="27" spans="1:7" x14ac:dyDescent="0.25">
      <c r="A27">
        <f t="shared" ref="A27:A85" si="1">A26+1</f>
        <v>15</v>
      </c>
      <c r="B27" s="1" t="s">
        <v>825</v>
      </c>
      <c r="C27" s="1" t="s">
        <v>826</v>
      </c>
      <c r="D27" s="1" t="s">
        <v>497</v>
      </c>
      <c r="E27" s="3" t="s">
        <v>102</v>
      </c>
      <c r="F27" s="1">
        <f>IF(ISNUMBER(SEARCH($C$2,Table2453[[#This Row],[Type]]))=TRUE,1,"")</f>
        <v>1</v>
      </c>
      <c r="G27" s="7" t="str">
        <f>"BV"&amp;$C$3+SUM($F$13:F27)</f>
        <v>BV1715</v>
      </c>
    </row>
    <row r="28" spans="1:7" x14ac:dyDescent="0.25">
      <c r="A28">
        <f t="shared" si="1"/>
        <v>16</v>
      </c>
      <c r="B28" s="1" t="s">
        <v>827</v>
      </c>
      <c r="C28" s="1" t="s">
        <v>828</v>
      </c>
      <c r="D28" s="1" t="s">
        <v>497</v>
      </c>
      <c r="E28" s="3" t="s">
        <v>102</v>
      </c>
      <c r="F28" s="1">
        <f>IF(ISNUMBER(SEARCH($C$2,Table2453[[#This Row],[Type]]))=TRUE,1,"")</f>
        <v>1</v>
      </c>
      <c r="G28" s="7" t="str">
        <f>"BV"&amp;$C$3+SUM($F$13:F28)</f>
        <v>BV1716</v>
      </c>
    </row>
    <row r="29" spans="1:7" x14ac:dyDescent="0.25">
      <c r="A29">
        <f t="shared" si="1"/>
        <v>17</v>
      </c>
      <c r="B29" s="1" t="s">
        <v>829</v>
      </c>
      <c r="C29" s="1" t="s">
        <v>830</v>
      </c>
      <c r="D29" s="1" t="s">
        <v>497</v>
      </c>
      <c r="E29" s="3" t="s">
        <v>102</v>
      </c>
      <c r="F29" s="1">
        <f>IF(ISNUMBER(SEARCH($C$2,Table2453[[#This Row],[Type]]))=TRUE,1,"")</f>
        <v>1</v>
      </c>
      <c r="G29" s="7" t="str">
        <f>"BV"&amp;$C$3+SUM($F$13:F29)</f>
        <v>BV1717</v>
      </c>
    </row>
    <row r="30" spans="1:7" x14ac:dyDescent="0.25">
      <c r="A30">
        <f t="shared" si="1"/>
        <v>18</v>
      </c>
      <c r="B30" s="1" t="s">
        <v>831</v>
      </c>
      <c r="C30" s="1" t="s">
        <v>832</v>
      </c>
      <c r="D30" s="1" t="s">
        <v>497</v>
      </c>
      <c r="E30" s="3" t="s">
        <v>102</v>
      </c>
      <c r="F30" s="1">
        <f>IF(ISNUMBER(SEARCH($C$2,Table2453[[#This Row],[Type]]))=TRUE,1,"")</f>
        <v>1</v>
      </c>
      <c r="G30" s="7" t="str">
        <f>"BV"&amp;$C$3+SUM($F$13:F30)</f>
        <v>BV1718</v>
      </c>
    </row>
    <row r="31" spans="1:7" x14ac:dyDescent="0.25">
      <c r="A31">
        <f t="shared" si="1"/>
        <v>19</v>
      </c>
      <c r="B31" s="1" t="s">
        <v>833</v>
      </c>
      <c r="C31" s="1" t="s">
        <v>834</v>
      </c>
      <c r="D31" s="1" t="s">
        <v>497</v>
      </c>
      <c r="E31" s="3" t="s">
        <v>102</v>
      </c>
      <c r="F31" s="1">
        <f>IF(ISNUMBER(SEARCH($C$2,Table2453[[#This Row],[Type]]))=TRUE,1,"")</f>
        <v>1</v>
      </c>
      <c r="G31" s="7" t="str">
        <f>"BV"&amp;$C$3+SUM($F$13:F31)</f>
        <v>BV1719</v>
      </c>
    </row>
    <row r="32" spans="1:7" x14ac:dyDescent="0.25">
      <c r="A32">
        <f t="shared" si="1"/>
        <v>20</v>
      </c>
      <c r="B32" s="1" t="s">
        <v>835</v>
      </c>
      <c r="C32" s="1" t="s">
        <v>836</v>
      </c>
      <c r="D32" s="1" t="s">
        <v>497</v>
      </c>
      <c r="E32" s="3" t="s">
        <v>102</v>
      </c>
      <c r="F32" s="1">
        <f>IF(ISNUMBER(SEARCH($C$2,Table2453[[#This Row],[Type]]))=TRUE,1,"")</f>
        <v>1</v>
      </c>
      <c r="G32" s="7" t="str">
        <f>"BV"&amp;$C$3+SUM($F$13:F32)</f>
        <v>BV1720</v>
      </c>
    </row>
    <row r="33" spans="1:7" ht="15" customHeight="1" x14ac:dyDescent="0.25">
      <c r="A33">
        <f t="shared" si="1"/>
        <v>21</v>
      </c>
      <c r="B33" s="1" t="s">
        <v>831</v>
      </c>
      <c r="C33" s="1" t="s">
        <v>832</v>
      </c>
      <c r="D33" s="1" t="s">
        <v>497</v>
      </c>
      <c r="E33" s="3" t="s">
        <v>102</v>
      </c>
      <c r="F33" s="1">
        <f>IF(ISNUMBER(SEARCH($C$2,Table2453[[#This Row],[Type]]))=TRUE,1,"")</f>
        <v>1</v>
      </c>
      <c r="G33" s="7" t="str">
        <f>"BV"&amp;$C$3+SUM($F$13:F33)</f>
        <v>BV1721</v>
      </c>
    </row>
    <row r="34" spans="1:7" x14ac:dyDescent="0.25">
      <c r="A34">
        <f t="shared" si="1"/>
        <v>22</v>
      </c>
      <c r="B34" s="1" t="s">
        <v>837</v>
      </c>
      <c r="C34" s="1" t="s">
        <v>838</v>
      </c>
      <c r="D34" s="1" t="s">
        <v>497</v>
      </c>
      <c r="E34" s="3" t="s">
        <v>102</v>
      </c>
      <c r="F34" s="1">
        <f>IF(ISNUMBER(SEARCH($C$2,Table2453[[#This Row],[Type]]))=TRUE,1,"")</f>
        <v>1</v>
      </c>
      <c r="G34" s="7" t="str">
        <f>"BV"&amp;$C$3+SUM($F$13:F34)</f>
        <v>BV1722</v>
      </c>
    </row>
    <row r="35" spans="1:7" x14ac:dyDescent="0.25">
      <c r="A35">
        <f t="shared" si="1"/>
        <v>23</v>
      </c>
      <c r="B35" s="1" t="s">
        <v>839</v>
      </c>
      <c r="C35" s="1" t="s">
        <v>840</v>
      </c>
      <c r="D35" s="1" t="s">
        <v>497</v>
      </c>
      <c r="E35" s="3" t="s">
        <v>102</v>
      </c>
      <c r="F35" s="1">
        <f>IF(ISNUMBER(SEARCH($C$2,Table2453[[#This Row],[Type]]))=TRUE,1,"")</f>
        <v>1</v>
      </c>
      <c r="G35" s="7" t="str">
        <f>"BV"&amp;$C$3+SUM($F$13:F35)</f>
        <v>BV1723</v>
      </c>
    </row>
    <row r="36" spans="1:7" x14ac:dyDescent="0.25">
      <c r="A36">
        <f t="shared" si="1"/>
        <v>24</v>
      </c>
      <c r="B36" s="1" t="s">
        <v>841</v>
      </c>
      <c r="C36" s="1" t="s">
        <v>842</v>
      </c>
      <c r="D36" s="1" t="s">
        <v>497</v>
      </c>
      <c r="E36" s="3" t="s">
        <v>102</v>
      </c>
      <c r="F36" s="1">
        <f>IF(ISNUMBER(SEARCH($C$2,Table2453[[#This Row],[Type]]))=TRUE,1,"")</f>
        <v>1</v>
      </c>
      <c r="G36" s="7" t="str">
        <f>"BV"&amp;$C$3+SUM($F$13:F36)</f>
        <v>BV1724</v>
      </c>
    </row>
    <row r="37" spans="1:7" x14ac:dyDescent="0.25">
      <c r="A37">
        <f t="shared" si="1"/>
        <v>25</v>
      </c>
      <c r="B37" s="1" t="s">
        <v>843</v>
      </c>
      <c r="C37" s="1" t="s">
        <v>844</v>
      </c>
      <c r="D37" s="1" t="s">
        <v>497</v>
      </c>
      <c r="E37" s="3" t="s">
        <v>102</v>
      </c>
      <c r="F37" s="1">
        <f>IF(ISNUMBER(SEARCH($C$2,Table2453[[#This Row],[Type]]))=TRUE,1,"")</f>
        <v>1</v>
      </c>
      <c r="G37" s="7" t="str">
        <f>"BV"&amp;$C$3+SUM($F$13:F37)</f>
        <v>BV1725</v>
      </c>
    </row>
    <row r="38" spans="1:7" x14ac:dyDescent="0.25">
      <c r="A38">
        <f t="shared" si="1"/>
        <v>26</v>
      </c>
      <c r="B38" s="1" t="s">
        <v>845</v>
      </c>
      <c r="C38" s="1" t="s">
        <v>846</v>
      </c>
      <c r="D38" s="1" t="s">
        <v>497</v>
      </c>
      <c r="E38" s="3" t="s">
        <v>102</v>
      </c>
      <c r="F38" s="1">
        <f>IF(ISNUMBER(SEARCH($C$2,Table2453[[#This Row],[Type]]))=TRUE,1,"")</f>
        <v>1</v>
      </c>
      <c r="G38" s="7" t="str">
        <f>"BV"&amp;$C$3+SUM($F$13:F38)</f>
        <v>BV1726</v>
      </c>
    </row>
    <row r="39" spans="1:7" x14ac:dyDescent="0.25">
      <c r="A39">
        <f t="shared" si="1"/>
        <v>27</v>
      </c>
      <c r="B39" s="1" t="s">
        <v>847</v>
      </c>
      <c r="C39" s="1" t="s">
        <v>848</v>
      </c>
      <c r="D39" s="1" t="s">
        <v>497</v>
      </c>
      <c r="E39" s="3" t="s">
        <v>102</v>
      </c>
      <c r="F39" s="1">
        <f>IF(ISNUMBER(SEARCH($C$2,Table2453[[#This Row],[Type]]))=TRUE,1,"")</f>
        <v>1</v>
      </c>
      <c r="G39" s="7" t="str">
        <f>"BV"&amp;$C$3+SUM($F$13:F39)</f>
        <v>BV1727</v>
      </c>
    </row>
    <row r="40" spans="1:7" x14ac:dyDescent="0.25">
      <c r="A40">
        <f t="shared" si="1"/>
        <v>28</v>
      </c>
      <c r="B40" s="1" t="s">
        <v>849</v>
      </c>
      <c r="C40" s="1" t="s">
        <v>850</v>
      </c>
      <c r="D40" s="1" t="s">
        <v>497</v>
      </c>
      <c r="E40" s="3" t="s">
        <v>102</v>
      </c>
      <c r="F40" s="1">
        <f>IF(ISNUMBER(SEARCH($C$2,Table2453[[#This Row],[Type]]))=TRUE,1,"")</f>
        <v>1</v>
      </c>
      <c r="G40" s="7" t="str">
        <f>"BV"&amp;$C$3+SUM($F$13:F40)</f>
        <v>BV1728</v>
      </c>
    </row>
    <row r="41" spans="1:7" x14ac:dyDescent="0.25">
      <c r="A41">
        <f t="shared" si="1"/>
        <v>29</v>
      </c>
      <c r="B41" s="1" t="s">
        <v>851</v>
      </c>
      <c r="C41" s="1" t="s">
        <v>852</v>
      </c>
      <c r="D41" s="1" t="s">
        <v>497</v>
      </c>
      <c r="E41" s="3" t="s">
        <v>102</v>
      </c>
      <c r="F41" s="1">
        <f>IF(ISNUMBER(SEARCH($C$2,Table2453[[#This Row],[Type]]))=TRUE,1,"")</f>
        <v>1</v>
      </c>
      <c r="G41" s="7" t="str">
        <f>"BV"&amp;$C$3+SUM($F$13:F41)</f>
        <v>BV1729</v>
      </c>
    </row>
    <row r="42" spans="1:7" x14ac:dyDescent="0.25">
      <c r="A42">
        <f t="shared" si="1"/>
        <v>30</v>
      </c>
      <c r="B42" s="1" t="s">
        <v>853</v>
      </c>
      <c r="C42" s="1" t="s">
        <v>854</v>
      </c>
      <c r="D42" s="1" t="s">
        <v>497</v>
      </c>
      <c r="E42" s="3" t="s">
        <v>102</v>
      </c>
      <c r="F42" s="1">
        <f>IF(ISNUMBER(SEARCH($C$2,Table2453[[#This Row],[Type]]))=TRUE,1,"")</f>
        <v>1</v>
      </c>
      <c r="G42" s="7" t="str">
        <f>"BV"&amp;$C$3+SUM($F$13:F42)</f>
        <v>BV1730</v>
      </c>
    </row>
    <row r="43" spans="1:7" ht="15" customHeight="1" x14ac:dyDescent="0.25">
      <c r="A43">
        <f t="shared" si="1"/>
        <v>31</v>
      </c>
      <c r="B43" s="1" t="s">
        <v>855</v>
      </c>
      <c r="C43" s="1" t="s">
        <v>856</v>
      </c>
      <c r="D43" s="1" t="s">
        <v>497</v>
      </c>
      <c r="E43" s="3" t="s">
        <v>102</v>
      </c>
      <c r="F43" s="1">
        <f>IF(ISNUMBER(SEARCH($C$2,Table2453[[#This Row],[Type]]))=TRUE,1,"")</f>
        <v>1</v>
      </c>
      <c r="G43" s="7" t="str">
        <f>"BV"&amp;$C$3+SUM($F$13:F43)</f>
        <v>BV1731</v>
      </c>
    </row>
    <row r="44" spans="1:7" x14ac:dyDescent="0.25">
      <c r="A44">
        <f t="shared" si="1"/>
        <v>32</v>
      </c>
      <c r="B44" s="1" t="s">
        <v>857</v>
      </c>
      <c r="C44" s="1" t="s">
        <v>858</v>
      </c>
      <c r="D44" s="1" t="s">
        <v>497</v>
      </c>
      <c r="E44" s="3" t="s">
        <v>102</v>
      </c>
      <c r="F44" s="1">
        <f>IF(ISNUMBER(SEARCH($C$2,Table2453[[#This Row],[Type]]))=TRUE,1,"")</f>
        <v>1</v>
      </c>
      <c r="G44" s="7" t="str">
        <f>"BV"&amp;$C$3+SUM($F$13:F44)</f>
        <v>BV1732</v>
      </c>
    </row>
    <row r="45" spans="1:7" ht="15" customHeight="1" x14ac:dyDescent="0.25">
      <c r="A45">
        <f t="shared" si="1"/>
        <v>33</v>
      </c>
      <c r="B45" s="1" t="s">
        <v>853</v>
      </c>
      <c r="C45" s="1" t="s">
        <v>854</v>
      </c>
      <c r="D45" s="1" t="s">
        <v>497</v>
      </c>
      <c r="E45" s="3" t="s">
        <v>102</v>
      </c>
      <c r="F45" s="1">
        <f>IF(ISNUMBER(SEARCH($C$2,Table2453[[#This Row],[Type]]))=TRUE,1,"")</f>
        <v>1</v>
      </c>
      <c r="G45" s="7" t="str">
        <f>"BV"&amp;$C$3+SUM($F$13:F45)</f>
        <v>BV1733</v>
      </c>
    </row>
    <row r="46" spans="1:7" x14ac:dyDescent="0.25">
      <c r="A46">
        <f t="shared" si="1"/>
        <v>34</v>
      </c>
      <c r="B46" s="1" t="s">
        <v>859</v>
      </c>
      <c r="C46" s="1" t="s">
        <v>860</v>
      </c>
      <c r="D46" s="1" t="s">
        <v>497</v>
      </c>
      <c r="E46" s="3" t="s">
        <v>102</v>
      </c>
      <c r="F46" s="1">
        <f>IF(ISNUMBER(SEARCH($C$2,Table2453[[#This Row],[Type]]))=TRUE,1,"")</f>
        <v>1</v>
      </c>
      <c r="G46" s="7" t="str">
        <f>"BV"&amp;$C$3+SUM($F$13:F46)</f>
        <v>BV1734</v>
      </c>
    </row>
    <row r="47" spans="1:7" x14ac:dyDescent="0.25">
      <c r="A47">
        <f t="shared" si="1"/>
        <v>35</v>
      </c>
      <c r="B47" s="1" t="s">
        <v>861</v>
      </c>
      <c r="C47" s="1" t="s">
        <v>862</v>
      </c>
      <c r="D47" s="1" t="s">
        <v>497</v>
      </c>
      <c r="E47" s="3" t="s">
        <v>102</v>
      </c>
      <c r="F47" s="1">
        <f>IF(ISNUMBER(SEARCH($C$2,Table2453[[#This Row],[Type]]))=TRUE,1,"")</f>
        <v>1</v>
      </c>
      <c r="G47" s="7" t="str">
        <f>"BV"&amp;$C$3+SUM($F$13:F47)</f>
        <v>BV1735</v>
      </c>
    </row>
    <row r="48" spans="1:7" x14ac:dyDescent="0.25">
      <c r="A48">
        <f t="shared" si="1"/>
        <v>36</v>
      </c>
      <c r="B48" s="1" t="s">
        <v>863</v>
      </c>
      <c r="C48" s="1" t="s">
        <v>864</v>
      </c>
      <c r="D48" s="1" t="s">
        <v>497</v>
      </c>
      <c r="E48" s="3" t="s">
        <v>102</v>
      </c>
      <c r="F48" s="1">
        <f>IF(ISNUMBER(SEARCH($C$2,Table2453[[#This Row],[Type]]))=TRUE,1,"")</f>
        <v>1</v>
      </c>
      <c r="G48" s="7" t="str">
        <f>"BV"&amp;$C$3+SUM($F$13:F48)</f>
        <v>BV1736</v>
      </c>
    </row>
    <row r="49" spans="1:7" x14ac:dyDescent="0.25">
      <c r="A49">
        <f t="shared" si="1"/>
        <v>37</v>
      </c>
      <c r="B49" s="1" t="s">
        <v>865</v>
      </c>
      <c r="C49" s="1" t="s">
        <v>866</v>
      </c>
      <c r="D49" s="1" t="s">
        <v>497</v>
      </c>
      <c r="E49" s="3" t="s">
        <v>102</v>
      </c>
      <c r="F49" s="1">
        <f>IF(ISNUMBER(SEARCH($C$2,Table2453[[#This Row],[Type]]))=TRUE,1,"")</f>
        <v>1</v>
      </c>
      <c r="G49" s="7" t="str">
        <f>"BV"&amp;$C$3+SUM($F$13:F49)</f>
        <v>BV1737</v>
      </c>
    </row>
    <row r="50" spans="1:7" ht="15" customHeight="1" x14ac:dyDescent="0.25">
      <c r="A50">
        <f t="shared" si="1"/>
        <v>38</v>
      </c>
      <c r="B50" s="1" t="s">
        <v>867</v>
      </c>
      <c r="C50" s="1" t="s">
        <v>868</v>
      </c>
      <c r="D50" s="1" t="s">
        <v>497</v>
      </c>
      <c r="E50" s="3" t="s">
        <v>102</v>
      </c>
      <c r="F50" s="1">
        <f>IF(ISNUMBER(SEARCH($C$2,Table2453[[#This Row],[Type]]))=TRUE,1,"")</f>
        <v>1</v>
      </c>
      <c r="G50" s="7" t="str">
        <f>"BV"&amp;$C$3+SUM($F$13:F50)</f>
        <v>BV1738</v>
      </c>
    </row>
    <row r="51" spans="1:7" x14ac:dyDescent="0.25">
      <c r="A51">
        <f t="shared" si="1"/>
        <v>39</v>
      </c>
      <c r="B51" s="1" t="s">
        <v>869</v>
      </c>
      <c r="C51" s="1" t="s">
        <v>870</v>
      </c>
      <c r="D51" s="1" t="s">
        <v>497</v>
      </c>
      <c r="E51" s="3" t="s">
        <v>102</v>
      </c>
      <c r="F51" s="1">
        <f>IF(ISNUMBER(SEARCH($C$2,Table2453[[#This Row],[Type]]))=TRUE,1,"")</f>
        <v>1</v>
      </c>
      <c r="G51" s="7" t="str">
        <f>"BV"&amp;$C$3+SUM($F$13:F51)</f>
        <v>BV1739</v>
      </c>
    </row>
    <row r="52" spans="1:7" x14ac:dyDescent="0.25">
      <c r="A52">
        <f t="shared" si="1"/>
        <v>40</v>
      </c>
      <c r="B52" s="1" t="s">
        <v>871</v>
      </c>
      <c r="C52" s="1" t="s">
        <v>872</v>
      </c>
      <c r="D52" s="1" t="s">
        <v>497</v>
      </c>
      <c r="E52" s="3" t="s">
        <v>102</v>
      </c>
      <c r="F52" s="1">
        <f>IF(ISNUMBER(SEARCH($C$2,Table2453[[#This Row],[Type]]))=TRUE,1,"")</f>
        <v>1</v>
      </c>
      <c r="G52" s="7" t="str">
        <f>"BV"&amp;$C$3+SUM($F$13:F52)</f>
        <v>BV1740</v>
      </c>
    </row>
    <row r="53" spans="1:7" x14ac:dyDescent="0.25">
      <c r="A53">
        <f t="shared" si="1"/>
        <v>41</v>
      </c>
      <c r="B53" s="1" t="s">
        <v>873</v>
      </c>
      <c r="C53" s="1" t="s">
        <v>874</v>
      </c>
      <c r="D53" s="1" t="s">
        <v>497</v>
      </c>
      <c r="E53" s="3" t="s">
        <v>102</v>
      </c>
      <c r="F53" s="1">
        <f>IF(ISNUMBER(SEARCH($C$2,Table2453[[#This Row],[Type]]))=TRUE,1,"")</f>
        <v>1</v>
      </c>
      <c r="G53" s="7" t="str">
        <f>"BV"&amp;$C$3+SUM($F$13:F53)</f>
        <v>BV1741</v>
      </c>
    </row>
    <row r="54" spans="1:7" x14ac:dyDescent="0.25">
      <c r="A54">
        <f t="shared" si="1"/>
        <v>42</v>
      </c>
      <c r="B54" s="1" t="s">
        <v>875</v>
      </c>
      <c r="C54" s="1" t="s">
        <v>876</v>
      </c>
      <c r="D54" s="1" t="s">
        <v>497</v>
      </c>
      <c r="E54" s="3" t="s">
        <v>102</v>
      </c>
      <c r="F54" s="1">
        <f>IF(ISNUMBER(SEARCH($C$2,Table2453[[#This Row],[Type]]))=TRUE,1,"")</f>
        <v>1</v>
      </c>
      <c r="G54" s="7" t="str">
        <f>"BV"&amp;$C$3+SUM($F$13:F54)</f>
        <v>BV1742</v>
      </c>
    </row>
    <row r="55" spans="1:7" x14ac:dyDescent="0.25">
      <c r="A55">
        <f t="shared" si="1"/>
        <v>43</v>
      </c>
      <c r="B55" s="1" t="s">
        <v>877</v>
      </c>
      <c r="C55" s="1" t="s">
        <v>878</v>
      </c>
      <c r="D55" s="1" t="s">
        <v>497</v>
      </c>
      <c r="E55" s="3" t="s">
        <v>102</v>
      </c>
      <c r="F55" s="1">
        <f>IF(ISNUMBER(SEARCH($C$2,Table2453[[#This Row],[Type]]))=TRUE,1,"")</f>
        <v>1</v>
      </c>
      <c r="G55" s="7" t="str">
        <f>"BV"&amp;$C$3+SUM($F$13:F55)</f>
        <v>BV1743</v>
      </c>
    </row>
    <row r="56" spans="1:7" ht="15" customHeight="1" x14ac:dyDescent="0.25">
      <c r="A56">
        <f t="shared" si="1"/>
        <v>44</v>
      </c>
      <c r="B56" s="1" t="s">
        <v>879</v>
      </c>
      <c r="C56" s="1" t="s">
        <v>880</v>
      </c>
      <c r="D56" s="1" t="s">
        <v>497</v>
      </c>
      <c r="E56" s="3" t="s">
        <v>102</v>
      </c>
      <c r="F56" s="1">
        <f>IF(ISNUMBER(SEARCH($C$2,Table2453[[#This Row],[Type]]))=TRUE,1,"")</f>
        <v>1</v>
      </c>
      <c r="G56" s="7" t="str">
        <f>"BV"&amp;$C$3+SUM($F$13:F56)</f>
        <v>BV1744</v>
      </c>
    </row>
    <row r="57" spans="1:7" x14ac:dyDescent="0.25">
      <c r="A57">
        <f t="shared" si="1"/>
        <v>45</v>
      </c>
      <c r="B57" s="1" t="s">
        <v>875</v>
      </c>
      <c r="C57" s="1" t="s">
        <v>876</v>
      </c>
      <c r="D57" s="1" t="s">
        <v>497</v>
      </c>
      <c r="E57" s="3" t="s">
        <v>102</v>
      </c>
      <c r="F57" s="1">
        <f>IF(ISNUMBER(SEARCH($C$2,Table2453[[#This Row],[Type]]))=TRUE,1,"")</f>
        <v>1</v>
      </c>
      <c r="G57" s="7" t="str">
        <f>"BV"&amp;$C$3+SUM($F$13:F57)</f>
        <v>BV1745</v>
      </c>
    </row>
    <row r="58" spans="1:7" x14ac:dyDescent="0.25">
      <c r="A58">
        <f t="shared" si="1"/>
        <v>46</v>
      </c>
      <c r="B58" s="1" t="s">
        <v>881</v>
      </c>
      <c r="C58" s="1" t="s">
        <v>882</v>
      </c>
      <c r="D58" s="1" t="s">
        <v>497</v>
      </c>
      <c r="E58" s="3" t="s">
        <v>102</v>
      </c>
      <c r="F58" s="1">
        <f>IF(ISNUMBER(SEARCH($C$2,Table2453[[#This Row],[Type]]))=TRUE,1,"")</f>
        <v>1</v>
      </c>
      <c r="G58" s="7" t="str">
        <f>"BV"&amp;$C$3+SUM($F$13:F58)</f>
        <v>BV1746</v>
      </c>
    </row>
    <row r="59" spans="1:7" x14ac:dyDescent="0.25">
      <c r="A59">
        <f t="shared" si="1"/>
        <v>47</v>
      </c>
      <c r="B59" s="1" t="s">
        <v>883</v>
      </c>
      <c r="C59" s="1" t="s">
        <v>884</v>
      </c>
      <c r="D59" s="1" t="s">
        <v>497</v>
      </c>
      <c r="E59" s="3" t="s">
        <v>102</v>
      </c>
      <c r="F59" s="1">
        <f>IF(ISNUMBER(SEARCH($C$2,Table2453[[#This Row],[Type]]))=TRUE,1,"")</f>
        <v>1</v>
      </c>
      <c r="G59" s="7" t="str">
        <f>"BV"&amp;$C$3+SUM($F$13:F59)</f>
        <v>BV1747</v>
      </c>
    </row>
    <row r="60" spans="1:7" x14ac:dyDescent="0.25">
      <c r="A60">
        <f t="shared" si="1"/>
        <v>48</v>
      </c>
      <c r="B60" s="1" t="s">
        <v>885</v>
      </c>
      <c r="C60" s="1" t="s">
        <v>886</v>
      </c>
      <c r="D60" s="1" t="s">
        <v>497</v>
      </c>
      <c r="E60" s="3" t="s">
        <v>102</v>
      </c>
      <c r="F60" s="1">
        <f>IF(ISNUMBER(SEARCH($C$2,Table2453[[#This Row],[Type]]))=TRUE,1,"")</f>
        <v>1</v>
      </c>
      <c r="G60" s="7" t="str">
        <f>"BV"&amp;$C$3+SUM($F$13:F60)</f>
        <v>BV1748</v>
      </c>
    </row>
    <row r="61" spans="1:7" x14ac:dyDescent="0.25">
      <c r="A61">
        <f t="shared" si="1"/>
        <v>49</v>
      </c>
      <c r="B61" s="1" t="s">
        <v>887</v>
      </c>
      <c r="C61" s="1" t="s">
        <v>888</v>
      </c>
      <c r="D61" s="1" t="s">
        <v>497</v>
      </c>
      <c r="E61" s="3" t="s">
        <v>102</v>
      </c>
      <c r="F61" s="1">
        <f>IF(ISNUMBER(SEARCH($C$2,Table2453[[#This Row],[Type]]))=TRUE,1,"")</f>
        <v>1</v>
      </c>
      <c r="G61" s="7" t="str">
        <f>"BV"&amp;$C$3+SUM($F$13:F85)</f>
        <v>BV1773</v>
      </c>
    </row>
    <row r="62" spans="1:7" x14ac:dyDescent="0.25">
      <c r="A62">
        <f t="shared" si="1"/>
        <v>50</v>
      </c>
      <c r="B62" s="1" t="s">
        <v>889</v>
      </c>
      <c r="C62" s="1" t="s">
        <v>890</v>
      </c>
      <c r="D62" s="1" t="s">
        <v>497</v>
      </c>
      <c r="E62" s="3" t="s">
        <v>102</v>
      </c>
      <c r="F62" s="1">
        <f>IF(ISNUMBER(SEARCH($C$2,Table2453[[#This Row],[Type]]))=TRUE,1,"")</f>
        <v>1</v>
      </c>
      <c r="G62" s="7" t="str">
        <f>"BV"&amp;$C$3+SUM($F$13:F62)</f>
        <v>BV1750</v>
      </c>
    </row>
    <row r="63" spans="1:7" x14ac:dyDescent="0.25">
      <c r="A63">
        <f t="shared" si="1"/>
        <v>51</v>
      </c>
      <c r="B63" s="1" t="s">
        <v>891</v>
      </c>
      <c r="C63" s="1" t="s">
        <v>892</v>
      </c>
      <c r="D63" s="1" t="s">
        <v>497</v>
      </c>
      <c r="E63" s="3" t="s">
        <v>102</v>
      </c>
      <c r="F63" s="1">
        <f>IF(ISNUMBER(SEARCH($C$2,Table2453[[#This Row],[Type]]))=TRUE,1,"")</f>
        <v>1</v>
      </c>
      <c r="G63" s="7" t="str">
        <f>"BV"&amp;$C$3+SUM($F$13:F63)</f>
        <v>BV1751</v>
      </c>
    </row>
    <row r="64" spans="1:7" x14ac:dyDescent="0.25">
      <c r="A64">
        <f t="shared" si="1"/>
        <v>52</v>
      </c>
      <c r="B64" s="1" t="s">
        <v>893</v>
      </c>
      <c r="C64" s="1" t="s">
        <v>894</v>
      </c>
      <c r="D64" s="1" t="s">
        <v>497</v>
      </c>
      <c r="E64" s="3" t="s">
        <v>102</v>
      </c>
      <c r="F64" s="1">
        <f>IF(ISNUMBER(SEARCH($C$2,Table2453[[#This Row],[Type]]))=TRUE,1,"")</f>
        <v>1</v>
      </c>
      <c r="G64" s="7" t="str">
        <f>"BV"&amp;$C$3+SUM($F$13:F64)</f>
        <v>BV1752</v>
      </c>
    </row>
    <row r="65" spans="1:7" x14ac:dyDescent="0.25">
      <c r="A65">
        <f t="shared" si="1"/>
        <v>53</v>
      </c>
      <c r="B65" s="1" t="s">
        <v>895</v>
      </c>
      <c r="C65" s="1" t="s">
        <v>896</v>
      </c>
      <c r="D65" s="1" t="s">
        <v>497</v>
      </c>
      <c r="E65" s="3" t="s">
        <v>102</v>
      </c>
      <c r="F65" s="1">
        <f>IF(ISNUMBER(SEARCH($C$2,Table2453[[#This Row],[Type]]))=TRUE,1,"")</f>
        <v>1</v>
      </c>
      <c r="G65" s="7" t="str">
        <f>"BV"&amp;$C$3+SUM($F$13:F65)</f>
        <v>BV1753</v>
      </c>
    </row>
    <row r="66" spans="1:7" x14ac:dyDescent="0.25">
      <c r="A66">
        <f t="shared" si="1"/>
        <v>54</v>
      </c>
      <c r="B66" s="1" t="s">
        <v>897</v>
      </c>
      <c r="C66" s="1" t="s">
        <v>898</v>
      </c>
      <c r="D66" s="1" t="s">
        <v>497</v>
      </c>
      <c r="E66" s="3" t="s">
        <v>102</v>
      </c>
      <c r="F66" s="1">
        <f>IF(ISNUMBER(SEARCH($C$2,Table2453[[#This Row],[Type]]))=TRUE,1,"")</f>
        <v>1</v>
      </c>
      <c r="G66" s="7" t="str">
        <f>"BV"&amp;$C$3+SUM($F$13:F66)</f>
        <v>BV1754</v>
      </c>
    </row>
    <row r="67" spans="1:7" x14ac:dyDescent="0.25">
      <c r="A67">
        <f t="shared" si="1"/>
        <v>55</v>
      </c>
      <c r="B67" s="1" t="s">
        <v>899</v>
      </c>
      <c r="C67" s="1" t="s">
        <v>900</v>
      </c>
      <c r="D67" s="1" t="s">
        <v>497</v>
      </c>
      <c r="E67" s="3" t="s">
        <v>102</v>
      </c>
      <c r="F67" s="1">
        <f>IF(ISNUMBER(SEARCH($C$2,Table2453[[#This Row],[Type]]))=TRUE,1,"")</f>
        <v>1</v>
      </c>
      <c r="G67" s="7" t="str">
        <f>"BV"&amp;$C$3+SUM($F$13:F67)</f>
        <v>BV1755</v>
      </c>
    </row>
    <row r="68" spans="1:7" x14ac:dyDescent="0.25">
      <c r="A68">
        <f t="shared" si="1"/>
        <v>56</v>
      </c>
      <c r="B68" s="1" t="s">
        <v>901</v>
      </c>
      <c r="C68" s="1" t="s">
        <v>902</v>
      </c>
      <c r="D68" s="1" t="s">
        <v>497</v>
      </c>
      <c r="E68" s="3" t="s">
        <v>102</v>
      </c>
      <c r="F68" s="1">
        <f>IF(ISNUMBER(SEARCH($C$2,Table2453[[#This Row],[Type]]))=TRUE,1,"")</f>
        <v>1</v>
      </c>
      <c r="G68" s="7" t="str">
        <f>"BV"&amp;$C$3+SUM($F$13:F68)</f>
        <v>BV1756</v>
      </c>
    </row>
    <row r="69" spans="1:7" x14ac:dyDescent="0.25">
      <c r="A69">
        <f t="shared" si="1"/>
        <v>57</v>
      </c>
      <c r="B69" s="1" t="s">
        <v>897</v>
      </c>
      <c r="C69" s="1" t="s">
        <v>898</v>
      </c>
      <c r="D69" s="1" t="s">
        <v>497</v>
      </c>
      <c r="E69" s="3" t="s">
        <v>102</v>
      </c>
      <c r="F69" s="1">
        <f>IF(ISNUMBER(SEARCH($C$2,Table2453[[#This Row],[Type]]))=TRUE,1,"")</f>
        <v>1</v>
      </c>
      <c r="G69" s="7" t="str">
        <f>"BV"&amp;$C$3+SUM($F$13:F69)</f>
        <v>BV1757</v>
      </c>
    </row>
    <row r="70" spans="1:7" x14ac:dyDescent="0.25">
      <c r="A70">
        <f t="shared" si="1"/>
        <v>58</v>
      </c>
      <c r="B70" s="1" t="s">
        <v>903</v>
      </c>
      <c r="C70" s="1" t="s">
        <v>904</v>
      </c>
      <c r="D70" s="1" t="s">
        <v>497</v>
      </c>
      <c r="E70" s="3" t="s">
        <v>102</v>
      </c>
      <c r="F70" s="1">
        <f>IF(ISNUMBER(SEARCH($C$2,Table2453[[#This Row],[Type]]))=TRUE,1,"")</f>
        <v>1</v>
      </c>
      <c r="G70" s="7" t="str">
        <f>"BV"&amp;$C$3+SUM($F$13:F70)</f>
        <v>BV1758</v>
      </c>
    </row>
    <row r="71" spans="1:7" x14ac:dyDescent="0.25">
      <c r="A71">
        <f t="shared" si="1"/>
        <v>59</v>
      </c>
      <c r="B71" s="1" t="s">
        <v>905</v>
      </c>
      <c r="C71" s="1" t="s">
        <v>906</v>
      </c>
      <c r="D71" s="1" t="s">
        <v>497</v>
      </c>
      <c r="E71" s="3" t="s">
        <v>102</v>
      </c>
      <c r="F71" s="1">
        <f>IF(ISNUMBER(SEARCH($C$2,Table2453[[#This Row],[Type]]))=TRUE,1,"")</f>
        <v>1</v>
      </c>
      <c r="G71" s="7" t="str">
        <f>"BV"&amp;$C$3+SUM($F$13:F71)</f>
        <v>BV1759</v>
      </c>
    </row>
    <row r="72" spans="1:7" x14ac:dyDescent="0.25">
      <c r="A72">
        <f t="shared" si="1"/>
        <v>60</v>
      </c>
      <c r="B72" s="1" t="s">
        <v>907</v>
      </c>
      <c r="C72" s="1" t="s">
        <v>908</v>
      </c>
      <c r="D72" s="1" t="s">
        <v>497</v>
      </c>
      <c r="E72" s="3" t="s">
        <v>102</v>
      </c>
      <c r="F72" s="1">
        <f>IF(ISNUMBER(SEARCH($C$2,Table2453[[#This Row],[Type]]))=TRUE,1,"")</f>
        <v>1</v>
      </c>
      <c r="G72" s="7" t="str">
        <f>"BV"&amp;$C$3+SUM($F$13:F72)</f>
        <v>BV1760</v>
      </c>
    </row>
    <row r="73" spans="1:7" x14ac:dyDescent="0.25">
      <c r="A73">
        <f t="shared" si="1"/>
        <v>61</v>
      </c>
      <c r="B73" s="1" t="s">
        <v>909</v>
      </c>
      <c r="C73" s="1" t="s">
        <v>910</v>
      </c>
      <c r="D73" s="1" t="s">
        <v>497</v>
      </c>
      <c r="E73" s="3" t="s">
        <v>102</v>
      </c>
      <c r="F73" s="1">
        <f>IF(ISNUMBER(SEARCH($C$2,Table2453[[#This Row],[Type]]))=TRUE,1,"")</f>
        <v>1</v>
      </c>
      <c r="G73" s="7" t="str">
        <f>"BV"&amp;$C$3+SUM($F$13:F97)</f>
        <v>BV1773</v>
      </c>
    </row>
    <row r="74" spans="1:7" x14ac:dyDescent="0.25">
      <c r="A74">
        <f t="shared" si="1"/>
        <v>62</v>
      </c>
      <c r="B74" s="1" t="s">
        <v>911</v>
      </c>
      <c r="C74" s="1" t="s">
        <v>912</v>
      </c>
      <c r="D74" s="1" t="s">
        <v>497</v>
      </c>
      <c r="E74" s="3" t="s">
        <v>102</v>
      </c>
      <c r="F74" s="1">
        <f>IF(ISNUMBER(SEARCH($C$2,Table2453[[#This Row],[Type]]))=TRUE,1,"")</f>
        <v>1</v>
      </c>
      <c r="G74" s="7" t="str">
        <f>"BV"&amp;$C$3+SUM($F$13:F74)</f>
        <v>BV1762</v>
      </c>
    </row>
    <row r="75" spans="1:7" x14ac:dyDescent="0.25">
      <c r="A75">
        <f t="shared" si="1"/>
        <v>63</v>
      </c>
      <c r="B75" s="1" t="s">
        <v>913</v>
      </c>
      <c r="C75" s="1" t="s">
        <v>914</v>
      </c>
      <c r="D75" s="1" t="s">
        <v>497</v>
      </c>
      <c r="E75" s="3" t="s">
        <v>102</v>
      </c>
      <c r="F75" s="1">
        <f>IF(ISNUMBER(SEARCH($C$2,Table2453[[#This Row],[Type]]))=TRUE,1,"")</f>
        <v>1</v>
      </c>
      <c r="G75" s="7" t="str">
        <f>"BV"&amp;$C$3+SUM($F$13:F75)</f>
        <v>BV1763</v>
      </c>
    </row>
    <row r="76" spans="1:7" x14ac:dyDescent="0.25">
      <c r="A76">
        <f t="shared" si="1"/>
        <v>64</v>
      </c>
      <c r="B76" s="1" t="s">
        <v>915</v>
      </c>
      <c r="C76" s="1" t="s">
        <v>916</v>
      </c>
      <c r="D76" s="1" t="s">
        <v>497</v>
      </c>
      <c r="E76" s="3" t="s">
        <v>102</v>
      </c>
      <c r="F76" s="1">
        <f>IF(ISNUMBER(SEARCH($C$2,Table2453[[#This Row],[Type]]))=TRUE,1,"")</f>
        <v>1</v>
      </c>
      <c r="G76" s="7" t="str">
        <f>"BV"&amp;$C$3+SUM($F$13:F76)</f>
        <v>BV1764</v>
      </c>
    </row>
    <row r="77" spans="1:7" x14ac:dyDescent="0.25">
      <c r="A77">
        <f t="shared" si="1"/>
        <v>65</v>
      </c>
      <c r="B77" s="1" t="s">
        <v>917</v>
      </c>
      <c r="C77" s="1" t="s">
        <v>918</v>
      </c>
      <c r="D77" s="1" t="s">
        <v>497</v>
      </c>
      <c r="E77" s="3" t="s">
        <v>102</v>
      </c>
      <c r="F77" s="1">
        <f>IF(ISNUMBER(SEARCH($C$2,Table2453[[#This Row],[Type]]))=TRUE,1,"")</f>
        <v>1</v>
      </c>
      <c r="G77" s="7" t="str">
        <f>"BV"&amp;$C$3+SUM($F$13:F77)</f>
        <v>BV1765</v>
      </c>
    </row>
    <row r="78" spans="1:7" x14ac:dyDescent="0.25">
      <c r="A78">
        <f t="shared" si="1"/>
        <v>66</v>
      </c>
      <c r="B78" s="1" t="s">
        <v>919</v>
      </c>
      <c r="C78" s="1" t="s">
        <v>920</v>
      </c>
      <c r="D78" s="1" t="s">
        <v>497</v>
      </c>
      <c r="E78" s="3" t="s">
        <v>102</v>
      </c>
      <c r="F78" s="1">
        <f>IF(ISNUMBER(SEARCH($C$2,Table2453[[#This Row],[Type]]))=TRUE,1,"")</f>
        <v>1</v>
      </c>
      <c r="G78" s="7" t="str">
        <f>"BV"&amp;$C$3+SUM($F$13:F78)</f>
        <v>BV1766</v>
      </c>
    </row>
    <row r="79" spans="1:7" x14ac:dyDescent="0.25">
      <c r="A79">
        <f t="shared" si="1"/>
        <v>67</v>
      </c>
      <c r="B79" s="1" t="s">
        <v>921</v>
      </c>
      <c r="C79" s="1" t="s">
        <v>922</v>
      </c>
      <c r="D79" s="1" t="s">
        <v>497</v>
      </c>
      <c r="E79" s="3" t="s">
        <v>102</v>
      </c>
      <c r="F79" s="1">
        <f>IF(ISNUMBER(SEARCH($C$2,Table2453[[#This Row],[Type]]))=TRUE,1,"")</f>
        <v>1</v>
      </c>
      <c r="G79" s="7" t="str">
        <f>"BV"&amp;$C$3+SUM($F$13:F79)</f>
        <v>BV1767</v>
      </c>
    </row>
    <row r="80" spans="1:7" x14ac:dyDescent="0.25">
      <c r="A80">
        <f t="shared" si="1"/>
        <v>68</v>
      </c>
      <c r="B80" s="1" t="s">
        <v>923</v>
      </c>
      <c r="C80" s="1" t="s">
        <v>924</v>
      </c>
      <c r="D80" s="1" t="s">
        <v>497</v>
      </c>
      <c r="E80" s="3" t="s">
        <v>102</v>
      </c>
      <c r="F80" s="1">
        <f>IF(ISNUMBER(SEARCH($C$2,Table2453[[#This Row],[Type]]))=TRUE,1,"")</f>
        <v>1</v>
      </c>
      <c r="G80" s="7" t="str">
        <f>"BV"&amp;$C$3+SUM($F$13:F80)</f>
        <v>BV1768</v>
      </c>
    </row>
    <row r="81" spans="1:7" x14ac:dyDescent="0.25">
      <c r="A81">
        <f t="shared" si="1"/>
        <v>69</v>
      </c>
      <c r="B81" s="1" t="s">
        <v>919</v>
      </c>
      <c r="C81" s="1" t="s">
        <v>920</v>
      </c>
      <c r="D81" s="1" t="s">
        <v>497</v>
      </c>
      <c r="E81" s="3" t="s">
        <v>102</v>
      </c>
      <c r="F81" s="1">
        <f>IF(ISNUMBER(SEARCH($C$2,Table2453[[#This Row],[Type]]))=TRUE,1,"")</f>
        <v>1</v>
      </c>
      <c r="G81" s="7" t="str">
        <f>"BV"&amp;$C$3+SUM($F$13:F81)</f>
        <v>BV1769</v>
      </c>
    </row>
    <row r="82" spans="1:7" x14ac:dyDescent="0.25">
      <c r="A82">
        <f t="shared" si="1"/>
        <v>70</v>
      </c>
      <c r="B82" s="1" t="s">
        <v>925</v>
      </c>
      <c r="C82" s="1" t="s">
        <v>926</v>
      </c>
      <c r="D82" s="1" t="s">
        <v>497</v>
      </c>
      <c r="E82" s="3" t="s">
        <v>102</v>
      </c>
      <c r="F82" s="1">
        <f>IF(ISNUMBER(SEARCH($C$2,Table2453[[#This Row],[Type]]))=TRUE,1,"")</f>
        <v>1</v>
      </c>
      <c r="G82" s="7" t="str">
        <f>"BV"&amp;$C$3+SUM($F$13:F82)</f>
        <v>BV1770</v>
      </c>
    </row>
    <row r="83" spans="1:7" x14ac:dyDescent="0.25">
      <c r="A83">
        <f t="shared" si="1"/>
        <v>71</v>
      </c>
      <c r="B83" s="1" t="s">
        <v>927</v>
      </c>
      <c r="C83" s="1" t="s">
        <v>928</v>
      </c>
      <c r="D83" s="1" t="s">
        <v>497</v>
      </c>
      <c r="E83" s="3" t="s">
        <v>102</v>
      </c>
      <c r="F83" s="1">
        <f>IF(ISNUMBER(SEARCH($C$2,Table2453[[#This Row],[Type]]))=TRUE,1,"")</f>
        <v>1</v>
      </c>
      <c r="G83" s="7" t="str">
        <f>"BV"&amp;$C$3+SUM($F$13:F83)</f>
        <v>BV1771</v>
      </c>
    </row>
    <row r="84" spans="1:7" x14ac:dyDescent="0.25">
      <c r="A84">
        <f t="shared" si="1"/>
        <v>72</v>
      </c>
      <c r="B84" s="1" t="s">
        <v>929</v>
      </c>
      <c r="C84" s="1" t="s">
        <v>930</v>
      </c>
      <c r="D84" s="1" t="s">
        <v>497</v>
      </c>
      <c r="E84" s="3" t="s">
        <v>102</v>
      </c>
      <c r="F84" s="1">
        <f>IF(ISNUMBER(SEARCH($C$2,Table2453[[#This Row],[Type]]))=TRUE,1,"")</f>
        <v>1</v>
      </c>
      <c r="G84" s="7" t="str">
        <f>"BV"&amp;$C$3+SUM($F$13:F84)</f>
        <v>BV1772</v>
      </c>
    </row>
    <row r="85" spans="1:7" x14ac:dyDescent="0.25">
      <c r="A85">
        <f t="shared" si="1"/>
        <v>73</v>
      </c>
      <c r="B85" s="1" t="s">
        <v>931</v>
      </c>
      <c r="C85" s="1" t="s">
        <v>932</v>
      </c>
      <c r="D85" s="1" t="s">
        <v>497</v>
      </c>
      <c r="E85" s="3" t="s">
        <v>102</v>
      </c>
      <c r="F85" s="1">
        <f>IF(ISNUMBER(SEARCH($C$2,Table2453[[#This Row],[Type]]))=TRUE,1,"")</f>
        <v>1</v>
      </c>
      <c r="G85" s="7" t="str">
        <f>"BV"&amp;$C$3+SUM($F$13:F109)</f>
        <v>BV1773</v>
      </c>
    </row>
  </sheetData>
  <mergeCells count="11">
    <mergeCell ref="A2:B2"/>
    <mergeCell ref="A4:B4"/>
    <mergeCell ref="E2:H2"/>
    <mergeCell ref="E4:H4"/>
    <mergeCell ref="A5:B5"/>
    <mergeCell ref="E5:H5"/>
    <mergeCell ref="E7:H7"/>
    <mergeCell ref="A7:B7"/>
    <mergeCell ref="E6:H6"/>
    <mergeCell ref="A6:B6"/>
    <mergeCell ref="E3:H3"/>
  </mergeCells>
  <phoneticPr fontId="4" type="noConversion"/>
  <dataValidations count="4">
    <dataValidation type="list" allowBlank="1" showInputMessage="1" showErrorMessage="1" sqref="E13:E85" xr:uid="{B321EB97-E438-42BB-A7D0-DEF5D6ECBCD6}">
      <formula1>Units</formula1>
    </dataValidation>
    <dataValidation type="list" allowBlank="1" showInputMessage="1" showErrorMessage="1" sqref="C2" xr:uid="{50A037E3-501B-4457-B4CF-F82ECA1ECC00}">
      <formula1>"Input, Output, Variable, Alarm, Trem, Schedule"</formula1>
    </dataValidation>
    <dataValidation type="list" allowBlank="1" showInputMessage="1" showErrorMessage="1" sqref="G86:G465" xr:uid="{2A17F453-9F88-4DE4-9DD7-F566EECEA7C9}">
      <formula1>Visibility</formula1>
    </dataValidation>
    <dataValidation type="list" allowBlank="1" showInputMessage="1" showErrorMessage="1" sqref="D13:D465" xr:uid="{40B90FDE-2246-4911-A249-9C6381FB8137}">
      <formula1>Type</formula1>
    </dataValidation>
  </dataValidations>
  <pageMargins left="0.7" right="0.7" top="0.75" bottom="0.75" header="0.3" footer="0.3"/>
  <pageSetup paperSize="3" scale="91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98CA6B-E3FD-4BA3-A703-85ECF3A569BD}">
          <x14:formula1>
            <xm:f>Tables!$D$8:$D$9</xm:f>
          </x14:formula1>
          <xm:sqref>H13:H85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BAAF7-35CF-48D6-80C1-013F8E4B7CB0}">
  <sheetPr codeName="Sheet2"/>
  <dimension ref="A1:J52"/>
  <sheetViews>
    <sheetView topLeftCell="A25" workbookViewId="0">
      <selection activeCell="B13" sqref="B13"/>
    </sheetView>
  </sheetViews>
  <sheetFormatPr defaultColWidth="9" defaultRowHeight="15" x14ac:dyDescent="0.25"/>
  <cols>
    <col min="1" max="1" width="18.140625" bestFit="1" customWidth="1"/>
    <col min="2" max="2" width="17" customWidth="1"/>
  </cols>
  <sheetData>
    <row r="1" spans="1:10" x14ac:dyDescent="0.25">
      <c r="A1" t="s">
        <v>84</v>
      </c>
      <c r="C1" t="s">
        <v>70</v>
      </c>
      <c r="D1" t="s">
        <v>933</v>
      </c>
    </row>
    <row r="2" spans="1:10" x14ac:dyDescent="0.25">
      <c r="A2" t="s">
        <v>460</v>
      </c>
      <c r="C2" t="s">
        <v>103</v>
      </c>
      <c r="D2" t="s">
        <v>934</v>
      </c>
    </row>
    <row r="3" spans="1:10" x14ac:dyDescent="0.25">
      <c r="A3" t="s">
        <v>935</v>
      </c>
      <c r="C3" t="s">
        <v>497</v>
      </c>
      <c r="D3" t="s">
        <v>936</v>
      </c>
    </row>
    <row r="4" spans="1:10" x14ac:dyDescent="0.25">
      <c r="A4" t="s">
        <v>72</v>
      </c>
      <c r="D4" t="s">
        <v>937</v>
      </c>
    </row>
    <row r="5" spans="1:10" x14ac:dyDescent="0.25">
      <c r="A5" t="s">
        <v>938</v>
      </c>
      <c r="D5" t="s">
        <v>939</v>
      </c>
    </row>
    <row r="6" spans="1:10" x14ac:dyDescent="0.25">
      <c r="A6" t="s">
        <v>119</v>
      </c>
      <c r="C6" t="s">
        <v>940</v>
      </c>
    </row>
    <row r="7" spans="1:10" x14ac:dyDescent="0.25">
      <c r="A7" t="s">
        <v>127</v>
      </c>
      <c r="C7" t="s">
        <v>941</v>
      </c>
    </row>
    <row r="8" spans="1:10" x14ac:dyDescent="0.25">
      <c r="A8" t="s">
        <v>80</v>
      </c>
      <c r="D8" t="s">
        <v>942</v>
      </c>
    </row>
    <row r="9" spans="1:10" x14ac:dyDescent="0.25">
      <c r="A9" t="s">
        <v>943</v>
      </c>
      <c r="D9" t="s">
        <v>944</v>
      </c>
    </row>
    <row r="10" spans="1:10" x14ac:dyDescent="0.25">
      <c r="A10" t="s">
        <v>945</v>
      </c>
      <c r="C10" t="s">
        <v>584</v>
      </c>
    </row>
    <row r="11" spans="1:10" x14ac:dyDescent="0.25">
      <c r="A11" t="s">
        <v>946</v>
      </c>
      <c r="C11" t="s">
        <v>585</v>
      </c>
    </row>
    <row r="12" spans="1:10" x14ac:dyDescent="0.25">
      <c r="A12" t="s">
        <v>947</v>
      </c>
      <c r="B12" t="s">
        <v>81</v>
      </c>
    </row>
    <row r="13" spans="1:10" x14ac:dyDescent="0.25">
      <c r="A13" t="s">
        <v>948</v>
      </c>
      <c r="B13" t="s">
        <v>133</v>
      </c>
    </row>
    <row r="14" spans="1:10" x14ac:dyDescent="0.25">
      <c r="A14" t="s">
        <v>949</v>
      </c>
      <c r="B14" t="s">
        <v>79</v>
      </c>
      <c r="C14" t="s">
        <v>950</v>
      </c>
    </row>
    <row r="15" spans="1:10" x14ac:dyDescent="0.25">
      <c r="A15" t="s">
        <v>951</v>
      </c>
      <c r="B15" t="s">
        <v>90</v>
      </c>
      <c r="C15" t="s">
        <v>142</v>
      </c>
      <c r="F15">
        <v>-40</v>
      </c>
      <c r="G15">
        <v>-300</v>
      </c>
      <c r="I15" s="15">
        <f>(F15-32)/1.8</f>
        <v>-40</v>
      </c>
      <c r="J15" s="15">
        <f>(G15-32)/1.8</f>
        <v>-184.44444444444443</v>
      </c>
    </row>
    <row r="16" spans="1:10" x14ac:dyDescent="0.25">
      <c r="A16" t="s">
        <v>952</v>
      </c>
      <c r="B16" t="s">
        <v>953</v>
      </c>
      <c r="D16" t="s">
        <v>71</v>
      </c>
      <c r="F16">
        <v>0</v>
      </c>
      <c r="G16">
        <v>100</v>
      </c>
      <c r="I16" s="15">
        <f t="shared" ref="I16:I18" si="0">(F16-32)/1.8</f>
        <v>-17.777777777777779</v>
      </c>
      <c r="J16" s="15">
        <f t="shared" ref="J16:J18" si="1">(G16-32)/1.8</f>
        <v>37.777777777777779</v>
      </c>
    </row>
    <row r="17" spans="1:10" x14ac:dyDescent="0.25">
      <c r="A17" t="s">
        <v>640</v>
      </c>
      <c r="B17" t="s">
        <v>90</v>
      </c>
      <c r="D17" t="s">
        <v>470</v>
      </c>
      <c r="F17">
        <v>-40</v>
      </c>
      <c r="G17">
        <v>300</v>
      </c>
      <c r="I17" s="15">
        <f t="shared" si="0"/>
        <v>-40</v>
      </c>
      <c r="J17" s="15">
        <f t="shared" si="1"/>
        <v>148.88888888888889</v>
      </c>
    </row>
    <row r="18" spans="1:10" x14ac:dyDescent="0.25">
      <c r="A18" t="s">
        <v>649</v>
      </c>
      <c r="B18" t="s">
        <v>85</v>
      </c>
      <c r="C18" t="s">
        <v>954</v>
      </c>
      <c r="D18" t="s">
        <v>125</v>
      </c>
      <c r="F18">
        <v>-40</v>
      </c>
      <c r="G18">
        <v>158</v>
      </c>
      <c r="I18" s="15">
        <f t="shared" si="0"/>
        <v>-40</v>
      </c>
      <c r="J18" s="15">
        <f t="shared" si="1"/>
        <v>70</v>
      </c>
    </row>
    <row r="19" spans="1:10" x14ac:dyDescent="0.25">
      <c r="A19" t="s">
        <v>955</v>
      </c>
      <c r="B19" t="s">
        <v>956</v>
      </c>
      <c r="C19" t="s">
        <v>957</v>
      </c>
    </row>
    <row r="20" spans="1:10" x14ac:dyDescent="0.25">
      <c r="A20" t="s">
        <v>112</v>
      </c>
      <c r="B20" t="s">
        <v>958</v>
      </c>
    </row>
    <row r="21" spans="1:10" x14ac:dyDescent="0.25">
      <c r="A21" t="s">
        <v>153</v>
      </c>
      <c r="B21" t="s">
        <v>959</v>
      </c>
    </row>
    <row r="22" spans="1:10" x14ac:dyDescent="0.25">
      <c r="A22" t="s">
        <v>102</v>
      </c>
      <c r="B22" t="s">
        <v>960</v>
      </c>
      <c r="C22" t="s">
        <v>34</v>
      </c>
    </row>
    <row r="23" spans="1:10" x14ac:dyDescent="0.25">
      <c r="A23" t="s">
        <v>961</v>
      </c>
      <c r="B23" t="s">
        <v>962</v>
      </c>
      <c r="C23" t="s">
        <v>33</v>
      </c>
    </row>
    <row r="24" spans="1:10" x14ac:dyDescent="0.25">
      <c r="A24" t="s">
        <v>498</v>
      </c>
      <c r="B24" t="s">
        <v>963</v>
      </c>
    </row>
    <row r="25" spans="1:10" x14ac:dyDescent="0.25">
      <c r="A25" t="s">
        <v>964</v>
      </c>
      <c r="B25" t="s">
        <v>965</v>
      </c>
    </row>
    <row r="26" spans="1:10" x14ac:dyDescent="0.25">
      <c r="A26" t="s">
        <v>966</v>
      </c>
      <c r="B26" t="s">
        <v>967</v>
      </c>
    </row>
    <row r="27" spans="1:10" x14ac:dyDescent="0.25">
      <c r="A27" t="s">
        <v>968</v>
      </c>
      <c r="B27" t="s">
        <v>969</v>
      </c>
    </row>
    <row r="28" spans="1:10" x14ac:dyDescent="0.25">
      <c r="A28" t="s">
        <v>466</v>
      </c>
      <c r="B28" t="s">
        <v>970</v>
      </c>
    </row>
    <row r="29" spans="1:10" x14ac:dyDescent="0.25">
      <c r="A29" t="s">
        <v>971</v>
      </c>
      <c r="B29" t="s">
        <v>972</v>
      </c>
    </row>
    <row r="30" spans="1:10" x14ac:dyDescent="0.25">
      <c r="A30" t="s">
        <v>973</v>
      </c>
      <c r="B30" t="s">
        <v>974</v>
      </c>
    </row>
    <row r="31" spans="1:10" x14ac:dyDescent="0.25">
      <c r="A31" t="s">
        <v>975</v>
      </c>
      <c r="B31" t="s">
        <v>976</v>
      </c>
    </row>
    <row r="32" spans="1:10" x14ac:dyDescent="0.25">
      <c r="A32" t="s">
        <v>977</v>
      </c>
      <c r="B32" t="s">
        <v>978</v>
      </c>
    </row>
    <row r="33" spans="1:2" x14ac:dyDescent="0.25">
      <c r="A33" t="s">
        <v>215</v>
      </c>
      <c r="B33" t="s">
        <v>979</v>
      </c>
    </row>
    <row r="34" spans="1:2" x14ac:dyDescent="0.25">
      <c r="B34" t="s">
        <v>980</v>
      </c>
    </row>
    <row r="35" spans="1:2" x14ac:dyDescent="0.25">
      <c r="B35" t="s">
        <v>69</v>
      </c>
    </row>
    <row r="36" spans="1:2" x14ac:dyDescent="0.25">
      <c r="B36" t="s">
        <v>981</v>
      </c>
    </row>
    <row r="37" spans="1:2" x14ac:dyDescent="0.25">
      <c r="B37" t="s">
        <v>982</v>
      </c>
    </row>
    <row r="38" spans="1:2" x14ac:dyDescent="0.25">
      <c r="B38" t="s">
        <v>983</v>
      </c>
    </row>
    <row r="39" spans="1:2" x14ac:dyDescent="0.25">
      <c r="B39" t="s">
        <v>76</v>
      </c>
    </row>
    <row r="40" spans="1:2" x14ac:dyDescent="0.25">
      <c r="B40" t="s">
        <v>73</v>
      </c>
    </row>
    <row r="41" spans="1:2" x14ac:dyDescent="0.25">
      <c r="A41" t="s">
        <v>71</v>
      </c>
      <c r="B41" s="12" t="s">
        <v>984</v>
      </c>
    </row>
    <row r="42" spans="1:2" x14ac:dyDescent="0.25">
      <c r="A42" t="s">
        <v>985</v>
      </c>
    </row>
    <row r="43" spans="1:2" x14ac:dyDescent="0.25">
      <c r="A43" t="s">
        <v>986</v>
      </c>
    </row>
    <row r="44" spans="1:2" x14ac:dyDescent="0.25">
      <c r="A44" t="s">
        <v>125</v>
      </c>
    </row>
    <row r="45" spans="1:2" x14ac:dyDescent="0.25">
      <c r="A45" t="s">
        <v>987</v>
      </c>
      <c r="B45" t="s">
        <v>988</v>
      </c>
    </row>
    <row r="46" spans="1:2" x14ac:dyDescent="0.25">
      <c r="B46" t="s">
        <v>989</v>
      </c>
    </row>
    <row r="47" spans="1:2" x14ac:dyDescent="0.25">
      <c r="B47" t="s">
        <v>990</v>
      </c>
    </row>
    <row r="50" spans="1:1" x14ac:dyDescent="0.25">
      <c r="A50" s="12" t="s">
        <v>991</v>
      </c>
    </row>
    <row r="51" spans="1:1" x14ac:dyDescent="0.25">
      <c r="A51" s="12" t="s">
        <v>30</v>
      </c>
    </row>
    <row r="52" spans="1:1" x14ac:dyDescent="0.25">
      <c r="A52" s="12" t="s">
        <v>992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B2B9F82008E84FAFAC94B982478154" ma:contentTypeVersion="13" ma:contentTypeDescription="Crée un document." ma:contentTypeScope="" ma:versionID="03a0df469bbbfbeccd52c90248512e3e">
  <xsd:schema xmlns:xsd="http://www.w3.org/2001/XMLSchema" xmlns:xs="http://www.w3.org/2001/XMLSchema" xmlns:p="http://schemas.microsoft.com/office/2006/metadata/properties" xmlns:ns2="06e4e961-a04e-489d-8ca0-efea5e689357" xmlns:ns3="92a8c42c-c017-446f-9dc5-0e2e3460c3a1" targetNamespace="http://schemas.microsoft.com/office/2006/metadata/properties" ma:root="true" ma:fieldsID="9f7757fffe07b6f908c86e401dd10f82" ns2:_="" ns3:_="">
    <xsd:import namespace="06e4e961-a04e-489d-8ca0-efea5e689357"/>
    <xsd:import namespace="92a8c42c-c017-446f-9dc5-0e2e3460c3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e4e961-a04e-489d-8ca0-efea5e68935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2b4eca61-7344-47d2-8751-5586d9b51ac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8c42c-c017-446f-9dc5-0e2e3460c3a1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45a1c909-8312-493c-b777-e32743fb4b20}" ma:internalName="TaxCatchAll" ma:showField="CatchAllData" ma:web="92a8c42c-c017-446f-9dc5-0e2e3460c3a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2a8c42c-c017-446f-9dc5-0e2e3460c3a1" xsi:nil="true"/>
    <lcf76f155ced4ddcb4097134ff3c332f xmlns="06e4e961-a04e-489d-8ca0-efea5e689357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05EA52-0C36-4674-A368-1C896F315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e4e961-a04e-489d-8ca0-efea5e689357"/>
    <ds:schemaRef ds:uri="92a8c42c-c017-446f-9dc5-0e2e3460c3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4C17C32-DCA1-42BE-8B7B-AADC929AFB85}">
  <ds:schemaRefs>
    <ds:schemaRef ds:uri="http://schemas.microsoft.com/office/2006/metadata/properties"/>
    <ds:schemaRef ds:uri="http://schemas.microsoft.com/office/infopath/2007/PartnerControls"/>
    <ds:schemaRef ds:uri="92a8c42c-c017-446f-9dc5-0e2e3460c3a1"/>
    <ds:schemaRef ds:uri="06e4e961-a04e-489d-8ca0-efea5e689357"/>
  </ds:schemaRefs>
</ds:datastoreItem>
</file>

<file path=customXml/itemProps3.xml><?xml version="1.0" encoding="utf-8"?>
<ds:datastoreItem xmlns:ds="http://schemas.openxmlformats.org/officeDocument/2006/customXml" ds:itemID="{5134F495-0A56-40F8-B073-29DCAE86C7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Configuration</vt:lpstr>
      <vt:lpstr>Input ACCU</vt:lpstr>
      <vt:lpstr>Output ACCU</vt:lpstr>
      <vt:lpstr>Input WSHP</vt:lpstr>
      <vt:lpstr>Variable</vt:lpstr>
      <vt:lpstr>Alarm</vt:lpstr>
      <vt:lpstr>Tables</vt:lpstr>
      <vt:lpstr>Analog</vt:lpstr>
      <vt:lpstr>BacNetStatus</vt:lpstr>
      <vt:lpstr>Binary</vt:lpstr>
      <vt:lpstr>Communication</vt:lpstr>
      <vt:lpstr>Connection</vt:lpstr>
      <vt:lpstr>Input</vt:lpstr>
      <vt:lpstr>Output</vt:lpstr>
      <vt:lpstr>Power</vt:lpstr>
      <vt:lpstr>Alarm!Print_Area</vt:lpstr>
      <vt:lpstr>Configuration!Print_Area</vt:lpstr>
      <vt:lpstr>'Output ACCU'!Print_Area</vt:lpstr>
      <vt:lpstr>Variable!Print_Area</vt:lpstr>
      <vt:lpstr>'Input ACCU'!Print_Titles</vt:lpstr>
      <vt:lpstr>'Input WSHP'!Print_Titles</vt:lpstr>
      <vt:lpstr>'Output ACCU'!Print_Titles</vt:lpstr>
      <vt:lpstr>Variable!Print_Titles</vt:lpstr>
      <vt:lpstr>Range</vt:lpstr>
      <vt:lpstr>Type</vt:lpstr>
      <vt:lpstr>Units</vt:lpstr>
      <vt:lpstr>UnitType</vt:lpstr>
      <vt:lpstr>Variable</vt:lpstr>
      <vt:lpstr>Visibility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Aouad</dc:creator>
  <cp:keywords/>
  <dc:description/>
  <cp:lastModifiedBy>Thomas Goulet</cp:lastModifiedBy>
  <cp:revision/>
  <dcterms:created xsi:type="dcterms:W3CDTF">2021-01-20T14:34:50Z</dcterms:created>
  <dcterms:modified xsi:type="dcterms:W3CDTF">2026-07-06T13:47:09Z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0x010100E2B2B9F82008E84FAFAC94B982478154</vt:lpwstr>
  </property>
  <property fmtid="{D5CDD505-2E9C-101B-9397-08002B2CF9AE}" pid="3" name="MediaServiceImageTags">
    <vt:lpwstr/>
  </property>
</Properties>
</file>